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img" ContentType="image/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현재_통합_문서" defaultThemeVersion="124226"/>
  <bookViews>
    <workbookView xWindow="120" yWindow="60" windowWidth="12072" windowHeight="7392" tabRatio="799" activeTab="1"/>
  </bookViews>
  <sheets>
    <sheet name="CPU벤치마크" sheetId="2" r:id="rId1"/>
    <sheet name="VGA벤치마크" sheetId="3" r:id="rId2"/>
    <sheet name="(코어)데이터" sheetId="1" state="hidden" r:id="rId3"/>
    <sheet name="예아!" sheetId="4" state="hidden" r:id="rId4"/>
    <sheet name="성능테스트" sheetId="25" r:id="rId5"/>
    <sheet name="자동견적" sheetId="24" r:id="rId6"/>
    <sheet name="견적저장소" sheetId="22" state="hidden" r:id="rId7"/>
    <sheet name="BillDVANCE" sheetId="5" r:id="rId8"/>
    <sheet name="CPU" sheetId="6" r:id="rId9"/>
    <sheet name="메인보드" sheetId="9" r:id="rId10"/>
    <sheet name="메모리" sheetId="8" r:id="rId11"/>
    <sheet name="CPU쿨러" sheetId="14" r:id="rId12"/>
    <sheet name="그래픽카드" sheetId="16" r:id="rId13"/>
    <sheet name="HDD" sheetId="10" r:id="rId14"/>
    <sheet name="SSD" sheetId="11" r:id="rId15"/>
    <sheet name="ODD" sheetId="12" r:id="rId16"/>
    <sheet name="파워서플라이" sheetId="15" r:id="rId17"/>
    <sheet name="케이스" sheetId="13" r:id="rId18"/>
    <sheet name="키보드" sheetId="17" r:id="rId19"/>
    <sheet name="마우스" sheetId="18" r:id="rId20"/>
    <sheet name="헤드셋" sheetId="19" r:id="rId21"/>
    <sheet name="모니터" sheetId="20" r:id="rId22"/>
    <sheet name="SW" sheetId="23" r:id="rId23"/>
    <sheet name="기타" sheetId="21" r:id="rId24"/>
  </sheets>
  <definedNames>
    <definedName name="_xlnm._FilterDatabase" localSheetId="2" hidden="1">'(코어)데이터'!$BJ$3:$BL$3</definedName>
    <definedName name="_xlnm._FilterDatabase" localSheetId="7" hidden="1">BillDVANCE!$D$26:$U$32</definedName>
    <definedName name="productName" localSheetId="10">메모리!$B$2</definedName>
  </definedNames>
  <calcPr calcId="152511"/>
</workbook>
</file>

<file path=xl/calcChain.xml><?xml version="1.0" encoding="utf-8"?>
<calcChain xmlns="http://schemas.openxmlformats.org/spreadsheetml/2006/main">
  <c r="BG2" i="25" l="1"/>
  <c r="BG3" i="25" s="1"/>
  <c r="Q7" i="25" s="1"/>
  <c r="BF2" i="25"/>
  <c r="BF3" i="25" s="1"/>
  <c r="Q5" i="25" l="1"/>
  <c r="Z5" i="25"/>
  <c r="AB5" i="25" s="1"/>
  <c r="AG5" i="25"/>
  <c r="AE5" i="25"/>
  <c r="AI5" i="25" l="1"/>
  <c r="AI8" i="25" s="1"/>
  <c r="AC8" i="25"/>
  <c r="Z8" i="25"/>
  <c r="AF8" i="25"/>
  <c r="AD14" i="25" l="1"/>
  <c r="O14" i="25"/>
  <c r="AD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C30" i="25"/>
  <c r="AD31" i="25"/>
  <c r="AD32" i="25"/>
  <c r="Z33" i="25"/>
  <c r="O15" i="25"/>
  <c r="O16" i="25"/>
  <c r="O17" i="25"/>
  <c r="O18" i="25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O33" i="25"/>
  <c r="CH25" i="24"/>
  <c r="CH26" i="24"/>
  <c r="CH27" i="24"/>
  <c r="CH28" i="24"/>
  <c r="CH29" i="24"/>
  <c r="CH30" i="24"/>
  <c r="CH31" i="24"/>
  <c r="CH32" i="24"/>
  <c r="CH33" i="24"/>
  <c r="CH34" i="24"/>
  <c r="CH35" i="24"/>
  <c r="CH36" i="24"/>
  <c r="CH37" i="24"/>
  <c r="CH38" i="24"/>
  <c r="CG38" i="24" s="1"/>
  <c r="CH39" i="24"/>
  <c r="CH40" i="24"/>
  <c r="CH41" i="24"/>
  <c r="CH42" i="24"/>
  <c r="CH43" i="24"/>
  <c r="CH24" i="24"/>
  <c r="CH23" i="24"/>
  <c r="CH4" i="24"/>
  <c r="CR7" i="5"/>
  <c r="CR8" i="5"/>
  <c r="CR9" i="5"/>
  <c r="CR10" i="5"/>
  <c r="CR11" i="5"/>
  <c r="CR12" i="5"/>
  <c r="CR13" i="5"/>
  <c r="CR14" i="5"/>
  <c r="CR15" i="5"/>
  <c r="CR16" i="5"/>
  <c r="CR17" i="5"/>
  <c r="CR18" i="5"/>
  <c r="CR19" i="5"/>
  <c r="CR20" i="5"/>
  <c r="CR21" i="5"/>
  <c r="CR22" i="5"/>
  <c r="CR23" i="5"/>
  <c r="CR24" i="5"/>
  <c r="CR25" i="5"/>
  <c r="CR26" i="5"/>
  <c r="CR27" i="5"/>
  <c r="CR28" i="5"/>
  <c r="CR29" i="5"/>
  <c r="CR30" i="5"/>
  <c r="CR31" i="5"/>
  <c r="CR32" i="5"/>
  <c r="CR33" i="5"/>
  <c r="CR34" i="5"/>
  <c r="CR35" i="5"/>
  <c r="CR36" i="5"/>
  <c r="CR37" i="5"/>
  <c r="CR38" i="5"/>
  <c r="CR39" i="5"/>
  <c r="CR40" i="5"/>
  <c r="CR41" i="5"/>
  <c r="CR42" i="5"/>
  <c r="CR43" i="5"/>
  <c r="CR44" i="5"/>
  <c r="CR45" i="5"/>
  <c r="CR46" i="5"/>
  <c r="CR47" i="5"/>
  <c r="CR48" i="5"/>
  <c r="CR49" i="5"/>
  <c r="CR50" i="5"/>
  <c r="CR51" i="5"/>
  <c r="CR52" i="5"/>
  <c r="CR53" i="5"/>
  <c r="CR54" i="5"/>
  <c r="CR55" i="5"/>
  <c r="CR56" i="5"/>
  <c r="CR57" i="5"/>
  <c r="CR58" i="5"/>
  <c r="CR59" i="5"/>
  <c r="CR60" i="5"/>
  <c r="CR61" i="5"/>
  <c r="CR62" i="5"/>
  <c r="CR63" i="5"/>
  <c r="CR64" i="5"/>
  <c r="CR65" i="5"/>
  <c r="CR66" i="5"/>
  <c r="CR67" i="5"/>
  <c r="CR68" i="5"/>
  <c r="CR69" i="5"/>
  <c r="CR70" i="5"/>
  <c r="CR71" i="5"/>
  <c r="CR72" i="5"/>
  <c r="CR73" i="5"/>
  <c r="CR74" i="5"/>
  <c r="CR75" i="5"/>
  <c r="CR76" i="5"/>
  <c r="CR77" i="5"/>
  <c r="CR78" i="5"/>
  <c r="CR79" i="5"/>
  <c r="CR80" i="5"/>
  <c r="CR81" i="5"/>
  <c r="CR82" i="5"/>
  <c r="CR83" i="5"/>
  <c r="CR84" i="5"/>
  <c r="CR85" i="5"/>
  <c r="CR86" i="5"/>
  <c r="CR87" i="5"/>
  <c r="CR88" i="5"/>
  <c r="CR89" i="5"/>
  <c r="CR90" i="5"/>
  <c r="CR91" i="5"/>
  <c r="CR92" i="5"/>
  <c r="CR93" i="5"/>
  <c r="CR94" i="5"/>
  <c r="CR95" i="5"/>
  <c r="CR96" i="5"/>
  <c r="CR97" i="5"/>
  <c r="CR98" i="5"/>
  <c r="CR99" i="5"/>
  <c r="CR100" i="5"/>
  <c r="CR101" i="5"/>
  <c r="CR102" i="5"/>
  <c r="CR103" i="5"/>
  <c r="CR104" i="5"/>
  <c r="CR105" i="5"/>
  <c r="CR106" i="5"/>
  <c r="CR107" i="5"/>
  <c r="CR108" i="5"/>
  <c r="CR109" i="5"/>
  <c r="CR110" i="5"/>
  <c r="CR111" i="5"/>
  <c r="CR112" i="5"/>
  <c r="CR113" i="5"/>
  <c r="CR114" i="5"/>
  <c r="CR115" i="5"/>
  <c r="CR116" i="5"/>
  <c r="CR117" i="5"/>
  <c r="CR118" i="5"/>
  <c r="CR119" i="5"/>
  <c r="CR120" i="5"/>
  <c r="CR121" i="5"/>
  <c r="CR122" i="5"/>
  <c r="CR123" i="5"/>
  <c r="CR124" i="5"/>
  <c r="CR125" i="5"/>
  <c r="CR126" i="5"/>
  <c r="CR127" i="5"/>
  <c r="CR128" i="5"/>
  <c r="CR129" i="5"/>
  <c r="CR130" i="5"/>
  <c r="CR131" i="5"/>
  <c r="CR132" i="5"/>
  <c r="CR133" i="5"/>
  <c r="CR134" i="5"/>
  <c r="CR135" i="5"/>
  <c r="CR136" i="5"/>
  <c r="CR137" i="5"/>
  <c r="CR138" i="5"/>
  <c r="CR139" i="5"/>
  <c r="CR140" i="5"/>
  <c r="CR141" i="5"/>
  <c r="CR142" i="5"/>
  <c r="CR143" i="5"/>
  <c r="CR144" i="5"/>
  <c r="CR145" i="5"/>
  <c r="CR146" i="5"/>
  <c r="CR147" i="5"/>
  <c r="CR148" i="5"/>
  <c r="CR149" i="5"/>
  <c r="CR150" i="5"/>
  <c r="CR151" i="5"/>
  <c r="CR152" i="5"/>
  <c r="CR153" i="5"/>
  <c r="CR154" i="5"/>
  <c r="CR155" i="5"/>
  <c r="CR156" i="5"/>
  <c r="CR157" i="5"/>
  <c r="CR158" i="5"/>
  <c r="CR159" i="5"/>
  <c r="CR160" i="5"/>
  <c r="CR161" i="5"/>
  <c r="CR162" i="5"/>
  <c r="CR163" i="5"/>
  <c r="CR164" i="5"/>
  <c r="CR165" i="5"/>
  <c r="CR166" i="5"/>
  <c r="CR167" i="5"/>
  <c r="CR168" i="5"/>
  <c r="CR169" i="5"/>
  <c r="CR170" i="5"/>
  <c r="CR171" i="5"/>
  <c r="CR172" i="5"/>
  <c r="CR173" i="5"/>
  <c r="CR174" i="5"/>
  <c r="CR175" i="5"/>
  <c r="CR176" i="5"/>
  <c r="CR177" i="5"/>
  <c r="CR178" i="5"/>
  <c r="CR179" i="5"/>
  <c r="CR180" i="5"/>
  <c r="CR181" i="5"/>
  <c r="CR182" i="5"/>
  <c r="CR183" i="5"/>
  <c r="CR184" i="5"/>
  <c r="CR185" i="5"/>
  <c r="CR186" i="5"/>
  <c r="CR187" i="5"/>
  <c r="CR188" i="5"/>
  <c r="CR189" i="5"/>
  <c r="CR190" i="5"/>
  <c r="CR191" i="5"/>
  <c r="CR192" i="5"/>
  <c r="CR193" i="5"/>
  <c r="CR194" i="5"/>
  <c r="CR195" i="5"/>
  <c r="CR196" i="5"/>
  <c r="CR197" i="5"/>
  <c r="CR198" i="5"/>
  <c r="CR199" i="5"/>
  <c r="CR200" i="5"/>
  <c r="CR201" i="5"/>
  <c r="CR202" i="5"/>
  <c r="CR203" i="5"/>
  <c r="CR204" i="5"/>
  <c r="CR205" i="5"/>
  <c r="CR206" i="5"/>
  <c r="CR207" i="5"/>
  <c r="CR208" i="5"/>
  <c r="CR209" i="5"/>
  <c r="CR210" i="5"/>
  <c r="CE44" i="24" l="1"/>
  <c r="CH5" i="24"/>
  <c r="CF5" i="24" s="1"/>
  <c r="CH6" i="24"/>
  <c r="CF6" i="24" s="1"/>
  <c r="CH7" i="24"/>
  <c r="CH8" i="24"/>
  <c r="CF8" i="24" s="1"/>
  <c r="CH9" i="24"/>
  <c r="CG9" i="24" s="1"/>
  <c r="CH10" i="24"/>
  <c r="CF10" i="24" s="1"/>
  <c r="CH11" i="24"/>
  <c r="CH12" i="24"/>
  <c r="CF12" i="24" s="1"/>
  <c r="CH13" i="24"/>
  <c r="CH14" i="24"/>
  <c r="CF14" i="24" s="1"/>
  <c r="CH15" i="24"/>
  <c r="CF15" i="24" s="1"/>
  <c r="CH16" i="24"/>
  <c r="CF16" i="24" s="1"/>
  <c r="CH17" i="24"/>
  <c r="CG17" i="24" s="1"/>
  <c r="CH18" i="24"/>
  <c r="CH19" i="24"/>
  <c r="CF19" i="24" s="1"/>
  <c r="CH20" i="24"/>
  <c r="CF20" i="24" s="1"/>
  <c r="CH21" i="24"/>
  <c r="CH22" i="24"/>
  <c r="CF23" i="24"/>
  <c r="CG25" i="24"/>
  <c r="CF26" i="24"/>
  <c r="CF31" i="24"/>
  <c r="CG33" i="24"/>
  <c r="CF36" i="24"/>
  <c r="CF37" i="24"/>
  <c r="CG39" i="24"/>
  <c r="CF40" i="24"/>
  <c r="CG41" i="24"/>
  <c r="CF42" i="24"/>
  <c r="CF39" i="24" l="1"/>
  <c r="CG15" i="24"/>
  <c r="CF41" i="24"/>
  <c r="CG27" i="24"/>
  <c r="CF25" i="24"/>
  <c r="CG11" i="24"/>
  <c r="CG35" i="24"/>
  <c r="CG23" i="24"/>
  <c r="CF9" i="24"/>
  <c r="CG19" i="24"/>
  <c r="CG7" i="24"/>
  <c r="CG31" i="24"/>
  <c r="CF17" i="24"/>
  <c r="CH45" i="24"/>
  <c r="CG42" i="24"/>
  <c r="CG34" i="24"/>
  <c r="CG30" i="24"/>
  <c r="CG26" i="24"/>
  <c r="CG22" i="24"/>
  <c r="CG18" i="24"/>
  <c r="CG14" i="24"/>
  <c r="CG10" i="24"/>
  <c r="CG6" i="24"/>
  <c r="CG37" i="24"/>
  <c r="CG29" i="24"/>
  <c r="CG21" i="24"/>
  <c r="CG13" i="24"/>
  <c r="CG5" i="24"/>
  <c r="CG40" i="24"/>
  <c r="CG36" i="24"/>
  <c r="CG32" i="24"/>
  <c r="CG28" i="24"/>
  <c r="CG24" i="24"/>
  <c r="CG20" i="24"/>
  <c r="CG16" i="24"/>
  <c r="CG12" i="24"/>
  <c r="CG8" i="24"/>
  <c r="CG43" i="24"/>
  <c r="CG4" i="24"/>
  <c r="CM14" i="24" l="1"/>
  <c r="CG44" i="24"/>
  <c r="BR13" i="24" s="1"/>
  <c r="CF12" i="5"/>
  <c r="BT12" i="5"/>
  <c r="BS12" i="5"/>
  <c r="BT8" i="5"/>
  <c r="BS8" i="5"/>
  <c r="CC5" i="5"/>
  <c r="CE7" i="5"/>
  <c r="CF8" i="5"/>
  <c r="CF5" i="5"/>
  <c r="D8" i="5"/>
  <c r="BR5" i="24" l="1"/>
  <c r="BR10" i="24"/>
  <c r="BR9" i="24"/>
  <c r="BR7" i="24"/>
  <c r="BR6" i="24"/>
  <c r="BR8" i="24"/>
  <c r="BR12" i="24"/>
  <c r="BR11" i="24"/>
  <c r="BR14" i="24" l="1"/>
  <c r="BR15" i="24" s="1"/>
  <c r="W23" i="5" l="1"/>
  <c r="W22" i="5"/>
  <c r="W21" i="5"/>
  <c r="W20" i="5"/>
  <c r="W19" i="5"/>
  <c r="W18" i="5"/>
  <c r="W17" i="5"/>
  <c r="W16" i="5"/>
  <c r="W15" i="5"/>
  <c r="W14" i="5"/>
  <c r="W28" i="5" l="1"/>
  <c r="W27" i="5"/>
  <c r="AR13" i="4"/>
  <c r="AO13" i="4"/>
  <c r="AD13" i="4"/>
  <c r="AO10" i="4"/>
  <c r="BY8" i="5"/>
  <c r="BQ8" i="5"/>
  <c r="BP7" i="5"/>
  <c r="CN7" i="5"/>
  <c r="CN8" i="5"/>
  <c r="CN9" i="5"/>
  <c r="CN10" i="5"/>
  <c r="CN11" i="5"/>
  <c r="CN12" i="5"/>
  <c r="CN13" i="5"/>
  <c r="CN14" i="5"/>
  <c r="CN15" i="5"/>
  <c r="CN16" i="5"/>
  <c r="CN17" i="5"/>
  <c r="CN18" i="5"/>
  <c r="CN19" i="5"/>
  <c r="CN20" i="5"/>
  <c r="CN21" i="5"/>
  <c r="CN22" i="5"/>
  <c r="CN23" i="5"/>
  <c r="CN24" i="5"/>
  <c r="CN25" i="5"/>
  <c r="CN26" i="5"/>
  <c r="CN27" i="5"/>
  <c r="CN28" i="5"/>
  <c r="CN29" i="5"/>
  <c r="CN30" i="5"/>
  <c r="CN31" i="5"/>
  <c r="CN32" i="5"/>
  <c r="CN33" i="5"/>
  <c r="CN34" i="5"/>
  <c r="CN35" i="5"/>
  <c r="CN36" i="5"/>
  <c r="CN37" i="5"/>
  <c r="CN38" i="5"/>
  <c r="CN39" i="5"/>
  <c r="CN40" i="5"/>
  <c r="CN41" i="5"/>
  <c r="CN42" i="5"/>
  <c r="CN43" i="5"/>
  <c r="CN44" i="5"/>
  <c r="CN45" i="5"/>
  <c r="CN46" i="5"/>
  <c r="CN47" i="5"/>
  <c r="CN48" i="5"/>
  <c r="CN49" i="5"/>
  <c r="CN50" i="5"/>
  <c r="CN51" i="5"/>
  <c r="CN52" i="5"/>
  <c r="CN53" i="5"/>
  <c r="CN54" i="5"/>
  <c r="CN55" i="5"/>
  <c r="CN56" i="5"/>
  <c r="CN57" i="5"/>
  <c r="CN58" i="5"/>
  <c r="CN59" i="5"/>
  <c r="CN60" i="5"/>
  <c r="CO7" i="5"/>
  <c r="CO8" i="5"/>
  <c r="CO9" i="5"/>
  <c r="CO10" i="5"/>
  <c r="CO11" i="5"/>
  <c r="CO12" i="5"/>
  <c r="CO13" i="5"/>
  <c r="CO14" i="5"/>
  <c r="CO15" i="5"/>
  <c r="CO16" i="5"/>
  <c r="CO17" i="5"/>
  <c r="CO18" i="5"/>
  <c r="CO19" i="5"/>
  <c r="CO20" i="5"/>
  <c r="CO21" i="5"/>
  <c r="CO22" i="5"/>
  <c r="CO23" i="5"/>
  <c r="CO24" i="5"/>
  <c r="CO25" i="5"/>
  <c r="CO26" i="5"/>
  <c r="CO27" i="5"/>
  <c r="CO28" i="5"/>
  <c r="CO29" i="5"/>
  <c r="CO30" i="5"/>
  <c r="CO31" i="5"/>
  <c r="CO32" i="5"/>
  <c r="CO33" i="5"/>
  <c r="CO34" i="5"/>
  <c r="CO35" i="5"/>
  <c r="CO36" i="5"/>
  <c r="CO37" i="5"/>
  <c r="CO38" i="5"/>
  <c r="CO39" i="5"/>
  <c r="CO40" i="5"/>
  <c r="CO41" i="5"/>
  <c r="CO42" i="5"/>
  <c r="CO43" i="5"/>
  <c r="CO44" i="5"/>
  <c r="CO45" i="5"/>
  <c r="CO46" i="5"/>
  <c r="CO47" i="5"/>
  <c r="CO48" i="5"/>
  <c r="CO49" i="5"/>
  <c r="CO50" i="5"/>
  <c r="CO51" i="5"/>
  <c r="CO52" i="5"/>
  <c r="CO53" i="5"/>
  <c r="CO54" i="5"/>
  <c r="CO55" i="5"/>
  <c r="CO56" i="5"/>
  <c r="CO57" i="5"/>
  <c r="CO58" i="5"/>
  <c r="CO59" i="5"/>
  <c r="CO60" i="5"/>
  <c r="CO61" i="5"/>
  <c r="CO62" i="5"/>
  <c r="CP7" i="5"/>
  <c r="CP8" i="5"/>
  <c r="CP9" i="5"/>
  <c r="CP10" i="5"/>
  <c r="CP11" i="5"/>
  <c r="CP12" i="5"/>
  <c r="CP13" i="5"/>
  <c r="CP14" i="5"/>
  <c r="CP15" i="5"/>
  <c r="CP16" i="5"/>
  <c r="CP17" i="5"/>
  <c r="CP18" i="5"/>
  <c r="CP19" i="5"/>
  <c r="CP20" i="5"/>
  <c r="CP21" i="5"/>
  <c r="CP22" i="5"/>
  <c r="CP23" i="5"/>
  <c r="CP24" i="5"/>
  <c r="CP25" i="5"/>
  <c r="CP26" i="5"/>
  <c r="CP27" i="5"/>
  <c r="CP28" i="5"/>
  <c r="CP29" i="5"/>
  <c r="CP30" i="5"/>
  <c r="CP31" i="5"/>
  <c r="CP32" i="5"/>
  <c r="CP33" i="5"/>
  <c r="CP34" i="5"/>
  <c r="CP35" i="5"/>
  <c r="CP36" i="5"/>
  <c r="CP37" i="5"/>
  <c r="CP38" i="5"/>
  <c r="CP39" i="5"/>
  <c r="CP40" i="5"/>
  <c r="CP41" i="5"/>
  <c r="CP42" i="5"/>
  <c r="CP43" i="5"/>
  <c r="CP44" i="5"/>
  <c r="CP45" i="5"/>
  <c r="CP46" i="5"/>
  <c r="CP47" i="5"/>
  <c r="CP48" i="5"/>
  <c r="CP49" i="5"/>
  <c r="CP50" i="5"/>
  <c r="CQ7" i="5"/>
  <c r="CQ8" i="5"/>
  <c r="CQ9" i="5"/>
  <c r="CQ10" i="5"/>
  <c r="CQ11" i="5"/>
  <c r="CQ12" i="5"/>
  <c r="CQ13" i="5"/>
  <c r="CQ14" i="5"/>
  <c r="CQ15" i="5"/>
  <c r="CQ16" i="5"/>
  <c r="CQ17" i="5"/>
  <c r="CQ18" i="5"/>
  <c r="CQ19" i="5"/>
  <c r="CQ20" i="5"/>
  <c r="CQ21" i="5"/>
  <c r="CQ22" i="5"/>
  <c r="CQ23" i="5"/>
  <c r="CQ24" i="5"/>
  <c r="CQ25" i="5"/>
  <c r="CQ26" i="5"/>
  <c r="CQ27" i="5"/>
  <c r="CQ28" i="5"/>
  <c r="CQ29" i="5"/>
  <c r="CQ30" i="5"/>
  <c r="CQ31" i="5"/>
  <c r="CQ32" i="5"/>
  <c r="CQ33" i="5"/>
  <c r="CQ34" i="5"/>
  <c r="CQ35" i="5"/>
  <c r="CQ36" i="5"/>
  <c r="CQ37" i="5"/>
  <c r="CQ38" i="5"/>
  <c r="CQ39" i="5"/>
  <c r="CQ40" i="5"/>
  <c r="CQ41" i="5"/>
  <c r="CQ42" i="5"/>
  <c r="CQ43" i="5"/>
  <c r="CQ44" i="5"/>
  <c r="CQ45" i="5"/>
  <c r="CQ46" i="5"/>
  <c r="CQ47" i="5"/>
  <c r="CQ48" i="5"/>
  <c r="CQ49" i="5"/>
  <c r="CQ50" i="5"/>
  <c r="CQ51" i="5"/>
  <c r="CQ52" i="5"/>
  <c r="CQ53" i="5"/>
  <c r="CQ54" i="5"/>
  <c r="CQ55" i="5"/>
  <c r="CQ56" i="5"/>
  <c r="CQ57" i="5"/>
  <c r="CQ58" i="5"/>
  <c r="CQ59" i="5"/>
  <c r="CQ60" i="5"/>
  <c r="CQ61" i="5"/>
  <c r="CQ62" i="5"/>
  <c r="CQ63" i="5"/>
  <c r="CQ64" i="5"/>
  <c r="CQ65" i="5"/>
  <c r="CQ66" i="5"/>
  <c r="CQ67" i="5"/>
  <c r="CQ68" i="5"/>
  <c r="CQ69" i="5"/>
  <c r="CQ70" i="5"/>
  <c r="CQ71" i="5"/>
  <c r="CQ72" i="5"/>
  <c r="CQ73" i="5"/>
  <c r="CQ74" i="5"/>
  <c r="CQ75" i="5"/>
  <c r="CQ76" i="5"/>
  <c r="CQ77" i="5"/>
  <c r="CQ78" i="5"/>
  <c r="CQ79" i="5"/>
  <c r="CQ80" i="5"/>
  <c r="CQ81" i="5"/>
  <c r="CQ82" i="5"/>
  <c r="CQ83" i="5"/>
  <c r="CQ84" i="5"/>
  <c r="CQ85" i="5"/>
  <c r="CQ86" i="5"/>
  <c r="CQ87" i="5"/>
  <c r="CQ88" i="5"/>
  <c r="CQ89" i="5"/>
  <c r="CQ90" i="5"/>
  <c r="CQ91" i="5"/>
  <c r="CQ92" i="5"/>
  <c r="CQ93" i="5"/>
  <c r="CQ94" i="5"/>
  <c r="CQ95" i="5"/>
  <c r="CQ96" i="5"/>
  <c r="CQ97" i="5"/>
  <c r="CQ98" i="5"/>
  <c r="CQ99" i="5"/>
  <c r="CQ100" i="5"/>
  <c r="CQ101" i="5"/>
  <c r="CQ102" i="5"/>
  <c r="CQ103" i="5"/>
  <c r="CQ104" i="5"/>
  <c r="CQ105" i="5"/>
  <c r="CQ106" i="5"/>
  <c r="CQ107" i="5"/>
  <c r="CQ108" i="5"/>
  <c r="CQ109" i="5"/>
  <c r="CQ110" i="5"/>
  <c r="CQ111" i="5"/>
  <c r="CQ112" i="5"/>
  <c r="CQ113" i="5"/>
  <c r="CQ114" i="5"/>
  <c r="CQ115" i="5"/>
  <c r="CQ116" i="5"/>
  <c r="CQ117" i="5"/>
  <c r="CQ118" i="5"/>
  <c r="CQ119" i="5"/>
  <c r="CQ120" i="5"/>
  <c r="CQ121" i="5"/>
  <c r="CQ122" i="5"/>
  <c r="CQ123" i="5"/>
  <c r="CQ124" i="5"/>
  <c r="CQ125" i="5"/>
  <c r="CQ126" i="5"/>
  <c r="CQ127" i="5"/>
  <c r="CQ128" i="5"/>
  <c r="CQ129" i="5"/>
  <c r="CQ130" i="5"/>
  <c r="CQ131" i="5"/>
  <c r="CQ132" i="5"/>
  <c r="CQ133" i="5"/>
  <c r="CQ134" i="5"/>
  <c r="CQ135" i="5"/>
  <c r="CQ136" i="5"/>
  <c r="CQ137" i="5"/>
  <c r="CQ138" i="5"/>
  <c r="CQ139" i="5"/>
  <c r="CQ140" i="5"/>
  <c r="CQ141" i="5"/>
  <c r="CQ142" i="5"/>
  <c r="CQ143" i="5"/>
  <c r="CQ144" i="5"/>
  <c r="CQ145" i="5"/>
  <c r="CQ146" i="5"/>
  <c r="CQ147" i="5"/>
  <c r="CQ148" i="5"/>
  <c r="CQ149" i="5"/>
  <c r="CQ150" i="5"/>
  <c r="CQ151" i="5"/>
  <c r="CQ152" i="5"/>
  <c r="CQ153" i="5"/>
  <c r="CQ154" i="5"/>
  <c r="CQ155" i="5"/>
  <c r="CQ156" i="5"/>
  <c r="CQ157" i="5"/>
  <c r="CQ158" i="5"/>
  <c r="CQ159" i="5"/>
  <c r="CQ160" i="5"/>
  <c r="CS7" i="5"/>
  <c r="CS8" i="5"/>
  <c r="CS9" i="5"/>
  <c r="CS10" i="5"/>
  <c r="CS11" i="5"/>
  <c r="CS12" i="5"/>
  <c r="CS13" i="5"/>
  <c r="CS14" i="5"/>
  <c r="CS15" i="5"/>
  <c r="CS16" i="5"/>
  <c r="CS17" i="5"/>
  <c r="CS18" i="5"/>
  <c r="CS19" i="5"/>
  <c r="CS20" i="5"/>
  <c r="CS21" i="5"/>
  <c r="CS22" i="5"/>
  <c r="CS23" i="5"/>
  <c r="CS24" i="5"/>
  <c r="CS25" i="5"/>
  <c r="CS26" i="5"/>
  <c r="CS27" i="5"/>
  <c r="CS28" i="5"/>
  <c r="CS29" i="5"/>
  <c r="CS30" i="5"/>
  <c r="CS31" i="5"/>
  <c r="CS32" i="5"/>
  <c r="CS33" i="5"/>
  <c r="CS34" i="5"/>
  <c r="CS35" i="5"/>
  <c r="CS36" i="5"/>
  <c r="CS37" i="5"/>
  <c r="CS38" i="5"/>
  <c r="CS39" i="5"/>
  <c r="CS40" i="5"/>
  <c r="CS41" i="5"/>
  <c r="CS42" i="5"/>
  <c r="CS43" i="5"/>
  <c r="CS44" i="5"/>
  <c r="CS45" i="5"/>
  <c r="CS46" i="5"/>
  <c r="CS47" i="5"/>
  <c r="CS48" i="5"/>
  <c r="CS49" i="5"/>
  <c r="CS50" i="5"/>
  <c r="CS51" i="5"/>
  <c r="CS52" i="5"/>
  <c r="CS53" i="5"/>
  <c r="CS54" i="5"/>
  <c r="CS55" i="5"/>
  <c r="CS56" i="5"/>
  <c r="CS57" i="5"/>
  <c r="CS58" i="5"/>
  <c r="CS59" i="5"/>
  <c r="CS60" i="5"/>
  <c r="CS61" i="5"/>
  <c r="CS62" i="5"/>
  <c r="CS63" i="5"/>
  <c r="CS64" i="5"/>
  <c r="CS65" i="5"/>
  <c r="CS66" i="5"/>
  <c r="CS67" i="5"/>
  <c r="CS68" i="5"/>
  <c r="CS69" i="5"/>
  <c r="CS70" i="5"/>
  <c r="CT7" i="5"/>
  <c r="CT8" i="5"/>
  <c r="CT9" i="5"/>
  <c r="CT10" i="5"/>
  <c r="CT11" i="5"/>
  <c r="CT12" i="5"/>
  <c r="CT13" i="5"/>
  <c r="CT14" i="5"/>
  <c r="CT15" i="5"/>
  <c r="CT16" i="5"/>
  <c r="CT17" i="5"/>
  <c r="CT18" i="5"/>
  <c r="CT19" i="5"/>
  <c r="CT20" i="5"/>
  <c r="CT21" i="5"/>
  <c r="CT22" i="5"/>
  <c r="CT23" i="5"/>
  <c r="CT24" i="5"/>
  <c r="CT25" i="5"/>
  <c r="CT26" i="5"/>
  <c r="CT27" i="5"/>
  <c r="CT28" i="5"/>
  <c r="CT29" i="5"/>
  <c r="CT30" i="5"/>
  <c r="CT31" i="5"/>
  <c r="CT32" i="5"/>
  <c r="CT33" i="5"/>
  <c r="CT34" i="5"/>
  <c r="CT35" i="5"/>
  <c r="CT36" i="5"/>
  <c r="CT37" i="5"/>
  <c r="CT38" i="5"/>
  <c r="CT39" i="5"/>
  <c r="CT40" i="5"/>
  <c r="CT41" i="5"/>
  <c r="CT42" i="5"/>
  <c r="CT43" i="5"/>
  <c r="CT44" i="5"/>
  <c r="CT45" i="5"/>
  <c r="CT46" i="5"/>
  <c r="CT47" i="5"/>
  <c r="CT48" i="5"/>
  <c r="CT49" i="5"/>
  <c r="CT50" i="5"/>
  <c r="CT51" i="5"/>
  <c r="CT52" i="5"/>
  <c r="CT53" i="5"/>
  <c r="CT54" i="5"/>
  <c r="CT55" i="5"/>
  <c r="CT56" i="5"/>
  <c r="CT57" i="5"/>
  <c r="CT58" i="5"/>
  <c r="CT59" i="5"/>
  <c r="CT60" i="5"/>
  <c r="CT61" i="5"/>
  <c r="CT62" i="5"/>
  <c r="CT63" i="5"/>
  <c r="CT64" i="5"/>
  <c r="CT65" i="5"/>
  <c r="CT66" i="5"/>
  <c r="CT67" i="5"/>
  <c r="CT68" i="5"/>
  <c r="CT69" i="5"/>
  <c r="CT70" i="5"/>
  <c r="CT71" i="5"/>
  <c r="CT72" i="5"/>
  <c r="CT73" i="5"/>
  <c r="CT74" i="5"/>
  <c r="CT75" i="5"/>
  <c r="CT76" i="5"/>
  <c r="CT77" i="5"/>
  <c r="CT78" i="5"/>
  <c r="CT79" i="5"/>
  <c r="CT80" i="5"/>
  <c r="CT81" i="5"/>
  <c r="CT82" i="5"/>
  <c r="CT83" i="5"/>
  <c r="CT84" i="5"/>
  <c r="CT85" i="5"/>
  <c r="CT86" i="5"/>
  <c r="CT87" i="5"/>
  <c r="CT88" i="5"/>
  <c r="CT89" i="5"/>
  <c r="CT90" i="5"/>
  <c r="CT91" i="5"/>
  <c r="CT92" i="5"/>
  <c r="CT93" i="5"/>
  <c r="CT94" i="5"/>
  <c r="CT95" i="5"/>
  <c r="CT96" i="5"/>
  <c r="CT97" i="5"/>
  <c r="CT98" i="5"/>
  <c r="CT99" i="5"/>
  <c r="CT100" i="5"/>
  <c r="CT101" i="5"/>
  <c r="CT102" i="5"/>
  <c r="CT103" i="5"/>
  <c r="CT104" i="5"/>
  <c r="CV7" i="5"/>
  <c r="CV8" i="5"/>
  <c r="CV9" i="5"/>
  <c r="CV10" i="5"/>
  <c r="CV11" i="5"/>
  <c r="CV12" i="5"/>
  <c r="CV13" i="5"/>
  <c r="CV14" i="5"/>
  <c r="CV15" i="5"/>
  <c r="CV16" i="5"/>
  <c r="CV17" i="5"/>
  <c r="CV18" i="5"/>
  <c r="CV19" i="5"/>
  <c r="CV20" i="5"/>
  <c r="CV21" i="5"/>
  <c r="CV22" i="5"/>
  <c r="CV23" i="5"/>
  <c r="CV24" i="5"/>
  <c r="CV25" i="5"/>
  <c r="CV26" i="5"/>
  <c r="CV27" i="5"/>
  <c r="CV28" i="5"/>
  <c r="CV29" i="5"/>
  <c r="CV30" i="5"/>
  <c r="CV31" i="5"/>
  <c r="CV32" i="5"/>
  <c r="CV33" i="5"/>
  <c r="CV34" i="5"/>
  <c r="CV35" i="5"/>
  <c r="CV36" i="5"/>
  <c r="CV37" i="5"/>
  <c r="CV38" i="5"/>
  <c r="CV39" i="5"/>
  <c r="CV40" i="5"/>
  <c r="CV41" i="5"/>
  <c r="CV42" i="5"/>
  <c r="CV43" i="5"/>
  <c r="CV44" i="5"/>
  <c r="CV45" i="5"/>
  <c r="CV46" i="5"/>
  <c r="CV47" i="5"/>
  <c r="CV48" i="5"/>
  <c r="CV49" i="5"/>
  <c r="CV50" i="5"/>
  <c r="CV51" i="5"/>
  <c r="CV52" i="5"/>
  <c r="CV53" i="5"/>
  <c r="CV54" i="5"/>
  <c r="CV55" i="5"/>
  <c r="CV56" i="5"/>
  <c r="CV57" i="5"/>
  <c r="CV58" i="5"/>
  <c r="CV59" i="5"/>
  <c r="CV60" i="5"/>
  <c r="CV61" i="5"/>
  <c r="CV62" i="5"/>
  <c r="CV63" i="5"/>
  <c r="CV64" i="5"/>
  <c r="CV65" i="5"/>
  <c r="CV66" i="5"/>
  <c r="CV67" i="5"/>
  <c r="CV68" i="5"/>
  <c r="CV69" i="5"/>
  <c r="CV70" i="5"/>
  <c r="CV71" i="5"/>
  <c r="CV72" i="5"/>
  <c r="CV73" i="5"/>
  <c r="CV74" i="5"/>
  <c r="CV75" i="5"/>
  <c r="CV76" i="5"/>
  <c r="CV77" i="5"/>
  <c r="CV78" i="5"/>
  <c r="CV79" i="5"/>
  <c r="CV80" i="5"/>
  <c r="CV81" i="5"/>
  <c r="CV82" i="5"/>
  <c r="CV83" i="5"/>
  <c r="CV84" i="5"/>
  <c r="CV85" i="5"/>
  <c r="CV86" i="5"/>
  <c r="CV87" i="5"/>
  <c r="CV88" i="5"/>
  <c r="CV89" i="5"/>
  <c r="CV90" i="5"/>
  <c r="CV91" i="5"/>
  <c r="CV92" i="5"/>
  <c r="CV93" i="5"/>
  <c r="CV94" i="5"/>
  <c r="CV95" i="5"/>
  <c r="CV96" i="5"/>
  <c r="CV97" i="5"/>
  <c r="CV98" i="5"/>
  <c r="CV99" i="5"/>
  <c r="CV100" i="5"/>
  <c r="CV101" i="5"/>
  <c r="CV102" i="5"/>
  <c r="CV103" i="5"/>
  <c r="CV104" i="5"/>
  <c r="CV105" i="5"/>
  <c r="CV106" i="5"/>
  <c r="CV107" i="5"/>
  <c r="CV108" i="5"/>
  <c r="CV109" i="5"/>
  <c r="CV110" i="5"/>
  <c r="CV111" i="5"/>
  <c r="CV112" i="5"/>
  <c r="CV113" i="5"/>
  <c r="CV114" i="5"/>
  <c r="CV115" i="5"/>
  <c r="CV116" i="5"/>
  <c r="CV117" i="5"/>
  <c r="CV118" i="5"/>
  <c r="CV119" i="5"/>
  <c r="CV120" i="5"/>
  <c r="CV121" i="5"/>
  <c r="CV122" i="5"/>
  <c r="CV123" i="5"/>
  <c r="CV124" i="5"/>
  <c r="CV125" i="5"/>
  <c r="CV126" i="5"/>
  <c r="CV127" i="5"/>
  <c r="CV128" i="5"/>
  <c r="CV129" i="5"/>
  <c r="CV130" i="5"/>
  <c r="CV131" i="5"/>
  <c r="CV132" i="5"/>
  <c r="CV133" i="5"/>
  <c r="CV134" i="5"/>
  <c r="CV135" i="5"/>
  <c r="CV136" i="5"/>
  <c r="CV137" i="5"/>
  <c r="CV138" i="5"/>
  <c r="CV139" i="5"/>
  <c r="CV140" i="5"/>
  <c r="CV141" i="5"/>
  <c r="CV142" i="5"/>
  <c r="CV143" i="5"/>
  <c r="CV144" i="5"/>
  <c r="CV145" i="5"/>
  <c r="CV146" i="5"/>
  <c r="CV147" i="5"/>
  <c r="CV148" i="5"/>
  <c r="CV149" i="5"/>
  <c r="CV150" i="5"/>
  <c r="CV151" i="5"/>
  <c r="CV152" i="5"/>
  <c r="CV153" i="5"/>
  <c r="CV154" i="5"/>
  <c r="CV155" i="5"/>
  <c r="DA7" i="5"/>
  <c r="DA8" i="5"/>
  <c r="DA9" i="5"/>
  <c r="DA10" i="5"/>
  <c r="DA11" i="5"/>
  <c r="DA12" i="5"/>
  <c r="DA13" i="5"/>
  <c r="DA14" i="5"/>
  <c r="DA15" i="5"/>
  <c r="DA16" i="5"/>
  <c r="DA17" i="5"/>
  <c r="DA18" i="5"/>
  <c r="DA19" i="5"/>
  <c r="DA20" i="5"/>
  <c r="DA21" i="5"/>
  <c r="DA22" i="5"/>
  <c r="DA23" i="5"/>
  <c r="DA24" i="5"/>
  <c r="DA25" i="5"/>
  <c r="DA26" i="5"/>
  <c r="DA27" i="5"/>
  <c r="DA28" i="5"/>
  <c r="DA29" i="5"/>
  <c r="DA30" i="5"/>
  <c r="DA31" i="5"/>
  <c r="DA32" i="5"/>
  <c r="DA33" i="5"/>
  <c r="DA34" i="5"/>
  <c r="DA35" i="5"/>
  <c r="DA36" i="5"/>
  <c r="DA37" i="5"/>
  <c r="DA38" i="5"/>
  <c r="DA39" i="5"/>
  <c r="DA40" i="5"/>
  <c r="DA41" i="5"/>
  <c r="DA42" i="5"/>
  <c r="DA43" i="5"/>
  <c r="DA44" i="5"/>
  <c r="DA45" i="5"/>
  <c r="DA46" i="5"/>
  <c r="DA47" i="5"/>
  <c r="DA48" i="5"/>
  <c r="DA49" i="5"/>
  <c r="DA50" i="5"/>
  <c r="DA51" i="5"/>
  <c r="DA52" i="5"/>
  <c r="DA53" i="5"/>
  <c r="DA54" i="5"/>
  <c r="DA55" i="5"/>
  <c r="DA56" i="5"/>
  <c r="DA57" i="5"/>
  <c r="DA58" i="5"/>
  <c r="DA59" i="5"/>
  <c r="DA60" i="5"/>
  <c r="DA61" i="5"/>
  <c r="DA62" i="5"/>
  <c r="DA63" i="5"/>
  <c r="DA64" i="5"/>
  <c r="DA65" i="5"/>
  <c r="DA66" i="5"/>
  <c r="DA67" i="5"/>
  <c r="DA68" i="5"/>
  <c r="DA69" i="5"/>
  <c r="DA70" i="5"/>
  <c r="DA71" i="5"/>
  <c r="DA72" i="5"/>
  <c r="DA73" i="5"/>
  <c r="DA74" i="5"/>
  <c r="DA75" i="5"/>
  <c r="DA76" i="5"/>
  <c r="DA77" i="5"/>
  <c r="DA78" i="5"/>
  <c r="DA79" i="5"/>
  <c r="DA80" i="5"/>
  <c r="DA81" i="5"/>
  <c r="DA82" i="5"/>
  <c r="DA83" i="5"/>
  <c r="DA84" i="5"/>
  <c r="DA85" i="5"/>
  <c r="DA86" i="5"/>
  <c r="DA87" i="5"/>
  <c r="DA88" i="5"/>
  <c r="DA89" i="5"/>
  <c r="DA90" i="5"/>
  <c r="DA91" i="5"/>
  <c r="DA92" i="5"/>
  <c r="DA93" i="5"/>
  <c r="DA94" i="5"/>
  <c r="DA95" i="5"/>
  <c r="DA96" i="5"/>
  <c r="DA97" i="5"/>
  <c r="DA98" i="5"/>
  <c r="DA99" i="5"/>
  <c r="DA100" i="5"/>
  <c r="DA101" i="5"/>
  <c r="DA102" i="5"/>
  <c r="DA103" i="5"/>
  <c r="DA104" i="5"/>
  <c r="DA105" i="5"/>
  <c r="DA106" i="5"/>
  <c r="DA107" i="5"/>
  <c r="DA108" i="5"/>
  <c r="DA109" i="5"/>
  <c r="DA110" i="5"/>
  <c r="DA111" i="5"/>
  <c r="DA112" i="5"/>
  <c r="DA113" i="5"/>
  <c r="DA114" i="5"/>
  <c r="DA115" i="5"/>
  <c r="DA116" i="5"/>
  <c r="DA117" i="5"/>
  <c r="DA118" i="5"/>
  <c r="DA119" i="5"/>
  <c r="DA120" i="5"/>
  <c r="DA121" i="5"/>
  <c r="DA122" i="5"/>
  <c r="DA123" i="5"/>
  <c r="DA124" i="5"/>
  <c r="DA125" i="5"/>
  <c r="DA126" i="5"/>
  <c r="DA127" i="5"/>
  <c r="DA128" i="5"/>
  <c r="DA129" i="5"/>
  <c r="DA130" i="5"/>
  <c r="DA131" i="5"/>
  <c r="DA132" i="5"/>
  <c r="DA133" i="5"/>
  <c r="DA134" i="5"/>
  <c r="DA135" i="5"/>
  <c r="DA136" i="5"/>
  <c r="DA137" i="5"/>
  <c r="DA138" i="5"/>
  <c r="DA139" i="5"/>
  <c r="DA140" i="5"/>
  <c r="DA141" i="5"/>
  <c r="DA142" i="5"/>
  <c r="DA143" i="5"/>
  <c r="DA144" i="5"/>
  <c r="DA145" i="5"/>
  <c r="DA146" i="5"/>
  <c r="DA147" i="5"/>
  <c r="DA148" i="5"/>
  <c r="DA149" i="5"/>
  <c r="DA150" i="5"/>
  <c r="DA151" i="5"/>
  <c r="DA152" i="5"/>
  <c r="DA153" i="5"/>
  <c r="DA154" i="5"/>
  <c r="DA155" i="5"/>
  <c r="DA156" i="5"/>
  <c r="DA157" i="5"/>
  <c r="DA158" i="5"/>
  <c r="DA159" i="5"/>
  <c r="DA160" i="5"/>
  <c r="DA161" i="5"/>
  <c r="DA162" i="5"/>
  <c r="DA163" i="5"/>
  <c r="DA164" i="5"/>
  <c r="DA165" i="5"/>
  <c r="DA166" i="5"/>
  <c r="DA167" i="5"/>
  <c r="DA168" i="5"/>
  <c r="DA169" i="5"/>
  <c r="DA170" i="5"/>
  <c r="DA171" i="5"/>
  <c r="DA172" i="5"/>
  <c r="DA173" i="5"/>
  <c r="CZ7" i="5"/>
  <c r="CZ8" i="5"/>
  <c r="CZ9" i="5"/>
  <c r="CZ10" i="5"/>
  <c r="CZ11" i="5"/>
  <c r="CZ12" i="5"/>
  <c r="CZ13" i="5"/>
  <c r="CZ14" i="5"/>
  <c r="CZ15" i="5"/>
  <c r="CZ16" i="5"/>
  <c r="CZ17" i="5"/>
  <c r="CZ18" i="5"/>
  <c r="CZ19" i="5"/>
  <c r="CZ20" i="5"/>
  <c r="CZ21" i="5"/>
  <c r="CZ22" i="5"/>
  <c r="CZ23" i="5"/>
  <c r="CZ24" i="5"/>
  <c r="CZ25" i="5"/>
  <c r="CZ26" i="5"/>
  <c r="CZ27" i="5"/>
  <c r="CZ28" i="5"/>
  <c r="CZ29" i="5"/>
  <c r="CZ30" i="5"/>
  <c r="CZ31" i="5"/>
  <c r="CZ32" i="5"/>
  <c r="CZ33" i="5"/>
  <c r="CZ34" i="5"/>
  <c r="CZ35" i="5"/>
  <c r="CZ36" i="5"/>
  <c r="CZ37" i="5"/>
  <c r="CZ38" i="5"/>
  <c r="CZ39" i="5"/>
  <c r="CZ40" i="5"/>
  <c r="CZ41" i="5"/>
  <c r="CZ42" i="5"/>
  <c r="CZ43" i="5"/>
  <c r="CZ44" i="5"/>
  <c r="CZ45" i="5"/>
  <c r="CZ46" i="5"/>
  <c r="CZ47" i="5"/>
  <c r="CZ48" i="5"/>
  <c r="CZ49" i="5"/>
  <c r="CZ50" i="5"/>
  <c r="CZ51" i="5"/>
  <c r="CZ52" i="5"/>
  <c r="CZ53" i="5"/>
  <c r="CZ54" i="5"/>
  <c r="CZ55" i="5"/>
  <c r="CZ56" i="5"/>
  <c r="CZ57" i="5"/>
  <c r="CZ58" i="5"/>
  <c r="CZ59" i="5"/>
  <c r="CZ60" i="5"/>
  <c r="CZ61" i="5"/>
  <c r="CZ62" i="5"/>
  <c r="CZ63" i="5"/>
  <c r="CZ64" i="5"/>
  <c r="CZ65" i="5"/>
  <c r="CZ66" i="5"/>
  <c r="CZ67" i="5"/>
  <c r="CZ68" i="5"/>
  <c r="CZ69" i="5"/>
  <c r="CZ70" i="5"/>
  <c r="CZ71" i="5"/>
  <c r="CZ72" i="5"/>
  <c r="CZ73" i="5"/>
  <c r="CZ74" i="5"/>
  <c r="CZ75" i="5"/>
  <c r="CZ76" i="5"/>
  <c r="CZ77" i="5"/>
  <c r="CZ78" i="5"/>
  <c r="CZ79" i="5"/>
  <c r="CZ80" i="5"/>
  <c r="CZ81" i="5"/>
  <c r="CZ82" i="5"/>
  <c r="CZ83" i="5"/>
  <c r="CZ84" i="5"/>
  <c r="CZ85" i="5"/>
  <c r="CZ86" i="5"/>
  <c r="CZ87" i="5"/>
  <c r="CZ88" i="5"/>
  <c r="CZ89" i="5"/>
  <c r="CZ90" i="5"/>
  <c r="CZ91" i="5"/>
  <c r="CZ92" i="5"/>
  <c r="CZ93" i="5"/>
  <c r="CZ94" i="5"/>
  <c r="CZ95" i="5"/>
  <c r="CZ96" i="5"/>
  <c r="CZ97" i="5"/>
  <c r="CZ98" i="5"/>
  <c r="CZ99" i="5"/>
  <c r="CZ100" i="5"/>
  <c r="CY7" i="5"/>
  <c r="CY8" i="5"/>
  <c r="CY9" i="5"/>
  <c r="CY10" i="5"/>
  <c r="CY11" i="5"/>
  <c r="CY12" i="5"/>
  <c r="CY13" i="5"/>
  <c r="CY14" i="5"/>
  <c r="CY15" i="5"/>
  <c r="CY16" i="5"/>
  <c r="CY17" i="5"/>
  <c r="CY18" i="5"/>
  <c r="CY19" i="5"/>
  <c r="CY20" i="5"/>
  <c r="CY21" i="5"/>
  <c r="CY22" i="5"/>
  <c r="CY23" i="5"/>
  <c r="CY24" i="5"/>
  <c r="CY25" i="5"/>
  <c r="CY26" i="5"/>
  <c r="CY27" i="5"/>
  <c r="CY28" i="5"/>
  <c r="CY29" i="5"/>
  <c r="CY30" i="5"/>
  <c r="CY31" i="5"/>
  <c r="CY32" i="5"/>
  <c r="CY33" i="5"/>
  <c r="CY34" i="5"/>
  <c r="CY35" i="5"/>
  <c r="CY36" i="5"/>
  <c r="CY37" i="5"/>
  <c r="CY38" i="5"/>
  <c r="CY39" i="5"/>
  <c r="CY40" i="5"/>
  <c r="CY41" i="5"/>
  <c r="CY42" i="5"/>
  <c r="CY43" i="5"/>
  <c r="CY44" i="5"/>
  <c r="CY45" i="5"/>
  <c r="CY46" i="5"/>
  <c r="CY47" i="5"/>
  <c r="CY48" i="5"/>
  <c r="CY49" i="5"/>
  <c r="CY50" i="5"/>
  <c r="CY51" i="5"/>
  <c r="CY52" i="5"/>
  <c r="CY53" i="5"/>
  <c r="CY54" i="5"/>
  <c r="CY55" i="5"/>
  <c r="CY56" i="5"/>
  <c r="CY57" i="5"/>
  <c r="CY58" i="5"/>
  <c r="CY59" i="5"/>
  <c r="CY60" i="5"/>
  <c r="CY61" i="5"/>
  <c r="CY62" i="5"/>
  <c r="CY63" i="5"/>
  <c r="CY64" i="5"/>
  <c r="CY65" i="5"/>
  <c r="CY66" i="5"/>
  <c r="CY67" i="5"/>
  <c r="CY68" i="5"/>
  <c r="CY69" i="5"/>
  <c r="CY70" i="5"/>
  <c r="CY71" i="5"/>
  <c r="CY72" i="5"/>
  <c r="CY73" i="5"/>
  <c r="CY74" i="5"/>
  <c r="CY75" i="5"/>
  <c r="CY76" i="5"/>
  <c r="CY77" i="5"/>
  <c r="CY78" i="5"/>
  <c r="CY79" i="5"/>
  <c r="CY80" i="5"/>
  <c r="CY81" i="5"/>
  <c r="CY82" i="5"/>
  <c r="CY83" i="5"/>
  <c r="CY84" i="5"/>
  <c r="CY85" i="5"/>
  <c r="CX7" i="5"/>
  <c r="CX8" i="5"/>
  <c r="CX9" i="5"/>
  <c r="CX10" i="5"/>
  <c r="CX11" i="5"/>
  <c r="CX12" i="5"/>
  <c r="CX13" i="5"/>
  <c r="CX14" i="5"/>
  <c r="CX15" i="5"/>
  <c r="CX16" i="5"/>
  <c r="CX17" i="5"/>
  <c r="CX18" i="5"/>
  <c r="CX19" i="5"/>
  <c r="CX20" i="5"/>
  <c r="CX21" i="5"/>
  <c r="CX22" i="5"/>
  <c r="CX23" i="5"/>
  <c r="CX24" i="5"/>
  <c r="CX25" i="5"/>
  <c r="CX26" i="5"/>
  <c r="CX27" i="5"/>
  <c r="CX28" i="5"/>
  <c r="CX29" i="5"/>
  <c r="CX30" i="5"/>
  <c r="CX31" i="5"/>
  <c r="CX32" i="5"/>
  <c r="CX33" i="5"/>
  <c r="CX34" i="5"/>
  <c r="CX35" i="5"/>
  <c r="CX36" i="5"/>
  <c r="CX37" i="5"/>
  <c r="CX38" i="5"/>
  <c r="CX39" i="5"/>
  <c r="CX40" i="5"/>
  <c r="CX41" i="5"/>
  <c r="CX42" i="5"/>
  <c r="CX43" i="5"/>
  <c r="CX44" i="5"/>
  <c r="CX45" i="5"/>
  <c r="CX46" i="5"/>
  <c r="CX47" i="5"/>
  <c r="CX48" i="5"/>
  <c r="CX49" i="5"/>
  <c r="CX50" i="5"/>
  <c r="CX51" i="5"/>
  <c r="CX52" i="5"/>
  <c r="CX53" i="5"/>
  <c r="CX54" i="5"/>
  <c r="CX55" i="5"/>
  <c r="CX56" i="5"/>
  <c r="CX57" i="5"/>
  <c r="CX58" i="5"/>
  <c r="CX59" i="5"/>
  <c r="CX60" i="5"/>
  <c r="CX61" i="5"/>
  <c r="CX62" i="5"/>
  <c r="CX63" i="5"/>
  <c r="CX64" i="5"/>
  <c r="CX65" i="5"/>
  <c r="CX66" i="5"/>
  <c r="CX67" i="5"/>
  <c r="CX68" i="5"/>
  <c r="CX69" i="5"/>
  <c r="CX70" i="5"/>
  <c r="CX71" i="5"/>
  <c r="CX72" i="5"/>
  <c r="CX73" i="5"/>
  <c r="CX74" i="5"/>
  <c r="CX75" i="5"/>
  <c r="CX76" i="5"/>
  <c r="CX77" i="5"/>
  <c r="CX78" i="5"/>
  <c r="CX79" i="5"/>
  <c r="CX80" i="5"/>
  <c r="CX81" i="5"/>
  <c r="CX82" i="5"/>
  <c r="CX83" i="5"/>
  <c r="CX84" i="5"/>
  <c r="CX85" i="5"/>
  <c r="CX86" i="5"/>
  <c r="CX87" i="5"/>
  <c r="CX88" i="5"/>
  <c r="CX89" i="5"/>
  <c r="CX90" i="5"/>
  <c r="CX91" i="5"/>
  <c r="CX92" i="5"/>
  <c r="CX93" i="5"/>
  <c r="CX94" i="5"/>
  <c r="CX95" i="5"/>
  <c r="CX96" i="5"/>
  <c r="CX97" i="5"/>
  <c r="CX98" i="5"/>
  <c r="CX99" i="5"/>
  <c r="CX100" i="5"/>
  <c r="CX101" i="5"/>
  <c r="CX102" i="5"/>
  <c r="CX103" i="5"/>
  <c r="CX104" i="5"/>
  <c r="CX105" i="5"/>
  <c r="CX106" i="5"/>
  <c r="CX107" i="5"/>
  <c r="CX108" i="5"/>
  <c r="CX109" i="5"/>
  <c r="CX110" i="5"/>
  <c r="CX111" i="5"/>
  <c r="CX112" i="5"/>
  <c r="CX113" i="5"/>
  <c r="CX114" i="5"/>
  <c r="CX115" i="5"/>
  <c r="CX116" i="5"/>
  <c r="CX117" i="5"/>
  <c r="CX118" i="5"/>
  <c r="CX119" i="5"/>
  <c r="CX120" i="5"/>
  <c r="CX121" i="5"/>
  <c r="CX122" i="5"/>
  <c r="CX123" i="5"/>
  <c r="CX124" i="5"/>
  <c r="CX125" i="5"/>
  <c r="CX126" i="5"/>
  <c r="CX127" i="5"/>
  <c r="CX128" i="5"/>
  <c r="CX129" i="5"/>
  <c r="CX130" i="5"/>
  <c r="CX131" i="5"/>
  <c r="CX132" i="5"/>
  <c r="CX133" i="5"/>
  <c r="CX134" i="5"/>
  <c r="CX135" i="5"/>
  <c r="CX136" i="5"/>
  <c r="CX137" i="5"/>
  <c r="CX138" i="5"/>
  <c r="CX139" i="5"/>
  <c r="CX140" i="5"/>
  <c r="CX141" i="5"/>
  <c r="CX142" i="5"/>
  <c r="CX143" i="5"/>
  <c r="CX144" i="5"/>
  <c r="CX145" i="5"/>
  <c r="CX146" i="5"/>
  <c r="CX147" i="5"/>
  <c r="CX148" i="5"/>
  <c r="CX149" i="5"/>
  <c r="CX150" i="5"/>
  <c r="CX151" i="5"/>
  <c r="CW7" i="5"/>
  <c r="CW8" i="5"/>
  <c r="CW9" i="5"/>
  <c r="CW10" i="5"/>
  <c r="CW11" i="5"/>
  <c r="CW12" i="5"/>
  <c r="CW13" i="5"/>
  <c r="CW14" i="5"/>
  <c r="CW15" i="5"/>
  <c r="CW16" i="5"/>
  <c r="CW17" i="5"/>
  <c r="CW18" i="5"/>
  <c r="CW19" i="5"/>
  <c r="CW20" i="5"/>
  <c r="CW21" i="5"/>
  <c r="CW22" i="5"/>
  <c r="CW23" i="5"/>
  <c r="CW24" i="5"/>
  <c r="CW25" i="5"/>
  <c r="CW26" i="5"/>
  <c r="CW27" i="5"/>
  <c r="CW28" i="5"/>
  <c r="CW29" i="5"/>
  <c r="CW30" i="5"/>
  <c r="CW31" i="5"/>
  <c r="CW32" i="5"/>
  <c r="CW33" i="5"/>
  <c r="CW34" i="5"/>
  <c r="CW35" i="5"/>
  <c r="CW36" i="5"/>
  <c r="CW37" i="5"/>
  <c r="CW38" i="5"/>
  <c r="CW39" i="5"/>
  <c r="CW40" i="5"/>
  <c r="CW41" i="5"/>
  <c r="CW42" i="5"/>
  <c r="CW43" i="5"/>
  <c r="CW44" i="5"/>
  <c r="CW45" i="5"/>
  <c r="CW46" i="5"/>
  <c r="CW47" i="5"/>
  <c r="CW48" i="5"/>
  <c r="CW49" i="5"/>
  <c r="CW50" i="5"/>
  <c r="CW51" i="5"/>
  <c r="CW52" i="5"/>
  <c r="CW53" i="5"/>
  <c r="CW54" i="5"/>
  <c r="CW55" i="5"/>
  <c r="CW56" i="5"/>
  <c r="CW57" i="5"/>
  <c r="CW58" i="5"/>
  <c r="CW59" i="5"/>
  <c r="CW60" i="5"/>
  <c r="CW61" i="5"/>
  <c r="CW62" i="5"/>
  <c r="CW63" i="5"/>
  <c r="CW64" i="5"/>
  <c r="CW65" i="5"/>
  <c r="CW66" i="5"/>
  <c r="CW67" i="5"/>
  <c r="CW68" i="5"/>
  <c r="CW69" i="5"/>
  <c r="CW70" i="5"/>
  <c r="CW71" i="5"/>
  <c r="CW72" i="5"/>
  <c r="CW73" i="5"/>
  <c r="CW74" i="5"/>
  <c r="CW75" i="5"/>
  <c r="CW76" i="5"/>
  <c r="CW77" i="5"/>
  <c r="CW78" i="5"/>
  <c r="CW79" i="5"/>
  <c r="CW80" i="5"/>
  <c r="CW81" i="5"/>
  <c r="CW82" i="5"/>
  <c r="CW83" i="5"/>
  <c r="CW84" i="5"/>
  <c r="CW85" i="5"/>
  <c r="CW86" i="5"/>
  <c r="CW87" i="5"/>
  <c r="CW88" i="5"/>
  <c r="CW89" i="5"/>
  <c r="CW90" i="5"/>
  <c r="CW91" i="5"/>
  <c r="CW92" i="5"/>
  <c r="CW93" i="5"/>
  <c r="CW94" i="5"/>
  <c r="CW95" i="5"/>
  <c r="CW96" i="5"/>
  <c r="CW97" i="5"/>
  <c r="CW98" i="5"/>
  <c r="CW99" i="5"/>
  <c r="CW100" i="5"/>
  <c r="CW101" i="5"/>
  <c r="CW102" i="5"/>
  <c r="CW103" i="5"/>
  <c r="CW104" i="5"/>
  <c r="CW105" i="5"/>
  <c r="CW106" i="5"/>
  <c r="CW107" i="5"/>
  <c r="CW108" i="5"/>
  <c r="CW109" i="5"/>
  <c r="CW110" i="5"/>
  <c r="CW111" i="5"/>
  <c r="CW112" i="5"/>
  <c r="CW113" i="5"/>
  <c r="CW114" i="5"/>
  <c r="CW115" i="5"/>
  <c r="CW116" i="5"/>
  <c r="CW117" i="5"/>
  <c r="CW118" i="5"/>
  <c r="CW119" i="5"/>
  <c r="CW120" i="5"/>
  <c r="CW121" i="5"/>
  <c r="CW122" i="5"/>
  <c r="CW123" i="5"/>
  <c r="CW124" i="5"/>
  <c r="CW125" i="5"/>
  <c r="CW126" i="5"/>
  <c r="CW127" i="5"/>
  <c r="CW128" i="5"/>
  <c r="CW129" i="5"/>
  <c r="CW130" i="5"/>
  <c r="CW131" i="5"/>
  <c r="CW132" i="5"/>
  <c r="CW133" i="5"/>
  <c r="CW134" i="5"/>
  <c r="CW135" i="5"/>
  <c r="CW136" i="5"/>
  <c r="CW137" i="5"/>
  <c r="CW138" i="5"/>
  <c r="CW139" i="5"/>
  <c r="CW140" i="5"/>
  <c r="CW141" i="5"/>
  <c r="CW142" i="5"/>
  <c r="CW143" i="5"/>
  <c r="CW144" i="5"/>
  <c r="CW145" i="5"/>
  <c r="CW146" i="5"/>
  <c r="CW147" i="5"/>
  <c r="AK24" i="1" l="1"/>
  <c r="P32" i="25" s="1"/>
  <c r="AI38" i="1"/>
  <c r="AM38" i="1" s="1"/>
  <c r="AI44" i="1"/>
  <c r="AM44" i="1" s="1"/>
  <c r="AI41" i="1"/>
  <c r="AM41" i="1" s="1"/>
  <c r="AI40" i="1"/>
  <c r="AM40" i="1" s="1"/>
  <c r="AI39" i="1"/>
  <c r="AM39" i="1" s="1"/>
  <c r="AI37" i="1"/>
  <c r="AM37" i="1" s="1"/>
  <c r="AI36" i="1"/>
  <c r="AM36" i="1" s="1"/>
  <c r="AI35" i="1"/>
  <c r="AM35" i="1" s="1"/>
  <c r="AI34" i="1"/>
  <c r="AM34" i="1" s="1"/>
  <c r="AI33" i="1"/>
  <c r="AM33" i="1" s="1"/>
  <c r="AI32" i="1"/>
  <c r="AM32" i="1" s="1"/>
  <c r="AI31" i="1"/>
  <c r="AM31" i="1" s="1"/>
  <c r="AI30" i="1"/>
  <c r="AM30" i="1" s="1"/>
  <c r="AI29" i="1"/>
  <c r="AM29" i="1" s="1"/>
  <c r="AI28" i="1"/>
  <c r="AM28" i="1" s="1"/>
  <c r="AI27" i="1"/>
  <c r="AM27" i="1" s="1"/>
  <c r="AI26" i="1"/>
  <c r="AM26" i="1" s="1"/>
  <c r="AI25" i="1"/>
  <c r="AM25" i="1" s="1"/>
  <c r="AI24" i="1"/>
  <c r="AM24" i="1" s="1"/>
  <c r="AI23" i="1"/>
  <c r="AM23" i="1" s="1"/>
  <c r="AI22" i="1"/>
  <c r="AM22" i="1" s="1"/>
  <c r="AI21" i="1"/>
  <c r="AM21" i="1" s="1"/>
  <c r="AI20" i="1"/>
  <c r="AM20" i="1" s="1"/>
  <c r="AI18" i="1"/>
  <c r="AM18" i="1" s="1"/>
  <c r="AI17" i="1"/>
  <c r="AM17" i="1" s="1"/>
  <c r="AI16" i="1"/>
  <c r="AM16" i="1" s="1"/>
  <c r="AI15" i="1"/>
  <c r="AM15" i="1" s="1"/>
  <c r="AI14" i="1"/>
  <c r="AM14" i="1" s="1"/>
  <c r="AI13" i="1"/>
  <c r="AM13" i="1" s="1"/>
  <c r="AI12" i="1"/>
  <c r="AM12" i="1" s="1"/>
  <c r="AI11" i="1"/>
  <c r="AM11" i="1" s="1"/>
  <c r="AI10" i="1"/>
  <c r="AM10" i="1" s="1"/>
  <c r="AI9" i="1"/>
  <c r="AM9" i="1" s="1"/>
  <c r="AI8" i="1"/>
  <c r="AM8" i="1" s="1"/>
  <c r="AI7" i="1"/>
  <c r="AM7" i="1" s="1"/>
  <c r="AI6" i="1"/>
  <c r="AM6" i="1" s="1"/>
  <c r="AG44" i="1"/>
  <c r="AK44" i="1" s="1"/>
  <c r="AE32" i="25" s="1"/>
  <c r="AG43" i="1"/>
  <c r="AK43" i="1" s="1"/>
  <c r="AE31" i="25" s="1"/>
  <c r="AG41" i="1"/>
  <c r="AK41" i="1" s="1"/>
  <c r="AE29" i="25" s="1"/>
  <c r="AG40" i="1"/>
  <c r="AK40" i="1" s="1"/>
  <c r="AE28" i="25" s="1"/>
  <c r="AG39" i="1"/>
  <c r="AK39" i="1" s="1"/>
  <c r="AE27" i="25" s="1"/>
  <c r="AG38" i="1"/>
  <c r="AK38" i="1" s="1"/>
  <c r="AE26" i="25" s="1"/>
  <c r="AG37" i="1"/>
  <c r="AK37" i="1" s="1"/>
  <c r="AE25" i="25" s="1"/>
  <c r="AG36" i="1"/>
  <c r="AK36" i="1" s="1"/>
  <c r="AE24" i="25" s="1"/>
  <c r="AG35" i="1"/>
  <c r="AK35" i="1" s="1"/>
  <c r="AG34" i="1"/>
  <c r="AK34" i="1" s="1"/>
  <c r="AE22" i="25" s="1"/>
  <c r="AG33" i="1"/>
  <c r="AK33" i="1" s="1"/>
  <c r="AE21" i="25" s="1"/>
  <c r="AG32" i="1"/>
  <c r="AK32" i="1" s="1"/>
  <c r="AE20" i="25" s="1"/>
  <c r="AG31" i="1"/>
  <c r="AK31" i="1" s="1"/>
  <c r="AE19" i="25" s="1"/>
  <c r="AG30" i="1"/>
  <c r="AK30" i="1" s="1"/>
  <c r="AE18" i="25" s="1"/>
  <c r="AG29" i="1"/>
  <c r="AK29" i="1" s="1"/>
  <c r="AE17" i="25" s="1"/>
  <c r="AG28" i="1"/>
  <c r="AK28" i="1" s="1"/>
  <c r="AE16" i="25" s="1"/>
  <c r="AG27" i="1"/>
  <c r="AK27" i="1" s="1"/>
  <c r="AE15" i="25" s="1"/>
  <c r="AG26" i="1"/>
  <c r="AK26" i="1" s="1"/>
  <c r="AE14" i="25" s="1"/>
  <c r="AG25" i="1"/>
  <c r="AK25" i="1" s="1"/>
  <c r="P33" i="25" s="1"/>
  <c r="AG24" i="1"/>
  <c r="AG23" i="1"/>
  <c r="AK23" i="1" s="1"/>
  <c r="P31" i="25" s="1"/>
  <c r="AG22" i="1"/>
  <c r="AK22" i="1" s="1"/>
  <c r="P30" i="25" s="1"/>
  <c r="AG21" i="1"/>
  <c r="AK21" i="1" s="1"/>
  <c r="P29" i="25" s="1"/>
  <c r="AG20" i="1"/>
  <c r="AK20" i="1" s="1"/>
  <c r="P28" i="25" s="1"/>
  <c r="AG19" i="1"/>
  <c r="AK19" i="1" s="1"/>
  <c r="P27" i="25" s="1"/>
  <c r="AG18" i="1"/>
  <c r="AK18" i="1" s="1"/>
  <c r="P26" i="25" s="1"/>
  <c r="AG17" i="1"/>
  <c r="AK17" i="1" s="1"/>
  <c r="P25" i="25" s="1"/>
  <c r="AG16" i="1"/>
  <c r="AK16" i="1" s="1"/>
  <c r="P24" i="25" s="1"/>
  <c r="AG15" i="1"/>
  <c r="AK15" i="1" s="1"/>
  <c r="P23" i="25" s="1"/>
  <c r="AG14" i="1"/>
  <c r="AK14" i="1" s="1"/>
  <c r="P22" i="25" s="1"/>
  <c r="AG13" i="1"/>
  <c r="AK13" i="1" s="1"/>
  <c r="P21" i="25" s="1"/>
  <c r="AG12" i="1"/>
  <c r="AK12" i="1" s="1"/>
  <c r="P20" i="25" s="1"/>
  <c r="AG11" i="1"/>
  <c r="AK11" i="1" s="1"/>
  <c r="P19" i="25" s="1"/>
  <c r="AG10" i="1"/>
  <c r="AK10" i="1" s="1"/>
  <c r="P18" i="25" s="1"/>
  <c r="AG9" i="1"/>
  <c r="AK9" i="1" s="1"/>
  <c r="P17" i="25" s="1"/>
  <c r="AG8" i="1"/>
  <c r="AC8" i="1" s="1"/>
  <c r="N16" i="25" s="1"/>
  <c r="AG7" i="1"/>
  <c r="AK7" i="1" s="1"/>
  <c r="P15" i="25" s="1"/>
  <c r="AG6" i="1"/>
  <c r="AK6" i="1" s="1"/>
  <c r="P14" i="25" s="1"/>
  <c r="AE19" i="1"/>
  <c r="AI19" i="1" s="1"/>
  <c r="AM19" i="1" s="1"/>
  <c r="AE38" i="1"/>
  <c r="AE43" i="1"/>
  <c r="AI43" i="1" s="1"/>
  <c r="AM43" i="1" s="1"/>
  <c r="AE40" i="1"/>
  <c r="AE42" i="1"/>
  <c r="AI42" i="1" s="1"/>
  <c r="AM42" i="1" s="1"/>
  <c r="AC42" i="1"/>
  <c r="AG42" i="1" s="1"/>
  <c r="AD30" i="25" s="1"/>
  <c r="AA38" i="1"/>
  <c r="AE30" i="1"/>
  <c r="AA31" i="1"/>
  <c r="AE23" i="25" l="1"/>
  <c r="AK42" i="1"/>
  <c r="AE30" i="25" s="1"/>
  <c r="AK8" i="1"/>
  <c r="P16" i="25" s="1"/>
  <c r="AE22" i="1"/>
  <c r="AA22" i="1" s="1"/>
  <c r="W22" i="1" s="1"/>
  <c r="S22" i="1" s="1"/>
  <c r="O22" i="1" s="1"/>
  <c r="K22" i="1" s="1"/>
  <c r="AC22" i="1"/>
  <c r="N30" i="25" s="1"/>
  <c r="AE21" i="1"/>
  <c r="AA21" i="1" s="1"/>
  <c r="W21" i="1" s="1"/>
  <c r="S21" i="1" s="1"/>
  <c r="O21" i="1" s="1"/>
  <c r="K21" i="1" s="1"/>
  <c r="AC21" i="1"/>
  <c r="N29" i="25" s="1"/>
  <c r="AE20" i="1"/>
  <c r="AA20" i="1" s="1"/>
  <c r="W20" i="1" s="1"/>
  <c r="S20" i="1" s="1"/>
  <c r="O20" i="1" s="1"/>
  <c r="K20" i="1" s="1"/>
  <c r="AC20" i="1"/>
  <c r="AC19" i="1"/>
  <c r="N27" i="25" s="1"/>
  <c r="AA19" i="1"/>
  <c r="W19" i="1" s="1"/>
  <c r="S19" i="1" s="1"/>
  <c r="O19" i="1" s="1"/>
  <c r="K19" i="1" s="1"/>
  <c r="AC18" i="1"/>
  <c r="N26" i="25" s="1"/>
  <c r="AE18" i="1"/>
  <c r="AA18" i="1" s="1"/>
  <c r="W18" i="1" s="1"/>
  <c r="S18" i="1" s="1"/>
  <c r="O18" i="1" s="1"/>
  <c r="K18" i="1" s="1"/>
  <c r="AE45" i="1"/>
  <c r="AI45" i="1" s="1"/>
  <c r="AM45" i="1" s="1"/>
  <c r="W45" i="1"/>
  <c r="S45" i="1" s="1"/>
  <c r="O45" i="1"/>
  <c r="Q45" i="1"/>
  <c r="U45" i="1" s="1"/>
  <c r="AA33" i="25" s="1"/>
  <c r="AC37" i="1"/>
  <c r="AC25" i="25" s="1"/>
  <c r="AE37" i="1"/>
  <c r="AA37" i="1" s="1"/>
  <c r="W37" i="1" s="1"/>
  <c r="S37" i="1" s="1"/>
  <c r="O37" i="1" s="1"/>
  <c r="K37" i="1" s="1"/>
  <c r="W38" i="1"/>
  <c r="S38" i="1" s="1"/>
  <c r="O38" i="1" s="1"/>
  <c r="K38" i="1" s="1"/>
  <c r="AC38" i="1"/>
  <c r="AC26" i="25" s="1"/>
  <c r="AE39" i="1"/>
  <c r="AA39" i="1" s="1"/>
  <c r="W39" i="1" s="1"/>
  <c r="S39" i="1" s="1"/>
  <c r="O39" i="1" s="1"/>
  <c r="K39" i="1" s="1"/>
  <c r="AC39" i="1"/>
  <c r="AC27" i="25" s="1"/>
  <c r="AA40" i="1"/>
  <c r="W40" i="1" s="1"/>
  <c r="S40" i="1" s="1"/>
  <c r="O40" i="1" s="1"/>
  <c r="K40" i="1" s="1"/>
  <c r="AC40" i="1"/>
  <c r="AC28" i="25" s="1"/>
  <c r="AC41" i="1"/>
  <c r="AC29" i="25" s="1"/>
  <c r="AE41" i="1"/>
  <c r="AA41" i="1" s="1"/>
  <c r="W41" i="1" s="1"/>
  <c r="S41" i="1" s="1"/>
  <c r="O41" i="1" s="1"/>
  <c r="K41" i="1" s="1"/>
  <c r="Y42" i="1"/>
  <c r="AB30" i="25" s="1"/>
  <c r="AA42" i="1"/>
  <c r="W42" i="1" s="1"/>
  <c r="S42" i="1" s="1"/>
  <c r="O42" i="1" s="1"/>
  <c r="K42" i="1" s="1"/>
  <c r="AA43" i="1"/>
  <c r="W43" i="1" s="1"/>
  <c r="S43" i="1" s="1"/>
  <c r="O43" i="1" s="1"/>
  <c r="K43" i="1" s="1"/>
  <c r="AC43" i="1"/>
  <c r="AC31" i="25" s="1"/>
  <c r="AC44" i="1"/>
  <c r="AC32" i="25" s="1"/>
  <c r="AE44" i="1"/>
  <c r="AA44" i="1" s="1"/>
  <c r="W44" i="1" s="1"/>
  <c r="S44" i="1" s="1"/>
  <c r="O44" i="1" s="1"/>
  <c r="K44" i="1" s="1"/>
  <c r="AC30" i="1"/>
  <c r="AC28" i="1"/>
  <c r="AC16" i="25" s="1"/>
  <c r="AE28" i="1"/>
  <c r="AA28" i="1" s="1"/>
  <c r="W28" i="1" s="1"/>
  <c r="S28" i="1" s="1"/>
  <c r="O28" i="1" s="1"/>
  <c r="K28" i="1" s="1"/>
  <c r="AC29" i="1"/>
  <c r="AE29" i="1"/>
  <c r="AA29" i="1" s="1"/>
  <c r="W29" i="1" s="1"/>
  <c r="S29" i="1" s="1"/>
  <c r="O29" i="1" s="1"/>
  <c r="K29" i="1" s="1"/>
  <c r="AA30" i="1"/>
  <c r="W30" i="1" s="1"/>
  <c r="S30" i="1" s="1"/>
  <c r="O30" i="1" s="1"/>
  <c r="K30" i="1" s="1"/>
  <c r="AE31" i="1"/>
  <c r="W31" i="1" s="1"/>
  <c r="S31" i="1" s="1"/>
  <c r="O31" i="1" s="1"/>
  <c r="K31" i="1" s="1"/>
  <c r="AC31" i="1"/>
  <c r="AC19" i="25" s="1"/>
  <c r="AC32" i="1"/>
  <c r="AE32" i="1"/>
  <c r="AA32" i="1" s="1"/>
  <c r="W32" i="1" s="1"/>
  <c r="S32" i="1" s="1"/>
  <c r="O32" i="1" s="1"/>
  <c r="K32" i="1" s="1"/>
  <c r="AC33" i="1"/>
  <c r="AC21" i="25" s="1"/>
  <c r="AE33" i="1"/>
  <c r="AA33" i="1" s="1"/>
  <c r="W33" i="1" s="1"/>
  <c r="S33" i="1" s="1"/>
  <c r="O33" i="1" s="1"/>
  <c r="K33" i="1" s="1"/>
  <c r="AC34" i="1"/>
  <c r="AC22" i="25" s="1"/>
  <c r="AE34" i="1"/>
  <c r="AA34" i="1" s="1"/>
  <c r="W34" i="1" s="1"/>
  <c r="S34" i="1" s="1"/>
  <c r="O34" i="1" s="1"/>
  <c r="K34" i="1" s="1"/>
  <c r="AC35" i="1"/>
  <c r="AC23" i="25" s="1"/>
  <c r="AE35" i="1"/>
  <c r="AA35" i="1" s="1"/>
  <c r="W35" i="1" s="1"/>
  <c r="S35" i="1" s="1"/>
  <c r="O35" i="1" s="1"/>
  <c r="K35" i="1" s="1"/>
  <c r="AE36" i="1"/>
  <c r="AA36" i="1" s="1"/>
  <c r="W36" i="1" s="1"/>
  <c r="S36" i="1" s="1"/>
  <c r="O36" i="1" s="1"/>
  <c r="K36" i="1" s="1"/>
  <c r="AC36" i="1"/>
  <c r="AC24" i="25" s="1"/>
  <c r="AC18" i="25" l="1"/>
  <c r="CF28" i="24"/>
  <c r="AC20" i="25"/>
  <c r="N28" i="25"/>
  <c r="AC17" i="25"/>
  <c r="CF27" i="24"/>
  <c r="Y43" i="1"/>
  <c r="AB31" i="25" s="1"/>
  <c r="Y21" i="1"/>
  <c r="M29" i="25" s="1"/>
  <c r="Y34" i="1"/>
  <c r="AB22" i="25" s="1"/>
  <c r="Y35" i="1"/>
  <c r="AB23" i="25" s="1"/>
  <c r="Y39" i="1"/>
  <c r="AB27" i="25" s="1"/>
  <c r="Y29" i="1"/>
  <c r="AB17" i="25" s="1"/>
  <c r="Y38" i="1"/>
  <c r="AB26" i="25" s="1"/>
  <c r="Y22" i="1"/>
  <c r="M30" i="25" s="1"/>
  <c r="Y33" i="1"/>
  <c r="AB21" i="25" s="1"/>
  <c r="U42" i="1"/>
  <c r="AA30" i="25" s="1"/>
  <c r="Y18" i="1"/>
  <c r="M26" i="25" s="1"/>
  <c r="Y36" i="1"/>
  <c r="AB24" i="25" s="1"/>
  <c r="Y28" i="1"/>
  <c r="AB16" i="25" s="1"/>
  <c r="Y32" i="1"/>
  <c r="AB20" i="25" s="1"/>
  <c r="Y30" i="1"/>
  <c r="AB18" i="25" s="1"/>
  <c r="Y41" i="1"/>
  <c r="AB29" i="25" s="1"/>
  <c r="Y37" i="1"/>
  <c r="AB25" i="25" s="1"/>
  <c r="Y19" i="1"/>
  <c r="M27" i="25" s="1"/>
  <c r="Y31" i="1"/>
  <c r="AB19" i="25" s="1"/>
  <c r="Y40" i="1"/>
  <c r="AB28" i="25" s="1"/>
  <c r="Y45" i="1"/>
  <c r="AB33" i="25" s="1"/>
  <c r="Y20" i="1"/>
  <c r="M28" i="25" s="1"/>
  <c r="Y44" i="1"/>
  <c r="AB32" i="25" s="1"/>
  <c r="AA45" i="1"/>
  <c r="K45" i="1"/>
  <c r="M45" i="1"/>
  <c r="Y33" i="25" s="1"/>
  <c r="AC45" i="1" l="1"/>
  <c r="AC33" i="25" s="1"/>
  <c r="U40" i="1"/>
  <c r="AA28" i="25" s="1"/>
  <c r="U31" i="1"/>
  <c r="U30" i="1"/>
  <c r="AA18" i="25" s="1"/>
  <c r="U18" i="1"/>
  <c r="L26" i="25" s="1"/>
  <c r="U38" i="1"/>
  <c r="AA26" i="25" s="1"/>
  <c r="U34" i="1"/>
  <c r="U35" i="1"/>
  <c r="AA23" i="25" s="1"/>
  <c r="U22" i="1"/>
  <c r="L30" i="25" s="1"/>
  <c r="U20" i="1"/>
  <c r="U19" i="1"/>
  <c r="L27" i="25" s="1"/>
  <c r="U32" i="1"/>
  <c r="AA20" i="25" s="1"/>
  <c r="Q42" i="1"/>
  <c r="Z30" i="25" s="1"/>
  <c r="U29" i="1"/>
  <c r="AA17" i="25" s="1"/>
  <c r="U21" i="1"/>
  <c r="L29" i="25" s="1"/>
  <c r="U41" i="1"/>
  <c r="AA29" i="25" s="1"/>
  <c r="U36" i="1"/>
  <c r="AA24" i="25" s="1"/>
  <c r="U37" i="1"/>
  <c r="AA25" i="25" s="1"/>
  <c r="U28" i="1"/>
  <c r="AA16" i="25" s="1"/>
  <c r="U33" i="1"/>
  <c r="AA21" i="25" s="1"/>
  <c r="U39" i="1"/>
  <c r="AA27" i="25" s="1"/>
  <c r="U43" i="1"/>
  <c r="AA31" i="25" s="1"/>
  <c r="I45" i="1"/>
  <c r="X33" i="25" s="1"/>
  <c r="U44" i="1"/>
  <c r="AA32" i="25" s="1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2" i="3"/>
  <c r="AC26" i="1"/>
  <c r="AC14" i="25" s="1"/>
  <c r="AE26" i="1"/>
  <c r="AA26" i="1" s="1"/>
  <c r="W26" i="1" s="1"/>
  <c r="S26" i="1" s="1"/>
  <c r="O26" i="1" s="1"/>
  <c r="K26" i="1" s="1"/>
  <c r="AE27" i="1"/>
  <c r="AA27" i="1" s="1"/>
  <c r="W27" i="1" s="1"/>
  <c r="S27" i="1" s="1"/>
  <c r="O27" i="1" s="1"/>
  <c r="K27" i="1" s="1"/>
  <c r="AC27" i="1"/>
  <c r="AC15" i="25" s="1"/>
  <c r="AA19" i="25" l="1"/>
  <c r="CF29" i="24"/>
  <c r="AA22" i="25"/>
  <c r="CF32" i="24"/>
  <c r="L28" i="25"/>
  <c r="CF18" i="24"/>
  <c r="Q36" i="1"/>
  <c r="Z24" i="25" s="1"/>
  <c r="M42" i="1"/>
  <c r="Y30" i="25" s="1"/>
  <c r="Q18" i="1"/>
  <c r="K26" i="25" s="1"/>
  <c r="Q33" i="1"/>
  <c r="Z21" i="25" s="1"/>
  <c r="Q41" i="1"/>
  <c r="Z29" i="25" s="1"/>
  <c r="Q32" i="1"/>
  <c r="Z20" i="25" s="1"/>
  <c r="Q35" i="1"/>
  <c r="Z23" i="25" s="1"/>
  <c r="Q30" i="1"/>
  <c r="Z18" i="25" s="1"/>
  <c r="Q28" i="1"/>
  <c r="Z16" i="25" s="1"/>
  <c r="Q21" i="1"/>
  <c r="K29" i="25" s="1"/>
  <c r="Q19" i="1"/>
  <c r="K27" i="25" s="1"/>
  <c r="Q34" i="1"/>
  <c r="Z22" i="25" s="1"/>
  <c r="Q31" i="1"/>
  <c r="Z19" i="25" s="1"/>
  <c r="Y27" i="1"/>
  <c r="AB15" i="25" s="1"/>
  <c r="Q22" i="1"/>
  <c r="K30" i="25" s="1"/>
  <c r="Q39" i="1"/>
  <c r="Z27" i="25" s="1"/>
  <c r="Y26" i="1"/>
  <c r="Q43" i="1"/>
  <c r="Z31" i="25" s="1"/>
  <c r="Q37" i="1"/>
  <c r="Z25" i="25" s="1"/>
  <c r="Q29" i="1"/>
  <c r="Z17" i="25" s="1"/>
  <c r="Q20" i="1"/>
  <c r="K28" i="25" s="1"/>
  <c r="Q38" i="1"/>
  <c r="Z26" i="25" s="1"/>
  <c r="Q40" i="1"/>
  <c r="Z28" i="25" s="1"/>
  <c r="Q44" i="1"/>
  <c r="Z32" i="25" s="1"/>
  <c r="AE25" i="1"/>
  <c r="AA25" i="1" s="1"/>
  <c r="W25" i="1" s="1"/>
  <c r="S25" i="1" s="1"/>
  <c r="O25" i="1" s="1"/>
  <c r="K25" i="1" s="1"/>
  <c r="AB14" i="25" l="1"/>
  <c r="CF24" i="24"/>
  <c r="M39" i="1"/>
  <c r="Y27" i="25" s="1"/>
  <c r="M30" i="1"/>
  <c r="Y18" i="25" s="1"/>
  <c r="M37" i="1"/>
  <c r="M22" i="1"/>
  <c r="J30" i="25" s="1"/>
  <c r="M19" i="1"/>
  <c r="J27" i="25" s="1"/>
  <c r="M35" i="1"/>
  <c r="M18" i="1"/>
  <c r="J26" i="25" s="1"/>
  <c r="M34" i="1"/>
  <c r="Y22" i="25" s="1"/>
  <c r="M38" i="1"/>
  <c r="Y26" i="25" s="1"/>
  <c r="M43" i="1"/>
  <c r="Y31" i="25" s="1"/>
  <c r="U27" i="1"/>
  <c r="AA15" i="25" s="1"/>
  <c r="M21" i="1"/>
  <c r="J29" i="25" s="1"/>
  <c r="M32" i="1"/>
  <c r="I42" i="1"/>
  <c r="X30" i="25" s="1"/>
  <c r="M40" i="1"/>
  <c r="Y28" i="25" s="1"/>
  <c r="M29" i="1"/>
  <c r="Y17" i="25" s="1"/>
  <c r="M33" i="1"/>
  <c r="Y21" i="25" s="1"/>
  <c r="M20" i="1"/>
  <c r="J28" i="25" s="1"/>
  <c r="U26" i="1"/>
  <c r="AA14" i="25" s="1"/>
  <c r="M31" i="1"/>
  <c r="Y19" i="25" s="1"/>
  <c r="M28" i="1"/>
  <c r="Y16" i="25" s="1"/>
  <c r="M41" i="1"/>
  <c r="Y29" i="25" s="1"/>
  <c r="M36" i="1"/>
  <c r="Y24" i="25" s="1"/>
  <c r="M44" i="1"/>
  <c r="Y32" i="25" s="1"/>
  <c r="AC25" i="1"/>
  <c r="N33" i="25" s="1"/>
  <c r="AC6" i="1"/>
  <c r="N14" i="25" s="1"/>
  <c r="H64" i="16"/>
  <c r="H199" i="16"/>
  <c r="H197" i="16"/>
  <c r="H196" i="16"/>
  <c r="H135" i="16"/>
  <c r="H132" i="16"/>
  <c r="H130" i="16"/>
  <c r="H125" i="16"/>
  <c r="H71" i="16"/>
  <c r="H70" i="16"/>
  <c r="H61" i="16"/>
  <c r="H60" i="16"/>
  <c r="H56" i="16"/>
  <c r="H55" i="16"/>
  <c r="H52" i="16"/>
  <c r="H49" i="16"/>
  <c r="H33" i="16"/>
  <c r="H32" i="16"/>
  <c r="H31" i="16"/>
  <c r="H6" i="16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2" i="3"/>
  <c r="V88" i="3"/>
  <c r="W68" i="3"/>
  <c r="W57" i="3"/>
  <c r="W61" i="3"/>
  <c r="W2" i="3"/>
  <c r="P3" i="3"/>
  <c r="Q3" i="3"/>
  <c r="R3" i="3"/>
  <c r="P4" i="3"/>
  <c r="Q4" i="3"/>
  <c r="R4" i="3"/>
  <c r="P5" i="3"/>
  <c r="Q5" i="3"/>
  <c r="R5" i="3"/>
  <c r="P6" i="3"/>
  <c r="Q6" i="3"/>
  <c r="R6" i="3"/>
  <c r="P7" i="3"/>
  <c r="Q7" i="3"/>
  <c r="R7" i="3"/>
  <c r="P8" i="3"/>
  <c r="Q8" i="3"/>
  <c r="R8" i="3"/>
  <c r="P9" i="3"/>
  <c r="Q9" i="3"/>
  <c r="R9" i="3"/>
  <c r="P10" i="3"/>
  <c r="Q10" i="3"/>
  <c r="R10" i="3"/>
  <c r="P11" i="3"/>
  <c r="Q11" i="3"/>
  <c r="R11" i="3"/>
  <c r="P12" i="3"/>
  <c r="Q12" i="3"/>
  <c r="R12" i="3"/>
  <c r="P13" i="3"/>
  <c r="Q13" i="3"/>
  <c r="R13" i="3"/>
  <c r="P14" i="3"/>
  <c r="Q14" i="3"/>
  <c r="R14" i="3"/>
  <c r="P15" i="3"/>
  <c r="Q15" i="3"/>
  <c r="R15" i="3"/>
  <c r="P16" i="3"/>
  <c r="Q16" i="3"/>
  <c r="R16" i="3"/>
  <c r="P17" i="3"/>
  <c r="Q17" i="3"/>
  <c r="R17" i="3"/>
  <c r="P18" i="3"/>
  <c r="Q18" i="3"/>
  <c r="R18" i="3"/>
  <c r="P19" i="3"/>
  <c r="Q19" i="3"/>
  <c r="R19" i="3"/>
  <c r="P20" i="3"/>
  <c r="Q20" i="3"/>
  <c r="R20" i="3"/>
  <c r="P21" i="3"/>
  <c r="Q21" i="3"/>
  <c r="R21" i="3"/>
  <c r="P22" i="3"/>
  <c r="Q22" i="3"/>
  <c r="R22" i="3"/>
  <c r="P23" i="3"/>
  <c r="Q23" i="3"/>
  <c r="R23" i="3"/>
  <c r="P24" i="3"/>
  <c r="Q24" i="3"/>
  <c r="R24" i="3"/>
  <c r="P25" i="3"/>
  <c r="Q25" i="3"/>
  <c r="R25" i="3"/>
  <c r="P26" i="3"/>
  <c r="Q26" i="3"/>
  <c r="R26" i="3"/>
  <c r="P27" i="3"/>
  <c r="Q27" i="3"/>
  <c r="R27" i="3"/>
  <c r="P28" i="3"/>
  <c r="Q28" i="3"/>
  <c r="R28" i="3"/>
  <c r="P29" i="3"/>
  <c r="Q29" i="3"/>
  <c r="R29" i="3"/>
  <c r="P30" i="3"/>
  <c r="Q30" i="3"/>
  <c r="R30" i="3"/>
  <c r="P31" i="3"/>
  <c r="Q31" i="3"/>
  <c r="R31" i="3"/>
  <c r="P32" i="3"/>
  <c r="Q32" i="3"/>
  <c r="R32" i="3"/>
  <c r="P33" i="3"/>
  <c r="Q33" i="3"/>
  <c r="R33" i="3"/>
  <c r="P34" i="3"/>
  <c r="Q34" i="3"/>
  <c r="R34" i="3"/>
  <c r="P35" i="3"/>
  <c r="Q35" i="3"/>
  <c r="R35" i="3"/>
  <c r="P36" i="3"/>
  <c r="Q36" i="3"/>
  <c r="R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P46" i="3"/>
  <c r="Q46" i="3"/>
  <c r="R46" i="3"/>
  <c r="P47" i="3"/>
  <c r="Q47" i="3"/>
  <c r="R47" i="3"/>
  <c r="P48" i="3"/>
  <c r="Q48" i="3"/>
  <c r="R48" i="3"/>
  <c r="P49" i="3"/>
  <c r="Q49" i="3"/>
  <c r="R49" i="3"/>
  <c r="P50" i="3"/>
  <c r="Q50" i="3"/>
  <c r="R50" i="3"/>
  <c r="P51" i="3"/>
  <c r="Q51" i="3"/>
  <c r="R51" i="3"/>
  <c r="P52" i="3"/>
  <c r="Q52" i="3"/>
  <c r="R52" i="3"/>
  <c r="P53" i="3"/>
  <c r="Q53" i="3"/>
  <c r="R53" i="3"/>
  <c r="P54" i="3"/>
  <c r="Q54" i="3"/>
  <c r="R54" i="3"/>
  <c r="P55" i="3"/>
  <c r="Q55" i="3"/>
  <c r="R55" i="3"/>
  <c r="P56" i="3"/>
  <c r="Q56" i="3"/>
  <c r="R56" i="3"/>
  <c r="P57" i="3"/>
  <c r="Q57" i="3"/>
  <c r="R57" i="3"/>
  <c r="P58" i="3"/>
  <c r="Q58" i="3"/>
  <c r="R58" i="3"/>
  <c r="P59" i="3"/>
  <c r="Q59" i="3"/>
  <c r="R59" i="3"/>
  <c r="P60" i="3"/>
  <c r="Q60" i="3"/>
  <c r="R60" i="3"/>
  <c r="P61" i="3"/>
  <c r="Q61" i="3"/>
  <c r="R61" i="3"/>
  <c r="P62" i="3"/>
  <c r="Q62" i="3"/>
  <c r="R62" i="3"/>
  <c r="P63" i="3"/>
  <c r="Q63" i="3"/>
  <c r="R63" i="3"/>
  <c r="P64" i="3"/>
  <c r="Q64" i="3"/>
  <c r="R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72" i="3"/>
  <c r="P73" i="3"/>
  <c r="Q73" i="3"/>
  <c r="R73" i="3"/>
  <c r="P74" i="3"/>
  <c r="Q74" i="3"/>
  <c r="R74" i="3"/>
  <c r="P75" i="3"/>
  <c r="Q75" i="3"/>
  <c r="R75" i="3"/>
  <c r="P76" i="3"/>
  <c r="Q76" i="3"/>
  <c r="R76" i="3"/>
  <c r="P77" i="3"/>
  <c r="Q77" i="3"/>
  <c r="R77" i="3"/>
  <c r="P78" i="3"/>
  <c r="Q78" i="3"/>
  <c r="R78" i="3"/>
  <c r="P79" i="3"/>
  <c r="Q79" i="3"/>
  <c r="R79" i="3"/>
  <c r="P80" i="3"/>
  <c r="Q80" i="3"/>
  <c r="R80" i="3"/>
  <c r="P81" i="3"/>
  <c r="Q81" i="3"/>
  <c r="R81" i="3"/>
  <c r="P82" i="3"/>
  <c r="Q82" i="3"/>
  <c r="R82" i="3"/>
  <c r="P83" i="3"/>
  <c r="Q83" i="3"/>
  <c r="R83" i="3"/>
  <c r="P84" i="3"/>
  <c r="Q84" i="3"/>
  <c r="R84" i="3"/>
  <c r="P85" i="3"/>
  <c r="Q85" i="3"/>
  <c r="R85" i="3"/>
  <c r="P86" i="3"/>
  <c r="Q86" i="3"/>
  <c r="R86" i="3"/>
  <c r="P87" i="3"/>
  <c r="Q87" i="3"/>
  <c r="R87" i="3"/>
  <c r="P88" i="3"/>
  <c r="Q88" i="3"/>
  <c r="R88" i="3"/>
  <c r="P89" i="3"/>
  <c r="Q89" i="3"/>
  <c r="R89" i="3"/>
  <c r="P90" i="3"/>
  <c r="Q90" i="3"/>
  <c r="R90" i="3"/>
  <c r="P91" i="3"/>
  <c r="Q91" i="3"/>
  <c r="R91" i="3"/>
  <c r="P92" i="3"/>
  <c r="Q92" i="3"/>
  <c r="R92" i="3"/>
  <c r="P93" i="3"/>
  <c r="Q93" i="3"/>
  <c r="R93" i="3"/>
  <c r="P94" i="3"/>
  <c r="Q94" i="3"/>
  <c r="R94" i="3"/>
  <c r="P95" i="3"/>
  <c r="Q95" i="3"/>
  <c r="R95" i="3"/>
  <c r="P96" i="3"/>
  <c r="Q96" i="3"/>
  <c r="R96" i="3"/>
  <c r="P97" i="3"/>
  <c r="Q97" i="3"/>
  <c r="R97" i="3"/>
  <c r="P98" i="3"/>
  <c r="Q98" i="3"/>
  <c r="R98" i="3"/>
  <c r="P99" i="3"/>
  <c r="Q99" i="3"/>
  <c r="R99" i="3"/>
  <c r="P100" i="3"/>
  <c r="Q100" i="3"/>
  <c r="R100" i="3"/>
  <c r="P101" i="3"/>
  <c r="Q101" i="3"/>
  <c r="R101" i="3"/>
  <c r="P102" i="3"/>
  <c r="Q102" i="3"/>
  <c r="R102" i="3"/>
  <c r="P103" i="3"/>
  <c r="Q103" i="3"/>
  <c r="R103" i="3"/>
  <c r="P104" i="3"/>
  <c r="Q104" i="3"/>
  <c r="R104" i="3"/>
  <c r="P105" i="3"/>
  <c r="Q105" i="3"/>
  <c r="R105" i="3"/>
  <c r="P106" i="3"/>
  <c r="Q106" i="3"/>
  <c r="R106" i="3"/>
  <c r="P107" i="3"/>
  <c r="Q107" i="3"/>
  <c r="R107" i="3"/>
  <c r="P108" i="3"/>
  <c r="Q108" i="3"/>
  <c r="R108" i="3"/>
  <c r="P109" i="3"/>
  <c r="Q109" i="3"/>
  <c r="R109" i="3"/>
  <c r="P110" i="3"/>
  <c r="Q110" i="3"/>
  <c r="R110" i="3"/>
  <c r="P111" i="3"/>
  <c r="Q111" i="3"/>
  <c r="R111" i="3"/>
  <c r="P112" i="3"/>
  <c r="Q112" i="3"/>
  <c r="R112" i="3"/>
  <c r="P113" i="3"/>
  <c r="Q113" i="3"/>
  <c r="R113" i="3"/>
  <c r="P114" i="3"/>
  <c r="Q114" i="3"/>
  <c r="R114" i="3"/>
  <c r="P115" i="3"/>
  <c r="Q115" i="3"/>
  <c r="R115" i="3"/>
  <c r="P116" i="3"/>
  <c r="Q116" i="3"/>
  <c r="R116" i="3"/>
  <c r="P117" i="3"/>
  <c r="Q117" i="3"/>
  <c r="R117" i="3"/>
  <c r="P118" i="3"/>
  <c r="Q118" i="3"/>
  <c r="R118" i="3"/>
  <c r="P119" i="3"/>
  <c r="Q119" i="3"/>
  <c r="R119" i="3"/>
  <c r="P120" i="3"/>
  <c r="Q120" i="3"/>
  <c r="R120" i="3"/>
  <c r="P121" i="3"/>
  <c r="Q121" i="3"/>
  <c r="R121" i="3"/>
  <c r="P122" i="3"/>
  <c r="Q122" i="3"/>
  <c r="R122" i="3"/>
  <c r="P123" i="3"/>
  <c r="Q123" i="3"/>
  <c r="R123" i="3"/>
  <c r="P124" i="3"/>
  <c r="Q124" i="3"/>
  <c r="R124" i="3"/>
  <c r="P125" i="3"/>
  <c r="Q125" i="3"/>
  <c r="R125" i="3"/>
  <c r="P126" i="3"/>
  <c r="Q126" i="3"/>
  <c r="R126" i="3"/>
  <c r="P127" i="3"/>
  <c r="Q127" i="3"/>
  <c r="R127" i="3"/>
  <c r="P128" i="3"/>
  <c r="Q128" i="3"/>
  <c r="R128" i="3"/>
  <c r="P129" i="3"/>
  <c r="Q129" i="3"/>
  <c r="R129" i="3"/>
  <c r="P130" i="3"/>
  <c r="Q130" i="3"/>
  <c r="R130" i="3"/>
  <c r="P131" i="3"/>
  <c r="Q131" i="3"/>
  <c r="R131" i="3"/>
  <c r="P132" i="3"/>
  <c r="Q132" i="3"/>
  <c r="R132" i="3"/>
  <c r="P133" i="3"/>
  <c r="Q133" i="3"/>
  <c r="R133" i="3"/>
  <c r="P134" i="3"/>
  <c r="Q134" i="3"/>
  <c r="R134" i="3"/>
  <c r="P135" i="3"/>
  <c r="Q135" i="3"/>
  <c r="R135" i="3"/>
  <c r="P136" i="3"/>
  <c r="Q136" i="3"/>
  <c r="R136" i="3"/>
  <c r="P137" i="3"/>
  <c r="Q137" i="3"/>
  <c r="R137" i="3"/>
  <c r="P138" i="3"/>
  <c r="Q138" i="3"/>
  <c r="R138" i="3"/>
  <c r="P139" i="3"/>
  <c r="Q139" i="3"/>
  <c r="R139" i="3"/>
  <c r="P140" i="3"/>
  <c r="Q140" i="3"/>
  <c r="R140" i="3"/>
  <c r="P141" i="3"/>
  <c r="Q141" i="3"/>
  <c r="R141" i="3"/>
  <c r="P142" i="3"/>
  <c r="Q142" i="3"/>
  <c r="R142" i="3"/>
  <c r="P143" i="3"/>
  <c r="Q143" i="3"/>
  <c r="R143" i="3"/>
  <c r="P144" i="3"/>
  <c r="Q144" i="3"/>
  <c r="R144" i="3"/>
  <c r="P145" i="3"/>
  <c r="Q145" i="3"/>
  <c r="R145" i="3"/>
  <c r="P146" i="3"/>
  <c r="Q146" i="3"/>
  <c r="R146" i="3"/>
  <c r="P147" i="3"/>
  <c r="Q147" i="3"/>
  <c r="R147" i="3"/>
  <c r="P148" i="3"/>
  <c r="Q148" i="3"/>
  <c r="R148" i="3"/>
  <c r="P149" i="3"/>
  <c r="Q149" i="3"/>
  <c r="R149" i="3"/>
  <c r="P150" i="3"/>
  <c r="Q150" i="3"/>
  <c r="R150" i="3"/>
  <c r="P151" i="3"/>
  <c r="Q151" i="3"/>
  <c r="R151" i="3"/>
  <c r="P152" i="3"/>
  <c r="Q152" i="3"/>
  <c r="R152" i="3"/>
  <c r="S2" i="3"/>
  <c r="R2" i="3"/>
  <c r="Q2" i="3"/>
  <c r="P2" i="3"/>
  <c r="W3" i="3"/>
  <c r="S67" i="3"/>
  <c r="O67" i="3"/>
  <c r="T67" i="3" s="1"/>
  <c r="W103" i="3"/>
  <c r="W40" i="3"/>
  <c r="Y23" i="25" l="1"/>
  <c r="CF33" i="24"/>
  <c r="Y20" i="25"/>
  <c r="CF30" i="24"/>
  <c r="Y25" i="25"/>
  <c r="CF35" i="24"/>
  <c r="I31" i="1"/>
  <c r="X19" i="25" s="1"/>
  <c r="I34" i="1"/>
  <c r="X22" i="25" s="1"/>
  <c r="I29" i="1"/>
  <c r="X17" i="25" s="1"/>
  <c r="I21" i="1"/>
  <c r="I29" i="25" s="1"/>
  <c r="I22" i="1"/>
  <c r="I30" i="25" s="1"/>
  <c r="I36" i="1"/>
  <c r="Q26" i="1"/>
  <c r="Z14" i="25" s="1"/>
  <c r="I40" i="1"/>
  <c r="X28" i="25" s="1"/>
  <c r="Q27" i="1"/>
  <c r="Z15" i="25" s="1"/>
  <c r="I18" i="1"/>
  <c r="I26" i="25" s="1"/>
  <c r="I37" i="1"/>
  <c r="X25" i="25" s="1"/>
  <c r="I41" i="1"/>
  <c r="X29" i="25" s="1"/>
  <c r="I20" i="1"/>
  <c r="I28" i="25" s="1"/>
  <c r="I43" i="1"/>
  <c r="X31" i="25" s="1"/>
  <c r="I35" i="1"/>
  <c r="X23" i="25" s="1"/>
  <c r="I30" i="1"/>
  <c r="X18" i="25" s="1"/>
  <c r="Y6" i="1"/>
  <c r="M14" i="25" s="1"/>
  <c r="I28" i="1"/>
  <c r="X16" i="25" s="1"/>
  <c r="I33" i="1"/>
  <c r="X21" i="25" s="1"/>
  <c r="I32" i="1"/>
  <c r="X20" i="25" s="1"/>
  <c r="I38" i="1"/>
  <c r="X26" i="25" s="1"/>
  <c r="I19" i="1"/>
  <c r="I27" i="25" s="1"/>
  <c r="I39" i="1"/>
  <c r="X27" i="25" s="1"/>
  <c r="I44" i="1"/>
  <c r="X32" i="25" s="1"/>
  <c r="Y25" i="1"/>
  <c r="M33" i="25" s="1"/>
  <c r="AC11" i="1"/>
  <c r="N19" i="25" s="1"/>
  <c r="AC12" i="1"/>
  <c r="N20" i="25" s="1"/>
  <c r="AC13" i="1"/>
  <c r="AC14" i="1"/>
  <c r="N22" i="25" s="1"/>
  <c r="AC7" i="1"/>
  <c r="N15" i="25" s="1"/>
  <c r="AC15" i="1"/>
  <c r="N23" i="25" s="1"/>
  <c r="AC23" i="1"/>
  <c r="AC16" i="1"/>
  <c r="N24" i="25" s="1"/>
  <c r="AC24" i="1"/>
  <c r="AC9" i="1"/>
  <c r="AC17" i="1"/>
  <c r="N25" i="25" s="1"/>
  <c r="AC10" i="1"/>
  <c r="N18" i="25" s="1"/>
  <c r="V67" i="3"/>
  <c r="X24" i="25" l="1"/>
  <c r="CF34" i="24"/>
  <c r="N31" i="25"/>
  <c r="CF21" i="24"/>
  <c r="N32" i="25"/>
  <c r="CF22" i="24"/>
  <c r="N17" i="25"/>
  <c r="N21" i="25"/>
  <c r="CF11" i="24"/>
  <c r="CF38" i="24"/>
  <c r="M27" i="1"/>
  <c r="Y15" i="25" s="1"/>
  <c r="M26" i="1"/>
  <c r="Y14" i="25" s="1"/>
  <c r="U25" i="1"/>
  <c r="L33" i="25" s="1"/>
  <c r="Y17" i="1"/>
  <c r="M25" i="25" s="1"/>
  <c r="Y8" i="1"/>
  <c r="M16" i="25" s="1"/>
  <c r="Y9" i="1"/>
  <c r="M17" i="25" s="1"/>
  <c r="Y23" i="1"/>
  <c r="M31" i="25" s="1"/>
  <c r="Y14" i="1"/>
  <c r="M22" i="25" s="1"/>
  <c r="Y12" i="1"/>
  <c r="M20" i="25" s="1"/>
  <c r="Y24" i="1"/>
  <c r="M32" i="25" s="1"/>
  <c r="Y15" i="1"/>
  <c r="M23" i="25" s="1"/>
  <c r="Y10" i="1"/>
  <c r="M18" i="25" s="1"/>
  <c r="Y16" i="1"/>
  <c r="M24" i="25" s="1"/>
  <c r="Y7" i="1"/>
  <c r="M15" i="25" s="1"/>
  <c r="Y13" i="1"/>
  <c r="M21" i="25" s="1"/>
  <c r="Y11" i="1"/>
  <c r="M19" i="25" s="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4" i="11"/>
  <c r="F87" i="11"/>
  <c r="F67" i="11"/>
  <c r="F66" i="11"/>
  <c r="F65" i="11"/>
  <c r="F60" i="11"/>
  <c r="F59" i="11"/>
  <c r="F58" i="11"/>
  <c r="F57" i="11"/>
  <c r="F56" i="11"/>
  <c r="F55" i="11"/>
  <c r="F54" i="11"/>
  <c r="F53" i="11"/>
  <c r="F41" i="11"/>
  <c r="F52" i="11"/>
  <c r="F51" i="11"/>
  <c r="F50" i="11"/>
  <c r="F49" i="11"/>
  <c r="F48" i="11"/>
  <c r="F47" i="11"/>
  <c r="F46" i="11"/>
  <c r="F44" i="11"/>
  <c r="F43" i="11"/>
  <c r="F42" i="11"/>
  <c r="F40" i="11"/>
  <c r="F45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CF7" i="24" l="1"/>
  <c r="I26" i="1"/>
  <c r="X14" i="25" s="1"/>
  <c r="I27" i="1"/>
  <c r="X15" i="25" s="1"/>
  <c r="Q25" i="1"/>
  <c r="K33" i="25" s="1"/>
  <c r="F88" i="11"/>
  <c r="F86" i="11"/>
  <c r="F85" i="11"/>
  <c r="F6" i="11"/>
  <c r="F7" i="11"/>
  <c r="F61" i="11"/>
  <c r="F62" i="11"/>
  <c r="F63" i="11"/>
  <c r="F68" i="11"/>
  <c r="F69" i="11"/>
  <c r="M25" i="1" l="1"/>
  <c r="J33" i="25" s="1"/>
  <c r="Q7" i="23"/>
  <c r="S7" i="23" s="1"/>
  <c r="Q8" i="23"/>
  <c r="S8" i="23" s="1"/>
  <c r="Q9" i="23"/>
  <c r="S9" i="23" s="1"/>
  <c r="Q10" i="23"/>
  <c r="S10" i="23" s="1"/>
  <c r="Q11" i="23"/>
  <c r="Q12" i="23"/>
  <c r="S12" i="23" s="1"/>
  <c r="Q13" i="23"/>
  <c r="S13" i="23" s="1"/>
  <c r="Q14" i="23"/>
  <c r="Q15" i="23"/>
  <c r="S15" i="23" s="1"/>
  <c r="Q16" i="23"/>
  <c r="Q17" i="23"/>
  <c r="Q18" i="23"/>
  <c r="Q19" i="23"/>
  <c r="S19" i="23" s="1"/>
  <c r="Q20" i="23"/>
  <c r="S20" i="23" s="1"/>
  <c r="Q21" i="23"/>
  <c r="S21" i="23" s="1"/>
  <c r="Q22" i="23"/>
  <c r="Q23" i="23"/>
  <c r="S23" i="23" s="1"/>
  <c r="Q24" i="23"/>
  <c r="S24" i="23" s="1"/>
  <c r="Q25" i="23"/>
  <c r="Q26" i="23"/>
  <c r="Q27" i="23"/>
  <c r="S27" i="23" s="1"/>
  <c r="Q28" i="23"/>
  <c r="S28" i="23" s="1"/>
  <c r="Q29" i="23"/>
  <c r="S29" i="23" s="1"/>
  <c r="Q30" i="23"/>
  <c r="S30" i="23" s="1"/>
  <c r="Q31" i="23"/>
  <c r="S31" i="23" s="1"/>
  <c r="Q32" i="23"/>
  <c r="S32" i="23" s="1"/>
  <c r="Q33" i="23"/>
  <c r="S33" i="23" s="1"/>
  <c r="S22" i="23"/>
  <c r="S26" i="23"/>
  <c r="S25" i="23"/>
  <c r="S18" i="23"/>
  <c r="S17" i="23"/>
  <c r="S16" i="23"/>
  <c r="S14" i="23"/>
  <c r="S11" i="23"/>
  <c r="S8" i="21"/>
  <c r="S21" i="21"/>
  <c r="S22" i="21"/>
  <c r="S37" i="21"/>
  <c r="S42" i="21"/>
  <c r="S53" i="21"/>
  <c r="S62" i="21"/>
  <c r="Q7" i="21"/>
  <c r="S7" i="21" s="1"/>
  <c r="Q8" i="21"/>
  <c r="Q9" i="21"/>
  <c r="S9" i="21" s="1"/>
  <c r="Q10" i="21"/>
  <c r="S10" i="21" s="1"/>
  <c r="Q11" i="21"/>
  <c r="S11" i="21" s="1"/>
  <c r="Q12" i="21"/>
  <c r="S12" i="21" s="1"/>
  <c r="Q13" i="21"/>
  <c r="S13" i="21" s="1"/>
  <c r="Q14" i="21"/>
  <c r="S14" i="21" s="1"/>
  <c r="Q15" i="21"/>
  <c r="S15" i="21" s="1"/>
  <c r="Q16" i="21"/>
  <c r="S16" i="21" s="1"/>
  <c r="Q17" i="21"/>
  <c r="S17" i="21" s="1"/>
  <c r="Q18" i="21"/>
  <c r="S18" i="21" s="1"/>
  <c r="Q19" i="21"/>
  <c r="S19" i="21" s="1"/>
  <c r="Q20" i="21"/>
  <c r="S20" i="21" s="1"/>
  <c r="Q21" i="21"/>
  <c r="Q22" i="21"/>
  <c r="Q23" i="21"/>
  <c r="S23" i="21" s="1"/>
  <c r="Q24" i="21"/>
  <c r="S24" i="21" s="1"/>
  <c r="Q25" i="21"/>
  <c r="S25" i="21" s="1"/>
  <c r="Q26" i="21"/>
  <c r="S26" i="21" s="1"/>
  <c r="Q27" i="21"/>
  <c r="S27" i="21" s="1"/>
  <c r="Q28" i="21"/>
  <c r="S28" i="21" s="1"/>
  <c r="Q29" i="21"/>
  <c r="S29" i="21" s="1"/>
  <c r="Q30" i="21"/>
  <c r="S30" i="21" s="1"/>
  <c r="Q31" i="21"/>
  <c r="S31" i="21" s="1"/>
  <c r="Q32" i="21"/>
  <c r="S32" i="21" s="1"/>
  <c r="Q33" i="21"/>
  <c r="S33" i="21" s="1"/>
  <c r="Q34" i="21"/>
  <c r="S34" i="21" s="1"/>
  <c r="Q35" i="21"/>
  <c r="S35" i="21" s="1"/>
  <c r="Q36" i="21"/>
  <c r="S36" i="21" s="1"/>
  <c r="Q37" i="21"/>
  <c r="Q38" i="21"/>
  <c r="S38" i="21" s="1"/>
  <c r="Q39" i="21"/>
  <c r="S39" i="21" s="1"/>
  <c r="Q40" i="21"/>
  <c r="S40" i="21" s="1"/>
  <c r="Q41" i="21"/>
  <c r="S41" i="21" s="1"/>
  <c r="Q42" i="21"/>
  <c r="Q43" i="21"/>
  <c r="S43" i="21" s="1"/>
  <c r="Q44" i="21"/>
  <c r="S44" i="21" s="1"/>
  <c r="Q45" i="21"/>
  <c r="S45" i="21" s="1"/>
  <c r="Q46" i="21"/>
  <c r="S46" i="21" s="1"/>
  <c r="Q47" i="21"/>
  <c r="S47" i="21" s="1"/>
  <c r="Q48" i="21"/>
  <c r="S48" i="21" s="1"/>
  <c r="Q49" i="21"/>
  <c r="S49" i="21" s="1"/>
  <c r="Q50" i="21"/>
  <c r="S50" i="21" s="1"/>
  <c r="Q51" i="21"/>
  <c r="S51" i="21" s="1"/>
  <c r="Q52" i="21"/>
  <c r="S52" i="21" s="1"/>
  <c r="Q53" i="21"/>
  <c r="Q54" i="21"/>
  <c r="S54" i="21" s="1"/>
  <c r="Q55" i="21"/>
  <c r="S55" i="21" s="1"/>
  <c r="Q56" i="21"/>
  <c r="S56" i="21" s="1"/>
  <c r="Q57" i="21"/>
  <c r="S57" i="21" s="1"/>
  <c r="Q58" i="21"/>
  <c r="S58" i="21" s="1"/>
  <c r="Q59" i="21"/>
  <c r="S59" i="21" s="1"/>
  <c r="Q60" i="21"/>
  <c r="S60" i="21" s="1"/>
  <c r="Q61" i="21"/>
  <c r="S61" i="21" s="1"/>
  <c r="Q62" i="21"/>
  <c r="Q63" i="21"/>
  <c r="S63" i="21" s="1"/>
  <c r="Q6" i="21"/>
  <c r="S6" i="21" s="1"/>
  <c r="I25" i="1" l="1"/>
  <c r="I33" i="25" s="1"/>
  <c r="S5" i="23"/>
  <c r="C3" i="23" s="1"/>
  <c r="AF30" i="5" s="1"/>
  <c r="Q5" i="23"/>
  <c r="R6" i="23"/>
  <c r="R4" i="23" s="1"/>
  <c r="B3" i="23" s="1"/>
  <c r="E30" i="5" s="1"/>
  <c r="S5" i="21"/>
  <c r="C3" i="21" s="1"/>
  <c r="R6" i="21"/>
  <c r="R4" i="21" s="1"/>
  <c r="Q5" i="21"/>
  <c r="B3" i="21" l="1"/>
  <c r="CU7" i="5" l="1"/>
  <c r="CU8" i="5"/>
  <c r="CU9" i="5"/>
  <c r="CU10" i="5"/>
  <c r="CU11" i="5"/>
  <c r="CU12" i="5"/>
  <c r="CU13" i="5"/>
  <c r="CU14" i="5"/>
  <c r="CU15" i="5"/>
  <c r="CU16" i="5"/>
  <c r="CU17" i="5"/>
  <c r="CU18" i="5"/>
  <c r="CU19" i="5"/>
  <c r="CU20" i="5"/>
  <c r="W136" i="3" l="1"/>
  <c r="W137" i="3" s="1"/>
  <c r="W138" i="3" s="1"/>
  <c r="W125" i="3"/>
  <c r="W126" i="3" s="1"/>
  <c r="W127" i="3" s="1"/>
  <c r="W128" i="3" s="1"/>
  <c r="W129" i="3" s="1"/>
  <c r="W130" i="3" s="1"/>
  <c r="W131" i="3" s="1"/>
  <c r="W132" i="3" s="1"/>
  <c r="W133" i="3" s="1"/>
  <c r="W134" i="3" s="1"/>
  <c r="W121" i="3"/>
  <c r="W122" i="3" s="1"/>
  <c r="W104" i="3"/>
  <c r="W105" i="3" s="1"/>
  <c r="W106" i="3" s="1"/>
  <c r="W107" i="3" s="1"/>
  <c r="W108" i="3" s="1"/>
  <c r="W109" i="3" s="1"/>
  <c r="W110" i="3" s="1"/>
  <c r="W111" i="3" s="1"/>
  <c r="W112" i="3" s="1"/>
  <c r="W113" i="3" s="1"/>
  <c r="W114" i="3" s="1"/>
  <c r="W115" i="3" s="1"/>
  <c r="W116" i="3" s="1"/>
  <c r="W117" i="3" s="1"/>
  <c r="W118" i="3" s="1"/>
  <c r="W119" i="3" s="1"/>
  <c r="W101" i="3"/>
  <c r="W102" i="3" s="1"/>
  <c r="W145" i="3" s="1"/>
  <c r="W146" i="3" s="1"/>
  <c r="W147" i="3" s="1"/>
  <c r="W148" i="3" s="1"/>
  <c r="W149" i="3" s="1"/>
  <c r="W150" i="3" s="1"/>
  <c r="W151" i="3" s="1"/>
  <c r="W152" i="3" s="1"/>
  <c r="W70" i="3"/>
  <c r="W71" i="3" s="1"/>
  <c r="W77" i="3" s="1"/>
  <c r="W78" i="3" s="1"/>
  <c r="W79" i="3" s="1"/>
  <c r="W80" i="3" s="1"/>
  <c r="W81" i="3" s="1"/>
  <c r="W84" i="3" s="1"/>
  <c r="W85" i="3" s="1"/>
  <c r="W86" i="3" s="1"/>
  <c r="W88" i="3" s="1"/>
  <c r="W89" i="3" s="1"/>
  <c r="W90" i="3" s="1"/>
  <c r="W91" i="3" s="1"/>
  <c r="W92" i="3" s="1"/>
  <c r="W93" i="3" s="1"/>
  <c r="W94" i="3" s="1"/>
  <c r="W95" i="3" s="1"/>
  <c r="W97" i="3" s="1"/>
  <c r="W98" i="3" s="1"/>
  <c r="W99" i="3" s="1"/>
  <c r="W65" i="3"/>
  <c r="W66" i="3" s="1"/>
  <c r="W72" i="3" s="1"/>
  <c r="W41" i="3"/>
  <c r="W42" i="3" s="1"/>
  <c r="W43" i="3" s="1"/>
  <c r="W44" i="3" s="1"/>
  <c r="W45" i="3" s="1"/>
  <c r="W46" i="3" s="1"/>
  <c r="W47" i="3" s="1"/>
  <c r="W49" i="3" s="1"/>
  <c r="W50" i="3" s="1"/>
  <c r="W51" i="3" s="1"/>
  <c r="W52" i="3" s="1"/>
  <c r="W53" i="3" s="1"/>
  <c r="W54" i="3" s="1"/>
  <c r="W55" i="3" s="1"/>
  <c r="W56" i="3" s="1"/>
  <c r="W17" i="3"/>
  <c r="W18" i="3" s="1"/>
  <c r="W19" i="3" s="1"/>
  <c r="W20" i="3" s="1"/>
  <c r="W21" i="3" s="1"/>
  <c r="W22" i="3" s="1"/>
  <c r="W25" i="3" s="1"/>
  <c r="W26" i="3" s="1"/>
  <c r="W27" i="3" s="1"/>
  <c r="W28" i="3" s="1"/>
  <c r="W16" i="3"/>
  <c r="W10" i="3"/>
  <c r="W11" i="3" s="1"/>
  <c r="W12" i="3" s="1"/>
  <c r="W4" i="3"/>
  <c r="W5" i="3" s="1"/>
  <c r="W6" i="3" s="1"/>
  <c r="W7" i="3" s="1"/>
  <c r="W8" i="3" s="1"/>
  <c r="W73" i="3" l="1"/>
  <c r="W74" i="3" s="1"/>
  <c r="W75" i="3" s="1"/>
  <c r="W82" i="3" s="1"/>
  <c r="W83" i="3" s="1"/>
  <c r="W96" i="3" s="1"/>
  <c r="W139" i="3" s="1"/>
  <c r="W140" i="3" s="1"/>
  <c r="W141" i="3" s="1"/>
  <c r="W142" i="3" s="1"/>
  <c r="W143" i="3" s="1"/>
  <c r="W144" i="3" s="1"/>
  <c r="W30" i="3"/>
  <c r="W31" i="3" s="1"/>
  <c r="W32" i="3" s="1"/>
  <c r="W33" i="3" s="1"/>
  <c r="W34" i="3" s="1"/>
  <c r="W35" i="3" s="1"/>
  <c r="W36" i="3" s="1"/>
  <c r="W37" i="3" s="1"/>
  <c r="W38" i="3" s="1"/>
  <c r="W39" i="3" s="1"/>
  <c r="W13" i="3"/>
  <c r="W14" i="3" s="1"/>
  <c r="W24" i="3" s="1"/>
  <c r="S8" i="3"/>
  <c r="O8" i="3"/>
  <c r="T8" i="3" s="1"/>
  <c r="S7" i="3"/>
  <c r="O7" i="3"/>
  <c r="T7" i="3" s="1"/>
  <c r="W62" i="3" l="1"/>
  <c r="W58" i="3"/>
  <c r="W59" i="3" s="1"/>
  <c r="W63" i="3" l="1"/>
  <c r="W76" i="3" s="1"/>
  <c r="Z67" i="3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34" i="10"/>
  <c r="E41" i="10"/>
  <c r="E40" i="10"/>
  <c r="E39" i="10"/>
  <c r="E38" i="10"/>
  <c r="E37" i="10"/>
  <c r="E36" i="10"/>
  <c r="E35" i="10"/>
  <c r="E44" i="10"/>
  <c r="E42" i="10"/>
  <c r="E43" i="10"/>
  <c r="E56" i="10"/>
  <c r="E55" i="10"/>
  <c r="E53" i="10"/>
  <c r="E52" i="10"/>
  <c r="E51" i="10"/>
  <c r="E50" i="10"/>
  <c r="E57" i="10"/>
  <c r="E54" i="10"/>
  <c r="E48" i="10"/>
  <c r="E46" i="10"/>
  <c r="E49" i="10"/>
  <c r="E45" i="10"/>
  <c r="E47" i="10"/>
  <c r="BO14" i="5"/>
  <c r="BO5" i="5"/>
  <c r="BS14" i="5" l="1"/>
  <c r="BS16" i="5" s="1"/>
  <c r="BZ14" i="5"/>
  <c r="BR14" i="5"/>
  <c r="BR16" i="5" s="1"/>
  <c r="BQ14" i="5"/>
  <c r="BQ16" i="5" s="1"/>
  <c r="CE8" i="5"/>
  <c r="CB6" i="5"/>
  <c r="BU6" i="5"/>
  <c r="BP14" i="5"/>
  <c r="F24" i="8"/>
  <c r="E24" i="8"/>
  <c r="F21" i="8"/>
  <c r="E21" i="8"/>
  <c r="F19" i="8"/>
  <c r="E19" i="8"/>
  <c r="E38" i="8"/>
  <c r="F38" i="8"/>
  <c r="F33" i="8" l="1"/>
  <c r="E33" i="8"/>
  <c r="E16" i="8"/>
  <c r="E15" i="8"/>
  <c r="E14" i="8"/>
  <c r="E13" i="8"/>
  <c r="E12" i="8"/>
  <c r="E11" i="8"/>
  <c r="E10" i="8"/>
  <c r="E9" i="8"/>
  <c r="E8" i="8"/>
  <c r="E7" i="8"/>
  <c r="F11" i="8"/>
  <c r="F10" i="8"/>
  <c r="F13" i="8"/>
  <c r="F12" i="8"/>
  <c r="F8" i="8"/>
  <c r="F31" i="8"/>
  <c r="E31" i="8"/>
  <c r="F30" i="8"/>
  <c r="E30" i="8"/>
  <c r="E50" i="8"/>
  <c r="E49" i="8"/>
  <c r="E48" i="8"/>
  <c r="E47" i="8"/>
  <c r="E44" i="8"/>
  <c r="E43" i="8"/>
  <c r="E42" i="8"/>
  <c r="E37" i="8"/>
  <c r="E36" i="8"/>
  <c r="E35" i="8"/>
  <c r="E34" i="8"/>
  <c r="E32" i="8"/>
  <c r="E29" i="8"/>
  <c r="E28" i="8"/>
  <c r="E25" i="8"/>
  <c r="E23" i="8"/>
  <c r="E22" i="8"/>
  <c r="E20" i="8"/>
  <c r="E18" i="8"/>
  <c r="E17" i="8"/>
  <c r="F36" i="8"/>
  <c r="F35" i="8"/>
  <c r="F32" i="8"/>
  <c r="F34" i="8"/>
  <c r="F16" i="8"/>
  <c r="F50" i="8"/>
  <c r="F49" i="8"/>
  <c r="F48" i="8"/>
  <c r="F47" i="8"/>
  <c r="F44" i="8"/>
  <c r="F43" i="8"/>
  <c r="F42" i="8"/>
  <c r="F37" i="8"/>
  <c r="F29" i="8"/>
  <c r="F28" i="8"/>
  <c r="F18" i="8"/>
  <c r="F20" i="8"/>
  <c r="F22" i="8"/>
  <c r="F23" i="8"/>
  <c r="F25" i="8"/>
  <c r="F17" i="8"/>
  <c r="F7" i="8"/>
  <c r="F9" i="8"/>
  <c r="F14" i="8"/>
  <c r="F15" i="8"/>
  <c r="BO6" i="5"/>
  <c r="BR8" i="5"/>
  <c r="BX6" i="5" l="1"/>
  <c r="BW6" i="5"/>
  <c r="BV6" i="5"/>
  <c r="BR6" i="5"/>
  <c r="CJ16" i="5" s="1"/>
  <c r="BQ6" i="5"/>
  <c r="BP6" i="5"/>
  <c r="CE14" i="5" l="1"/>
  <c r="CE13" i="5"/>
  <c r="CE12" i="5"/>
  <c r="CE11" i="5"/>
  <c r="CB11" i="5" s="1"/>
  <c r="CE10" i="5"/>
  <c r="CB10" i="5" s="1"/>
  <c r="CE9" i="5"/>
  <c r="CI9" i="5" s="1"/>
  <c r="CI7" i="5"/>
  <c r="CE6" i="5"/>
  <c r="CE5" i="5"/>
  <c r="CZ6" i="5"/>
  <c r="BX13" i="5"/>
  <c r="BW13" i="5"/>
  <c r="BV13" i="5"/>
  <c r="BV15" i="5" s="1"/>
  <c r="BU13" i="5"/>
  <c r="BY13" i="5"/>
  <c r="BZ13" i="5"/>
  <c r="CA12" i="5"/>
  <c r="AO16" i="5" l="1"/>
  <c r="AO17" i="5"/>
  <c r="AR15" i="4"/>
  <c r="CZ4" i="5"/>
  <c r="CG8" i="5"/>
  <c r="BP16" i="5"/>
  <c r="BO16" i="5"/>
  <c r="CI6" i="5"/>
  <c r="AO14" i="5"/>
  <c r="BU15" i="5"/>
  <c r="AO15" i="4"/>
  <c r="BW15" i="5"/>
  <c r="BX15" i="5"/>
  <c r="CK12" i="5"/>
  <c r="CI5" i="5"/>
  <c r="CI11" i="5"/>
  <c r="CI8" i="5"/>
  <c r="CI10" i="5"/>
  <c r="CA9" i="5"/>
  <c r="CB9" i="5"/>
  <c r="CA10" i="5"/>
  <c r="CA11" i="5"/>
  <c r="U7" i="1"/>
  <c r="L15" i="25" s="1"/>
  <c r="U8" i="1"/>
  <c r="L16" i="25" s="1"/>
  <c r="U9" i="1"/>
  <c r="L17" i="25" s="1"/>
  <c r="U10" i="1"/>
  <c r="L18" i="25" s="1"/>
  <c r="U11" i="1"/>
  <c r="L19" i="25" s="1"/>
  <c r="U12" i="1"/>
  <c r="L20" i="25" s="1"/>
  <c r="U13" i="1"/>
  <c r="L21" i="25" s="1"/>
  <c r="U14" i="1"/>
  <c r="L22" i="25" s="1"/>
  <c r="U15" i="1"/>
  <c r="U16" i="1"/>
  <c r="L24" i="25" s="1"/>
  <c r="U17" i="1"/>
  <c r="L25" i="25" s="1"/>
  <c r="U23" i="1"/>
  <c r="L31" i="25" s="1"/>
  <c r="U24" i="1"/>
  <c r="L32" i="25" s="1"/>
  <c r="L23" i="25" l="1"/>
  <c r="CF13" i="24"/>
  <c r="AO18" i="5"/>
  <c r="Q13" i="1"/>
  <c r="K21" i="25" s="1"/>
  <c r="Q12" i="1"/>
  <c r="K20" i="25" s="1"/>
  <c r="Q11" i="1"/>
  <c r="K19" i="25" s="1"/>
  <c r="Q10" i="1"/>
  <c r="K18" i="25" s="1"/>
  <c r="Q17" i="1"/>
  <c r="K25" i="25" s="1"/>
  <c r="Q9" i="1"/>
  <c r="K17" i="25" s="1"/>
  <c r="Q24" i="1"/>
  <c r="K32" i="25" s="1"/>
  <c r="Q16" i="1"/>
  <c r="K24" i="25" s="1"/>
  <c r="Q8" i="1"/>
  <c r="K16" i="25" s="1"/>
  <c r="Q23" i="1"/>
  <c r="K31" i="25" s="1"/>
  <c r="Q15" i="1"/>
  <c r="K23" i="25" s="1"/>
  <c r="Q7" i="1"/>
  <c r="K15" i="25" s="1"/>
  <c r="Q14" i="1"/>
  <c r="K22" i="25" s="1"/>
  <c r="U6" i="1"/>
  <c r="L14" i="25" s="1"/>
  <c r="AO15" i="5"/>
  <c r="BU16" i="5"/>
  <c r="AO23" i="5" s="1"/>
  <c r="CI13" i="5"/>
  <c r="AE7" i="1"/>
  <c r="AA7" i="1" s="1"/>
  <c r="W7" i="1" s="1"/>
  <c r="S7" i="1" s="1"/>
  <c r="O7" i="1" s="1"/>
  <c r="K7" i="1" s="1"/>
  <c r="AE8" i="1"/>
  <c r="AA8" i="1" s="1"/>
  <c r="W8" i="1" s="1"/>
  <c r="S8" i="1" s="1"/>
  <c r="O8" i="1" s="1"/>
  <c r="K8" i="1" s="1"/>
  <c r="AE9" i="1"/>
  <c r="AA9" i="1" s="1"/>
  <c r="W9" i="1" s="1"/>
  <c r="S9" i="1" s="1"/>
  <c r="O9" i="1" s="1"/>
  <c r="K9" i="1" s="1"/>
  <c r="AE10" i="1"/>
  <c r="AA10" i="1" s="1"/>
  <c r="W10" i="1" s="1"/>
  <c r="S10" i="1" s="1"/>
  <c r="O10" i="1" s="1"/>
  <c r="K10" i="1" s="1"/>
  <c r="AE11" i="1"/>
  <c r="AA11" i="1" s="1"/>
  <c r="W11" i="1" s="1"/>
  <c r="S11" i="1" s="1"/>
  <c r="O11" i="1" s="1"/>
  <c r="K11" i="1" s="1"/>
  <c r="AE12" i="1"/>
  <c r="AA12" i="1" s="1"/>
  <c r="W12" i="1" s="1"/>
  <c r="S12" i="1" s="1"/>
  <c r="O12" i="1" s="1"/>
  <c r="K12" i="1" s="1"/>
  <c r="AE13" i="1"/>
  <c r="AA13" i="1" s="1"/>
  <c r="W13" i="1" s="1"/>
  <c r="S13" i="1" s="1"/>
  <c r="O13" i="1" s="1"/>
  <c r="K13" i="1" s="1"/>
  <c r="AE14" i="1"/>
  <c r="AA14" i="1" s="1"/>
  <c r="W14" i="1" s="1"/>
  <c r="S14" i="1" s="1"/>
  <c r="O14" i="1" s="1"/>
  <c r="K14" i="1" s="1"/>
  <c r="AE15" i="1"/>
  <c r="AA15" i="1" s="1"/>
  <c r="W15" i="1" s="1"/>
  <c r="S15" i="1" s="1"/>
  <c r="O15" i="1" s="1"/>
  <c r="K15" i="1" s="1"/>
  <c r="AE16" i="1"/>
  <c r="AA16" i="1" s="1"/>
  <c r="W16" i="1" s="1"/>
  <c r="S16" i="1" s="1"/>
  <c r="O16" i="1" s="1"/>
  <c r="K16" i="1" s="1"/>
  <c r="AE17" i="1"/>
  <c r="AA17" i="1" s="1"/>
  <c r="W17" i="1" s="1"/>
  <c r="S17" i="1" s="1"/>
  <c r="O17" i="1" s="1"/>
  <c r="K17" i="1" s="1"/>
  <c r="AE23" i="1"/>
  <c r="AA23" i="1" s="1"/>
  <c r="W23" i="1" s="1"/>
  <c r="S23" i="1" s="1"/>
  <c r="O23" i="1" s="1"/>
  <c r="K23" i="1" s="1"/>
  <c r="AE24" i="1"/>
  <c r="AA24" i="1" s="1"/>
  <c r="W24" i="1" s="1"/>
  <c r="S24" i="1" s="1"/>
  <c r="O24" i="1" s="1"/>
  <c r="K24" i="1" s="1"/>
  <c r="AE6" i="1"/>
  <c r="AA6" i="1" s="1"/>
  <c r="W6" i="1" s="1"/>
  <c r="S6" i="1" s="1"/>
  <c r="O6" i="1" s="1"/>
  <c r="K6" i="1" s="1"/>
  <c r="CL5" i="5" l="1"/>
  <c r="CK5" i="5"/>
  <c r="CK8" i="5"/>
  <c r="CL8" i="5"/>
  <c r="Q6" i="1"/>
  <c r="K14" i="25" s="1"/>
  <c r="W29" i="5"/>
  <c r="W26" i="5"/>
  <c r="DA6" i="5"/>
  <c r="CY6" i="5"/>
  <c r="CX6" i="5"/>
  <c r="CW6" i="5"/>
  <c r="CV6" i="5"/>
  <c r="CU6" i="5"/>
  <c r="CT6" i="5"/>
  <c r="CS6" i="5"/>
  <c r="CS4" i="5" s="1"/>
  <c r="CN6" i="5"/>
  <c r="CN4" i="5" s="1"/>
  <c r="CO6" i="5"/>
  <c r="CO4" i="5" s="1"/>
  <c r="CP6" i="5"/>
  <c r="CP4" i="5" s="1"/>
  <c r="CQ6" i="5"/>
  <c r="CQ4" i="5" s="1"/>
  <c r="CR6" i="5"/>
  <c r="CR4" i="5" s="1"/>
  <c r="AY10" i="4"/>
  <c r="AE15" i="4"/>
  <c r="AH15" i="4" l="1"/>
  <c r="AL15" i="4" s="1"/>
  <c r="CK10" i="5"/>
  <c r="M6" i="1"/>
  <c r="J14" i="25" s="1"/>
  <c r="CX4" i="5"/>
  <c r="CT4" i="5"/>
  <c r="CV4" i="5"/>
  <c r="CU4" i="5"/>
  <c r="CW4" i="5"/>
  <c r="CY4" i="5"/>
  <c r="DA4" i="5"/>
  <c r="CL10" i="5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" i="2"/>
  <c r="Q148" i="2"/>
  <c r="Q147" i="2" s="1"/>
  <c r="Q146" i="2" s="1"/>
  <c r="Q145" i="2" s="1"/>
  <c r="Q144" i="2" s="1"/>
  <c r="Q143" i="2" s="1"/>
  <c r="Q142" i="2" s="1"/>
  <c r="Q141" i="2" s="1"/>
  <c r="Q140" i="2" s="1"/>
  <c r="Q139" i="2" s="1"/>
  <c r="Q138" i="2" s="1"/>
  <c r="Q137" i="2" s="1"/>
  <c r="Q136" i="2" s="1"/>
  <c r="Q135" i="2" s="1"/>
  <c r="Q134" i="2" s="1"/>
  <c r="Q133" i="2" s="1"/>
  <c r="Q132" i="2" s="1"/>
  <c r="Q131" i="2" s="1"/>
  <c r="Q130" i="2" s="1"/>
  <c r="Q129" i="2" s="1"/>
  <c r="Q128" i="2" s="1"/>
  <c r="Q127" i="2" s="1"/>
  <c r="Q126" i="2" s="1"/>
  <c r="Q125" i="2" s="1"/>
  <c r="Q124" i="2" s="1"/>
  <c r="Q123" i="2" s="1"/>
  <c r="Q122" i="2" s="1"/>
  <c r="Q121" i="2" s="1"/>
  <c r="Q120" i="2" s="1"/>
  <c r="Q119" i="2" s="1"/>
  <c r="Q118" i="2" s="1"/>
  <c r="Q117" i="2" s="1"/>
  <c r="Q116" i="2" s="1"/>
  <c r="Q115" i="2" s="1"/>
  <c r="Q114" i="2" s="1"/>
  <c r="Q113" i="2" s="1"/>
  <c r="Q112" i="2" s="1"/>
  <c r="Q111" i="2" s="1"/>
  <c r="Q110" i="2" s="1"/>
  <c r="Q109" i="2" s="1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20" i="3"/>
  <c r="O120" i="3"/>
  <c r="S3" i="3"/>
  <c r="S4" i="3"/>
  <c r="S5" i="3"/>
  <c r="S6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AO21" i="5" l="1"/>
  <c r="I6" i="1"/>
  <c r="I14" i="25" s="1"/>
  <c r="AJ15" i="4"/>
  <c r="AL21" i="4"/>
  <c r="M13" i="1"/>
  <c r="J21" i="25" s="1"/>
  <c r="M8" i="1"/>
  <c r="J16" i="25" s="1"/>
  <c r="M9" i="1"/>
  <c r="J17" i="25" s="1"/>
  <c r="M12" i="1"/>
  <c r="J20" i="25" s="1"/>
  <c r="M14" i="1"/>
  <c r="J22" i="25" s="1"/>
  <c r="M16" i="1"/>
  <c r="J24" i="25" s="1"/>
  <c r="M10" i="1"/>
  <c r="J18" i="25" s="1"/>
  <c r="M11" i="1"/>
  <c r="J19" i="25" s="1"/>
  <c r="M17" i="1"/>
  <c r="J25" i="25" s="1"/>
  <c r="M7" i="1"/>
  <c r="J15" i="25" s="1"/>
  <c r="M24" i="1"/>
  <c r="J32" i="25" s="1"/>
  <c r="Q150" i="2"/>
  <c r="Q108" i="2"/>
  <c r="Q107" i="2" s="1"/>
  <c r="Q106" i="2" s="1"/>
  <c r="Q105" i="2" s="1"/>
  <c r="Q104" i="2" s="1"/>
  <c r="Q103" i="2" s="1"/>
  <c r="Q102" i="2" s="1"/>
  <c r="Q101" i="2" s="1"/>
  <c r="Q100" i="2" s="1"/>
  <c r="Q99" i="2" s="1"/>
  <c r="Q98" i="2" s="1"/>
  <c r="Q97" i="2" s="1"/>
  <c r="Q96" i="2" s="1"/>
  <c r="Q95" i="2" s="1"/>
  <c r="Q94" i="2" s="1"/>
  <c r="Q93" i="2" s="1"/>
  <c r="Q92" i="2" s="1"/>
  <c r="Q91" i="2" s="1"/>
  <c r="Q90" i="2" s="1"/>
  <c r="Q89" i="2" s="1"/>
  <c r="Q88" i="2" s="1"/>
  <c r="Q87" i="2" s="1"/>
  <c r="Q86" i="2" s="1"/>
  <c r="Q85" i="2" s="1"/>
  <c r="Q84" i="2" s="1"/>
  <c r="Q83" i="2" s="1"/>
  <c r="Q82" i="2" s="1"/>
  <c r="Q81" i="2" s="1"/>
  <c r="Q80" i="2" s="1"/>
  <c r="Q79" i="2" s="1"/>
  <c r="Q78" i="2" s="1"/>
  <c r="Q77" i="2" s="1"/>
  <c r="Q76" i="2" s="1"/>
  <c r="Q75" i="2" s="1"/>
  <c r="S116" i="2"/>
  <c r="S92" i="2"/>
  <c r="S68" i="2"/>
  <c r="S146" i="2"/>
  <c r="S138" i="2"/>
  <c r="S114" i="2"/>
  <c r="S106" i="2"/>
  <c r="S98" i="2"/>
  <c r="S82" i="2"/>
  <c r="S74" i="2"/>
  <c r="S50" i="2"/>
  <c r="S42" i="2"/>
  <c r="S34" i="2"/>
  <c r="S18" i="2"/>
  <c r="S132" i="2"/>
  <c r="S76" i="2"/>
  <c r="S52" i="2"/>
  <c r="S129" i="2"/>
  <c r="S121" i="2"/>
  <c r="S113" i="2"/>
  <c r="S97" i="2"/>
  <c r="S89" i="2"/>
  <c r="S65" i="2"/>
  <c r="S57" i="2"/>
  <c r="S49" i="2"/>
  <c r="S33" i="2"/>
  <c r="S25" i="2"/>
  <c r="S128" i="2"/>
  <c r="S120" i="2"/>
  <c r="S112" i="2"/>
  <c r="S96" i="2"/>
  <c r="S88" i="2"/>
  <c r="S64" i="2"/>
  <c r="S56" i="2"/>
  <c r="S48" i="2"/>
  <c r="S32" i="2"/>
  <c r="S24" i="2"/>
  <c r="S143" i="2"/>
  <c r="S119" i="2"/>
  <c r="S111" i="2"/>
  <c r="S103" i="2"/>
  <c r="S87" i="2"/>
  <c r="S79" i="2"/>
  <c r="S55" i="2"/>
  <c r="S47" i="2"/>
  <c r="S39" i="2"/>
  <c r="S23" i="2"/>
  <c r="S134" i="2"/>
  <c r="S126" i="2"/>
  <c r="S118" i="2"/>
  <c r="S102" i="2"/>
  <c r="S94" i="2"/>
  <c r="S86" i="2"/>
  <c r="S70" i="2"/>
  <c r="S62" i="2"/>
  <c r="S54" i="2"/>
  <c r="S38" i="2"/>
  <c r="S30" i="2"/>
  <c r="S22" i="2"/>
  <c r="S149" i="2"/>
  <c r="S141" i="2"/>
  <c r="S125" i="2"/>
  <c r="S117" i="2"/>
  <c r="S109" i="2"/>
  <c r="S93" i="2"/>
  <c r="S85" i="2"/>
  <c r="S77" i="2"/>
  <c r="S61" i="2"/>
  <c r="S53" i="2"/>
  <c r="S45" i="2"/>
  <c r="S29" i="2"/>
  <c r="S21" i="2"/>
  <c r="S148" i="2"/>
  <c r="S124" i="2"/>
  <c r="S84" i="2"/>
  <c r="S60" i="2"/>
  <c r="S36" i="2"/>
  <c r="S139" i="2"/>
  <c r="S131" i="2"/>
  <c r="S123" i="2"/>
  <c r="S107" i="2"/>
  <c r="S99" i="2"/>
  <c r="S91" i="2"/>
  <c r="S75" i="2"/>
  <c r="S67" i="2"/>
  <c r="S59" i="2"/>
  <c r="S43" i="2"/>
  <c r="S35" i="2"/>
  <c r="S27" i="2"/>
  <c r="Q74" i="2"/>
  <c r="Q73" i="2" s="1"/>
  <c r="Q72" i="2" s="1"/>
  <c r="Q71" i="2" s="1"/>
  <c r="Q70" i="2" s="1"/>
  <c r="Q69" i="2" s="1"/>
  <c r="Q68" i="2" s="1"/>
  <c r="Q67" i="2" s="1"/>
  <c r="Q66" i="2" s="1"/>
  <c r="Q65" i="2" s="1"/>
  <c r="Q64" i="2" s="1"/>
  <c r="Q63" i="2" s="1"/>
  <c r="Q62" i="2" s="1"/>
  <c r="Q61" i="2" s="1"/>
  <c r="Q60" i="2" s="1"/>
  <c r="Q59" i="2" s="1"/>
  <c r="Q58" i="2" s="1"/>
  <c r="Q57" i="2" s="1"/>
  <c r="Q56" i="2" s="1"/>
  <c r="Q55" i="2" s="1"/>
  <c r="Q54" i="2" s="1"/>
  <c r="Q53" i="2" s="1"/>
  <c r="Q52" i="2" s="1"/>
  <c r="Q51" i="2" s="1"/>
  <c r="Q50" i="2" s="1"/>
  <c r="Q49" i="2" s="1"/>
  <c r="Q48" i="2" s="1"/>
  <c r="Q47" i="2" s="1"/>
  <c r="Q46" i="2" s="1"/>
  <c r="Q45" i="2" s="1"/>
  <c r="Q44" i="2" s="1"/>
  <c r="Q43" i="2" s="1"/>
  <c r="Q42" i="2" s="1"/>
  <c r="Q41" i="2" s="1"/>
  <c r="Q40" i="2" s="1"/>
  <c r="Q39" i="2" s="1"/>
  <c r="Q38" i="2" s="1"/>
  <c r="Q37" i="2" s="1"/>
  <c r="Q36" i="2" s="1"/>
  <c r="Q35" i="2" s="1"/>
  <c r="Q34" i="2" s="1"/>
  <c r="Q33" i="2" s="1"/>
  <c r="Q32" i="2" s="1"/>
  <c r="Q31" i="2" s="1"/>
  <c r="Q30" i="2" s="1"/>
  <c r="Q29" i="2" s="1"/>
  <c r="Q28" i="2" s="1"/>
  <c r="Q27" i="2" s="1"/>
  <c r="Q26" i="2" s="1"/>
  <c r="Q25" i="2" s="1"/>
  <c r="Q24" i="2" s="1"/>
  <c r="Q23" i="2" s="1"/>
  <c r="Q22" i="2" s="1"/>
  <c r="Q21" i="2" s="1"/>
  <c r="Q20" i="2" s="1"/>
  <c r="Q19" i="2" s="1"/>
  <c r="Q18" i="2" s="1"/>
  <c r="P32" i="2"/>
  <c r="AV8" i="4"/>
  <c r="AD8" i="4"/>
  <c r="AT10" i="4"/>
  <c r="AR8" i="4"/>
  <c r="AD10" i="4"/>
  <c r="AF39" i="5"/>
  <c r="AO8" i="4" s="1"/>
  <c r="AF29" i="5"/>
  <c r="AF28" i="5"/>
  <c r="AF27" i="5"/>
  <c r="AF26" i="5"/>
  <c r="AF23" i="5"/>
  <c r="AF22" i="5"/>
  <c r="AF21" i="5"/>
  <c r="AF20" i="5"/>
  <c r="AF19" i="5"/>
  <c r="AF18" i="5"/>
  <c r="AF17" i="5"/>
  <c r="AF16" i="5"/>
  <c r="AF15" i="5"/>
  <c r="AF14" i="5"/>
  <c r="AF31" i="5"/>
  <c r="E31" i="5"/>
  <c r="CF4" i="24" l="1"/>
  <c r="AL18" i="4"/>
  <c r="AR18" i="4"/>
  <c r="AO18" i="4"/>
  <c r="E24" i="5"/>
  <c r="E32" i="5" s="1"/>
  <c r="AD21" i="4"/>
  <c r="AD23" i="4" s="1"/>
  <c r="I13" i="1"/>
  <c r="I21" i="25" s="1"/>
  <c r="I17" i="1"/>
  <c r="I25" i="25" s="1"/>
  <c r="I12" i="1"/>
  <c r="I20" i="25" s="1"/>
  <c r="I8" i="1"/>
  <c r="I16" i="25" s="1"/>
  <c r="I9" i="1"/>
  <c r="I17" i="25" s="1"/>
  <c r="I10" i="1"/>
  <c r="I18" i="25" s="1"/>
  <c r="I11" i="1"/>
  <c r="I19" i="25" s="1"/>
  <c r="I24" i="1"/>
  <c r="I32" i="25" s="1"/>
  <c r="I7" i="1"/>
  <c r="I15" i="25" s="1"/>
  <c r="M15" i="1"/>
  <c r="J23" i="25" s="1"/>
  <c r="I16" i="1"/>
  <c r="I24" i="25" s="1"/>
  <c r="M23" i="1"/>
  <c r="J31" i="25" s="1"/>
  <c r="I14" i="1"/>
  <c r="I22" i="25" s="1"/>
  <c r="S19" i="2"/>
  <c r="S83" i="2"/>
  <c r="S147" i="2"/>
  <c r="S100" i="2"/>
  <c r="S69" i="2"/>
  <c r="S133" i="2"/>
  <c r="S78" i="2"/>
  <c r="S142" i="2"/>
  <c r="S63" i="2"/>
  <c r="S127" i="2"/>
  <c r="S72" i="2"/>
  <c r="S136" i="2"/>
  <c r="S73" i="2"/>
  <c r="S137" i="2"/>
  <c r="S58" i="2"/>
  <c r="S122" i="2"/>
  <c r="S140" i="2"/>
  <c r="S71" i="2"/>
  <c r="S135" i="2"/>
  <c r="S80" i="2"/>
  <c r="S144" i="2"/>
  <c r="S81" i="2"/>
  <c r="S145" i="2"/>
  <c r="S28" i="2"/>
  <c r="S66" i="2"/>
  <c r="S130" i="2"/>
  <c r="S150" i="2"/>
  <c r="Q151" i="2"/>
  <c r="S20" i="2"/>
  <c r="Q16" i="2"/>
  <c r="Q17" i="2"/>
  <c r="S17" i="2" s="1"/>
  <c r="S51" i="2"/>
  <c r="S115" i="2"/>
  <c r="S37" i="2"/>
  <c r="S101" i="2"/>
  <c r="S46" i="2"/>
  <c r="S110" i="2"/>
  <c r="S31" i="2"/>
  <c r="S95" i="2"/>
  <c r="S40" i="2"/>
  <c r="S104" i="2"/>
  <c r="S41" i="2"/>
  <c r="S105" i="2"/>
  <c r="S108" i="2"/>
  <c r="S26" i="2"/>
  <c r="S90" i="2"/>
  <c r="S44" i="2"/>
  <c r="AB7" i="4" l="1"/>
  <c r="AD38" i="5" s="1"/>
  <c r="M7" i="4"/>
  <c r="O38" i="5" s="1"/>
  <c r="AA7" i="4"/>
  <c r="AC38" i="5" s="1"/>
  <c r="K7" i="4"/>
  <c r="M38" i="5" s="1"/>
  <c r="L7" i="4"/>
  <c r="N38" i="5" s="1"/>
  <c r="I7" i="4"/>
  <c r="K38" i="5" s="1"/>
  <c r="J7" i="4"/>
  <c r="L38" i="5" s="1"/>
  <c r="G7" i="4"/>
  <c r="I38" i="5" s="1"/>
  <c r="H7" i="4"/>
  <c r="J38" i="5" s="1"/>
  <c r="W26" i="4"/>
  <c r="Y57" i="5" s="1"/>
  <c r="AA25" i="4"/>
  <c r="AC56" i="5" s="1"/>
  <c r="X26" i="4"/>
  <c r="Z57" i="5" s="1"/>
  <c r="AB25" i="4"/>
  <c r="AD56" i="5" s="1"/>
  <c r="Y26" i="4"/>
  <c r="AA57" i="5" s="1"/>
  <c r="Z25" i="4"/>
  <c r="AB56" i="5" s="1"/>
  <c r="Z26" i="4"/>
  <c r="AB57" i="5" s="1"/>
  <c r="V26" i="4"/>
  <c r="X57" i="5" s="1"/>
  <c r="Y25" i="4"/>
  <c r="AA56" i="5" s="1"/>
  <c r="U26" i="4"/>
  <c r="W57" i="5" s="1"/>
  <c r="X25" i="4"/>
  <c r="Z56" i="5" s="1"/>
  <c r="W25" i="4"/>
  <c r="Y56" i="5" s="1"/>
  <c r="V25" i="4"/>
  <c r="X56" i="5" s="1"/>
  <c r="U25" i="4"/>
  <c r="W56" i="5" s="1"/>
  <c r="M26" i="4"/>
  <c r="O57" i="5" s="1"/>
  <c r="L26" i="4"/>
  <c r="N57" i="5" s="1"/>
  <c r="K26" i="4"/>
  <c r="M57" i="5" s="1"/>
  <c r="J26" i="4"/>
  <c r="L57" i="5" s="1"/>
  <c r="I26" i="4"/>
  <c r="K57" i="5" s="1"/>
  <c r="H26" i="4"/>
  <c r="J57" i="5" s="1"/>
  <c r="G26" i="4"/>
  <c r="I57" i="5" s="1"/>
  <c r="F26" i="4"/>
  <c r="H57" i="5" s="1"/>
  <c r="G21" i="4"/>
  <c r="I52" i="5" s="1"/>
  <c r="F15" i="4"/>
  <c r="H46" i="5" s="1"/>
  <c r="F11" i="4"/>
  <c r="H42" i="5" s="1"/>
  <c r="U24" i="4"/>
  <c r="W55" i="5" s="1"/>
  <c r="G20" i="4"/>
  <c r="I51" i="5" s="1"/>
  <c r="G19" i="4"/>
  <c r="I50" i="5" s="1"/>
  <c r="F10" i="4"/>
  <c r="H41" i="5" s="1"/>
  <c r="G23" i="4"/>
  <c r="I54" i="5" s="1"/>
  <c r="F17" i="4"/>
  <c r="H48" i="5" s="1"/>
  <c r="F9" i="4"/>
  <c r="H40" i="5" s="1"/>
  <c r="G9" i="4"/>
  <c r="I40" i="5" s="1"/>
  <c r="M8" i="4"/>
  <c r="O39" i="5" s="1"/>
  <c r="M9" i="4"/>
  <c r="O40" i="5" s="1"/>
  <c r="M10" i="4"/>
  <c r="O41" i="5" s="1"/>
  <c r="M11" i="4"/>
  <c r="O42" i="5" s="1"/>
  <c r="M12" i="4"/>
  <c r="O43" i="5" s="1"/>
  <c r="M13" i="4"/>
  <c r="O44" i="5" s="1"/>
  <c r="M14" i="4"/>
  <c r="O45" i="5" s="1"/>
  <c r="M15" i="4"/>
  <c r="O46" i="5" s="1"/>
  <c r="M16" i="4"/>
  <c r="O47" i="5" s="1"/>
  <c r="M17" i="4"/>
  <c r="O48" i="5" s="1"/>
  <c r="M18" i="4"/>
  <c r="O49" i="5" s="1"/>
  <c r="M19" i="4"/>
  <c r="O50" i="5" s="1"/>
  <c r="M20" i="4"/>
  <c r="O51" i="5" s="1"/>
  <c r="M21" i="4"/>
  <c r="O52" i="5" s="1"/>
  <c r="M22" i="4"/>
  <c r="O53" i="5" s="1"/>
  <c r="M23" i="4"/>
  <c r="O54" i="5" s="1"/>
  <c r="M24" i="4"/>
  <c r="O55" i="5" s="1"/>
  <c r="M25" i="4"/>
  <c r="O56" i="5" s="1"/>
  <c r="L22" i="4"/>
  <c r="N53" i="5" s="1"/>
  <c r="L12" i="4"/>
  <c r="N43" i="5" s="1"/>
  <c r="L14" i="4"/>
  <c r="N45" i="5" s="1"/>
  <c r="L8" i="4"/>
  <c r="N39" i="5" s="1"/>
  <c r="L17" i="4"/>
  <c r="N48" i="5" s="1"/>
  <c r="L11" i="4"/>
  <c r="N42" i="5" s="1"/>
  <c r="L16" i="4"/>
  <c r="N47" i="5" s="1"/>
  <c r="L21" i="4"/>
  <c r="N52" i="5" s="1"/>
  <c r="L25" i="4"/>
  <c r="N56" i="5" s="1"/>
  <c r="L13" i="4"/>
  <c r="N44" i="5" s="1"/>
  <c r="L15" i="4"/>
  <c r="N46" i="5" s="1"/>
  <c r="L24" i="4"/>
  <c r="N55" i="5" s="1"/>
  <c r="L10" i="4"/>
  <c r="N41" i="5" s="1"/>
  <c r="L9" i="4"/>
  <c r="N40" i="5" s="1"/>
  <c r="L18" i="4"/>
  <c r="N49" i="5" s="1"/>
  <c r="L20" i="4"/>
  <c r="N51" i="5" s="1"/>
  <c r="L23" i="4"/>
  <c r="N54" i="5" s="1"/>
  <c r="L19" i="4"/>
  <c r="N50" i="5" s="1"/>
  <c r="K18" i="4"/>
  <c r="M49" i="5" s="1"/>
  <c r="K10" i="4"/>
  <c r="M41" i="5" s="1"/>
  <c r="K25" i="4"/>
  <c r="M56" i="5" s="1"/>
  <c r="K20" i="4"/>
  <c r="M51" i="5" s="1"/>
  <c r="K14" i="4"/>
  <c r="M45" i="5" s="1"/>
  <c r="K9" i="4"/>
  <c r="M40" i="5" s="1"/>
  <c r="K22" i="4"/>
  <c r="M53" i="5" s="1"/>
  <c r="K11" i="4"/>
  <c r="M42" i="5" s="1"/>
  <c r="K24" i="4"/>
  <c r="M55" i="5" s="1"/>
  <c r="K12" i="4"/>
  <c r="M43" i="5" s="1"/>
  <c r="K23" i="4"/>
  <c r="M54" i="5" s="1"/>
  <c r="K15" i="4"/>
  <c r="M46" i="5" s="1"/>
  <c r="K19" i="4"/>
  <c r="M50" i="5" s="1"/>
  <c r="K17" i="4"/>
  <c r="M48" i="5" s="1"/>
  <c r="K21" i="4"/>
  <c r="M52" i="5" s="1"/>
  <c r="K13" i="4"/>
  <c r="M44" i="5" s="1"/>
  <c r="K16" i="4"/>
  <c r="M47" i="5" s="1"/>
  <c r="K8" i="4"/>
  <c r="M39" i="5" s="1"/>
  <c r="J10" i="4"/>
  <c r="L41" i="5" s="1"/>
  <c r="J15" i="4"/>
  <c r="L46" i="5" s="1"/>
  <c r="J9" i="4"/>
  <c r="L40" i="5" s="1"/>
  <c r="J14" i="4"/>
  <c r="L45" i="5" s="1"/>
  <c r="J22" i="4"/>
  <c r="L53" i="5" s="1"/>
  <c r="J8" i="4"/>
  <c r="L39" i="5" s="1"/>
  <c r="J23" i="4"/>
  <c r="L54" i="5" s="1"/>
  <c r="J18" i="4"/>
  <c r="L49" i="5" s="1"/>
  <c r="J11" i="4"/>
  <c r="L42" i="5" s="1"/>
  <c r="J16" i="4"/>
  <c r="L47" i="5" s="1"/>
  <c r="J13" i="4"/>
  <c r="L44" i="5" s="1"/>
  <c r="J25" i="4"/>
  <c r="L56" i="5" s="1"/>
  <c r="J21" i="4"/>
  <c r="L52" i="5" s="1"/>
  <c r="J12" i="4"/>
  <c r="L43" i="5" s="1"/>
  <c r="J20" i="4"/>
  <c r="L51" i="5" s="1"/>
  <c r="J17" i="4"/>
  <c r="L48" i="5" s="1"/>
  <c r="J19" i="4"/>
  <c r="L50" i="5" s="1"/>
  <c r="J24" i="4"/>
  <c r="L55" i="5" s="1"/>
  <c r="I20" i="4"/>
  <c r="K51" i="5" s="1"/>
  <c r="I14" i="4"/>
  <c r="K45" i="5" s="1"/>
  <c r="I12" i="4"/>
  <c r="K43" i="5" s="1"/>
  <c r="I18" i="4"/>
  <c r="K49" i="5" s="1"/>
  <c r="I9" i="4"/>
  <c r="K40" i="5" s="1"/>
  <c r="I23" i="4"/>
  <c r="K54" i="5" s="1"/>
  <c r="I17" i="4"/>
  <c r="K48" i="5" s="1"/>
  <c r="I22" i="4"/>
  <c r="K53" i="5" s="1"/>
  <c r="I21" i="4"/>
  <c r="K52" i="5" s="1"/>
  <c r="I19" i="4"/>
  <c r="K50" i="5" s="1"/>
  <c r="I10" i="4"/>
  <c r="K41" i="5" s="1"/>
  <c r="I24" i="4"/>
  <c r="K55" i="5" s="1"/>
  <c r="I15" i="4"/>
  <c r="K46" i="5" s="1"/>
  <c r="I13" i="4"/>
  <c r="K44" i="5" s="1"/>
  <c r="I11" i="4"/>
  <c r="K42" i="5" s="1"/>
  <c r="I25" i="4"/>
  <c r="K56" i="5" s="1"/>
  <c r="I16" i="4"/>
  <c r="K47" i="5" s="1"/>
  <c r="I8" i="4"/>
  <c r="K39" i="5" s="1"/>
  <c r="H20" i="4"/>
  <c r="J51" i="5" s="1"/>
  <c r="H15" i="4"/>
  <c r="J46" i="5" s="1"/>
  <c r="H12" i="4"/>
  <c r="J43" i="5" s="1"/>
  <c r="H8" i="4"/>
  <c r="J39" i="5" s="1"/>
  <c r="H24" i="4"/>
  <c r="J55" i="5" s="1"/>
  <c r="H14" i="4"/>
  <c r="J45" i="5" s="1"/>
  <c r="H22" i="4"/>
  <c r="J53" i="5" s="1"/>
  <c r="H10" i="4"/>
  <c r="J41" i="5" s="1"/>
  <c r="H16" i="4"/>
  <c r="J47" i="5" s="1"/>
  <c r="H19" i="4"/>
  <c r="J50" i="5" s="1"/>
  <c r="H25" i="4"/>
  <c r="J56" i="5" s="1"/>
  <c r="H21" i="4"/>
  <c r="J52" i="5" s="1"/>
  <c r="H13" i="4"/>
  <c r="J44" i="5" s="1"/>
  <c r="H9" i="4"/>
  <c r="J40" i="5" s="1"/>
  <c r="H17" i="4"/>
  <c r="J48" i="5" s="1"/>
  <c r="H18" i="4"/>
  <c r="J49" i="5" s="1"/>
  <c r="H11" i="4"/>
  <c r="J42" i="5" s="1"/>
  <c r="H23" i="4"/>
  <c r="J54" i="5" s="1"/>
  <c r="G18" i="4"/>
  <c r="I49" i="5" s="1"/>
  <c r="G16" i="4"/>
  <c r="I47" i="5" s="1"/>
  <c r="F13" i="4"/>
  <c r="H44" i="5" s="1"/>
  <c r="G11" i="4"/>
  <c r="I42" i="5" s="1"/>
  <c r="G13" i="4"/>
  <c r="I44" i="5" s="1"/>
  <c r="U14" i="4"/>
  <c r="W45" i="5" s="1"/>
  <c r="F8" i="4"/>
  <c r="H39" i="5" s="1"/>
  <c r="F23" i="4"/>
  <c r="H54" i="5" s="1"/>
  <c r="U21" i="4"/>
  <c r="W52" i="5" s="1"/>
  <c r="U11" i="4"/>
  <c r="W42" i="5" s="1"/>
  <c r="G14" i="4"/>
  <c r="I45" i="5" s="1"/>
  <c r="G22" i="4"/>
  <c r="I53" i="5" s="1"/>
  <c r="F25" i="4"/>
  <c r="H56" i="5" s="1"/>
  <c r="F18" i="4"/>
  <c r="H49" i="5" s="1"/>
  <c r="U17" i="4"/>
  <c r="W48" i="5" s="1"/>
  <c r="V14" i="4"/>
  <c r="X45" i="5" s="1"/>
  <c r="G10" i="4"/>
  <c r="I41" i="5" s="1"/>
  <c r="G15" i="4"/>
  <c r="I46" i="5" s="1"/>
  <c r="G24" i="4"/>
  <c r="I55" i="5" s="1"/>
  <c r="F19" i="4"/>
  <c r="H50" i="5" s="1"/>
  <c r="F20" i="4"/>
  <c r="H51" i="5" s="1"/>
  <c r="F14" i="4"/>
  <c r="H45" i="5" s="1"/>
  <c r="U15" i="4"/>
  <c r="W46" i="5" s="1"/>
  <c r="V19" i="4"/>
  <c r="X50" i="5" s="1"/>
  <c r="G12" i="4"/>
  <c r="I43" i="5" s="1"/>
  <c r="G8" i="4"/>
  <c r="I39" i="5" s="1"/>
  <c r="U16" i="4"/>
  <c r="W47" i="5" s="1"/>
  <c r="F21" i="4"/>
  <c r="H52" i="5" s="1"/>
  <c r="F12" i="4"/>
  <c r="H43" i="5" s="1"/>
  <c r="F22" i="4"/>
  <c r="H53" i="5" s="1"/>
  <c r="V20" i="4"/>
  <c r="X51" i="5" s="1"/>
  <c r="G17" i="4"/>
  <c r="I48" i="5" s="1"/>
  <c r="G25" i="4"/>
  <c r="I56" i="5" s="1"/>
  <c r="U19" i="4"/>
  <c r="W50" i="5" s="1"/>
  <c r="U18" i="4"/>
  <c r="W49" i="5" s="1"/>
  <c r="V15" i="4"/>
  <c r="X46" i="5" s="1"/>
  <c r="V10" i="4"/>
  <c r="X41" i="5" s="1"/>
  <c r="U22" i="4"/>
  <c r="W53" i="5" s="1"/>
  <c r="V21" i="4"/>
  <c r="X52" i="5" s="1"/>
  <c r="V24" i="4"/>
  <c r="X55" i="5" s="1"/>
  <c r="U9" i="4"/>
  <c r="W40" i="5" s="1"/>
  <c r="U13" i="4"/>
  <c r="W44" i="5" s="1"/>
  <c r="V11" i="4"/>
  <c r="X42" i="5" s="1"/>
  <c r="AB8" i="4"/>
  <c r="AD39" i="5" s="1"/>
  <c r="AB9" i="4"/>
  <c r="AD40" i="5" s="1"/>
  <c r="AB10" i="4"/>
  <c r="AD41" i="5" s="1"/>
  <c r="AB11" i="4"/>
  <c r="AD42" i="5" s="1"/>
  <c r="AB12" i="4"/>
  <c r="AD43" i="5" s="1"/>
  <c r="AB13" i="4"/>
  <c r="AD44" i="5" s="1"/>
  <c r="AB14" i="4"/>
  <c r="AD45" i="5" s="1"/>
  <c r="AB15" i="4"/>
  <c r="AD46" i="5" s="1"/>
  <c r="AB16" i="4"/>
  <c r="AD47" i="5" s="1"/>
  <c r="AB17" i="4"/>
  <c r="AD48" i="5" s="1"/>
  <c r="AB18" i="4"/>
  <c r="AD49" i="5" s="1"/>
  <c r="AB19" i="4"/>
  <c r="AD50" i="5" s="1"/>
  <c r="AB20" i="4"/>
  <c r="AD51" i="5" s="1"/>
  <c r="AB21" i="4"/>
  <c r="AD52" i="5" s="1"/>
  <c r="AB22" i="4"/>
  <c r="AD53" i="5" s="1"/>
  <c r="AB23" i="4"/>
  <c r="AD54" i="5" s="1"/>
  <c r="AB24" i="4"/>
  <c r="AD55" i="5" s="1"/>
  <c r="U23" i="4"/>
  <c r="W54" i="5" s="1"/>
  <c r="AA23" i="4"/>
  <c r="AC54" i="5" s="1"/>
  <c r="Z23" i="4"/>
  <c r="AB54" i="5" s="1"/>
  <c r="Y23" i="4"/>
  <c r="AA54" i="5" s="1"/>
  <c r="X23" i="4"/>
  <c r="Z54" i="5" s="1"/>
  <c r="W23" i="4"/>
  <c r="Y54" i="5" s="1"/>
  <c r="V23" i="4"/>
  <c r="X54" i="5" s="1"/>
  <c r="AA24" i="4"/>
  <c r="AC55" i="5" s="1"/>
  <c r="AA16" i="4"/>
  <c r="AC47" i="5" s="1"/>
  <c r="AA15" i="4"/>
  <c r="AC46" i="5" s="1"/>
  <c r="AA19" i="4"/>
  <c r="AC50" i="5" s="1"/>
  <c r="AA20" i="4"/>
  <c r="AC51" i="5" s="1"/>
  <c r="AA21" i="4"/>
  <c r="AC52" i="5" s="1"/>
  <c r="AA9" i="4"/>
  <c r="AC40" i="5" s="1"/>
  <c r="AA11" i="4"/>
  <c r="AC42" i="5" s="1"/>
  <c r="AA13" i="4"/>
  <c r="AC44" i="5" s="1"/>
  <c r="AA18" i="4"/>
  <c r="AC49" i="5" s="1"/>
  <c r="AA22" i="4"/>
  <c r="AC53" i="5" s="1"/>
  <c r="AA10" i="4"/>
  <c r="AC41" i="5" s="1"/>
  <c r="AA12" i="4"/>
  <c r="AC43" i="5" s="1"/>
  <c r="AA14" i="4"/>
  <c r="AC45" i="5" s="1"/>
  <c r="AA17" i="4"/>
  <c r="AC48" i="5" s="1"/>
  <c r="AA8" i="4"/>
  <c r="AC39" i="5" s="1"/>
  <c r="Z18" i="4"/>
  <c r="AB49" i="5" s="1"/>
  <c r="Z12" i="4"/>
  <c r="AB43" i="5" s="1"/>
  <c r="Z11" i="4"/>
  <c r="AB42" i="5" s="1"/>
  <c r="Z19" i="4"/>
  <c r="AB50" i="5" s="1"/>
  <c r="Z13" i="4"/>
  <c r="AB44" i="5" s="1"/>
  <c r="Z17" i="4"/>
  <c r="AB48" i="5" s="1"/>
  <c r="Z10" i="4"/>
  <c r="AB41" i="5" s="1"/>
  <c r="Z15" i="4"/>
  <c r="AB46" i="5" s="1"/>
  <c r="Z21" i="4"/>
  <c r="AB52" i="5" s="1"/>
  <c r="Z20" i="4"/>
  <c r="AB51" i="5" s="1"/>
  <c r="Z8" i="4"/>
  <c r="AB39" i="5" s="1"/>
  <c r="Z22" i="4"/>
  <c r="AB53" i="5" s="1"/>
  <c r="Z9" i="4"/>
  <c r="AB40" i="5" s="1"/>
  <c r="Z16" i="4"/>
  <c r="AB47" i="5" s="1"/>
  <c r="Z14" i="4"/>
  <c r="AB45" i="5" s="1"/>
  <c r="Z24" i="4"/>
  <c r="AB55" i="5" s="1"/>
  <c r="Y16" i="4"/>
  <c r="AA47" i="5" s="1"/>
  <c r="Y10" i="4"/>
  <c r="AA41" i="5" s="1"/>
  <c r="Y9" i="4"/>
  <c r="AA40" i="5" s="1"/>
  <c r="Y17" i="4"/>
  <c r="AA48" i="5" s="1"/>
  <c r="Y12" i="4"/>
  <c r="AA43" i="5" s="1"/>
  <c r="Y18" i="4"/>
  <c r="AA49" i="5" s="1"/>
  <c r="Y22" i="4"/>
  <c r="AA53" i="5" s="1"/>
  <c r="Y24" i="4"/>
  <c r="AA55" i="5" s="1"/>
  <c r="Y8" i="4"/>
  <c r="AA39" i="5" s="1"/>
  <c r="Y14" i="4"/>
  <c r="AA45" i="5" s="1"/>
  <c r="Y13" i="4"/>
  <c r="AA44" i="5" s="1"/>
  <c r="Y19" i="4"/>
  <c r="AA50" i="5" s="1"/>
  <c r="Y11" i="4"/>
  <c r="AA42" i="5" s="1"/>
  <c r="Y20" i="4"/>
  <c r="AA51" i="5" s="1"/>
  <c r="Y15" i="4"/>
  <c r="AA46" i="5" s="1"/>
  <c r="Y21" i="4"/>
  <c r="AA52" i="5" s="1"/>
  <c r="X15" i="4"/>
  <c r="Z46" i="5" s="1"/>
  <c r="X24" i="4"/>
  <c r="Z55" i="5" s="1"/>
  <c r="X12" i="4"/>
  <c r="Z43" i="5" s="1"/>
  <c r="X13" i="4"/>
  <c r="Z44" i="5" s="1"/>
  <c r="X9" i="4"/>
  <c r="Z40" i="5" s="1"/>
  <c r="X16" i="4"/>
  <c r="Z47" i="5" s="1"/>
  <c r="X22" i="4"/>
  <c r="Z53" i="5" s="1"/>
  <c r="X18" i="4"/>
  <c r="Z49" i="5" s="1"/>
  <c r="X21" i="4"/>
  <c r="Z52" i="5" s="1"/>
  <c r="W15" i="4"/>
  <c r="Y46" i="5" s="1"/>
  <c r="X14" i="4"/>
  <c r="Z45" i="5" s="1"/>
  <c r="X10" i="4"/>
  <c r="Z41" i="5" s="1"/>
  <c r="X11" i="4"/>
  <c r="Z42" i="5" s="1"/>
  <c r="X19" i="4"/>
  <c r="Z50" i="5" s="1"/>
  <c r="X20" i="4"/>
  <c r="Z51" i="5" s="1"/>
  <c r="X17" i="4"/>
  <c r="Z48" i="5" s="1"/>
  <c r="X8" i="4"/>
  <c r="Z39" i="5" s="1"/>
  <c r="W10" i="4"/>
  <c r="Y41" i="5" s="1"/>
  <c r="W13" i="4"/>
  <c r="Y44" i="5" s="1"/>
  <c r="W8" i="4"/>
  <c r="Y39" i="5" s="1"/>
  <c r="W14" i="4"/>
  <c r="Y45" i="5" s="1"/>
  <c r="W11" i="4"/>
  <c r="Y42" i="5" s="1"/>
  <c r="W17" i="4"/>
  <c r="Y48" i="5" s="1"/>
  <c r="W21" i="4"/>
  <c r="Y52" i="5" s="1"/>
  <c r="W12" i="4"/>
  <c r="Y43" i="5" s="1"/>
  <c r="W18" i="4"/>
  <c r="Y49" i="5" s="1"/>
  <c r="W20" i="4"/>
  <c r="Y51" i="5" s="1"/>
  <c r="W9" i="4"/>
  <c r="Y40" i="5" s="1"/>
  <c r="W19" i="4"/>
  <c r="Y50" i="5" s="1"/>
  <c r="W22" i="4"/>
  <c r="Y53" i="5" s="1"/>
  <c r="W24" i="4"/>
  <c r="Y55" i="5" s="1"/>
  <c r="W16" i="4"/>
  <c r="Y47" i="5" s="1"/>
  <c r="V17" i="4"/>
  <c r="X48" i="5" s="1"/>
  <c r="V8" i="4"/>
  <c r="X39" i="5" s="1"/>
  <c r="V16" i="4"/>
  <c r="X47" i="5" s="1"/>
  <c r="U10" i="4"/>
  <c r="W41" i="5" s="1"/>
  <c r="V12" i="4"/>
  <c r="X43" i="5" s="1"/>
  <c r="V13" i="4"/>
  <c r="X44" i="5" s="1"/>
  <c r="V9" i="4"/>
  <c r="X40" i="5" s="1"/>
  <c r="U8" i="4"/>
  <c r="W39" i="5" s="1"/>
  <c r="V18" i="4"/>
  <c r="X49" i="5" s="1"/>
  <c r="V22" i="4"/>
  <c r="X53" i="5" s="1"/>
  <c r="Z7" i="4"/>
  <c r="AB38" i="5" s="1"/>
  <c r="X7" i="4"/>
  <c r="Z38" i="5" s="1"/>
  <c r="Y7" i="4"/>
  <c r="AA38" i="5" s="1"/>
  <c r="V7" i="4"/>
  <c r="X38" i="5" s="1"/>
  <c r="W7" i="4"/>
  <c r="Y38" i="5" s="1"/>
  <c r="I23" i="1"/>
  <c r="I31" i="25" s="1"/>
  <c r="I15" i="1"/>
  <c r="I23" i="25" s="1"/>
  <c r="F7" i="4"/>
  <c r="H38" i="5" s="1"/>
  <c r="U7" i="4"/>
  <c r="W38" i="5" s="1"/>
  <c r="Q15" i="2"/>
  <c r="S16" i="2"/>
  <c r="S151" i="2"/>
  <c r="Q152" i="2"/>
  <c r="P57" i="2"/>
  <c r="P61" i="2"/>
  <c r="F16" i="4" l="1"/>
  <c r="H47" i="5" s="1"/>
  <c r="F24" i="4"/>
  <c r="H55" i="5" s="1"/>
  <c r="U12" i="4"/>
  <c r="W43" i="5" s="1"/>
  <c r="U20" i="4"/>
  <c r="W51" i="5" s="1"/>
  <c r="S152" i="2"/>
  <c r="Q153" i="2"/>
  <c r="S15" i="2"/>
  <c r="Q14" i="2"/>
  <c r="O144" i="3"/>
  <c r="T144" i="3" s="1"/>
  <c r="O143" i="3"/>
  <c r="T143" i="3" s="1"/>
  <c r="O142" i="3"/>
  <c r="T142" i="3" s="1"/>
  <c r="P175" i="2"/>
  <c r="P173" i="2"/>
  <c r="P172" i="2"/>
  <c r="P171" i="2"/>
  <c r="P174" i="2"/>
  <c r="P151" i="2"/>
  <c r="P159" i="2"/>
  <c r="P157" i="2"/>
  <c r="P199" i="2"/>
  <c r="P198" i="2"/>
  <c r="P197" i="2"/>
  <c r="P190" i="2"/>
  <c r="P189" i="2"/>
  <c r="P188" i="2"/>
  <c r="P187" i="2"/>
  <c r="P170" i="2"/>
  <c r="P169" i="2"/>
  <c r="P168" i="2"/>
  <c r="P150" i="2"/>
  <c r="P152" i="2"/>
  <c r="P153" i="2"/>
  <c r="P154" i="2"/>
  <c r="P155" i="2"/>
  <c r="P156" i="2"/>
  <c r="O124" i="3"/>
  <c r="T124" i="3" s="1"/>
  <c r="T120" i="3"/>
  <c r="O110" i="3"/>
  <c r="T110" i="3" s="1"/>
  <c r="O111" i="3"/>
  <c r="T111" i="3" s="1"/>
  <c r="O112" i="3"/>
  <c r="T112" i="3" s="1"/>
  <c r="O113" i="3"/>
  <c r="T113" i="3" s="1"/>
  <c r="O114" i="3"/>
  <c r="T114" i="3" s="1"/>
  <c r="O115" i="3"/>
  <c r="T115" i="3" s="1"/>
  <c r="O116" i="3"/>
  <c r="T116" i="3" s="1"/>
  <c r="O117" i="3"/>
  <c r="T117" i="3" s="1"/>
  <c r="O118" i="3"/>
  <c r="T118" i="3" s="1"/>
  <c r="O119" i="3"/>
  <c r="T119" i="3" s="1"/>
  <c r="G110" i="3"/>
  <c r="F110" i="3"/>
  <c r="E110" i="3"/>
  <c r="O41" i="3"/>
  <c r="T41" i="3" s="1"/>
  <c r="O42" i="3"/>
  <c r="T42" i="3" s="1"/>
  <c r="O43" i="3"/>
  <c r="T43" i="3" s="1"/>
  <c r="O44" i="3"/>
  <c r="T44" i="3" s="1"/>
  <c r="O45" i="3"/>
  <c r="T45" i="3" s="1"/>
  <c r="O46" i="3"/>
  <c r="T46" i="3" s="1"/>
  <c r="O47" i="3"/>
  <c r="T47" i="3" s="1"/>
  <c r="O48" i="3"/>
  <c r="T48" i="3" s="1"/>
  <c r="O49" i="3"/>
  <c r="T49" i="3" s="1"/>
  <c r="O50" i="3"/>
  <c r="T50" i="3" s="1"/>
  <c r="O51" i="3"/>
  <c r="T51" i="3" s="1"/>
  <c r="O52" i="3"/>
  <c r="T52" i="3" s="1"/>
  <c r="O53" i="3"/>
  <c r="T53" i="3" s="1"/>
  <c r="O54" i="3"/>
  <c r="T54" i="3" s="1"/>
  <c r="O55" i="3"/>
  <c r="T55" i="3" s="1"/>
  <c r="O56" i="3"/>
  <c r="T56" i="3" s="1"/>
  <c r="Q13" i="2" l="1"/>
  <c r="S14" i="2"/>
  <c r="Q154" i="2"/>
  <c r="S153" i="2"/>
  <c r="O27" i="3"/>
  <c r="T27" i="3" s="1"/>
  <c r="O71" i="3"/>
  <c r="T71" i="3" s="1"/>
  <c r="O57" i="3"/>
  <c r="T57" i="3" s="1"/>
  <c r="V57" i="3" s="1"/>
  <c r="Z57" i="3" s="1"/>
  <c r="O58" i="3"/>
  <c r="T58" i="3" s="1"/>
  <c r="O59" i="3"/>
  <c r="T59" i="3" s="1"/>
  <c r="O60" i="3"/>
  <c r="T60" i="3" s="1"/>
  <c r="O26" i="3"/>
  <c r="T26" i="3" s="1"/>
  <c r="O20" i="3"/>
  <c r="T20" i="3" s="1"/>
  <c r="V20" i="3" s="1"/>
  <c r="Z20" i="3" s="1"/>
  <c r="O30" i="3"/>
  <c r="T30" i="3" s="1"/>
  <c r="O2" i="3"/>
  <c r="T2" i="3" s="1"/>
  <c r="O3" i="3"/>
  <c r="T3" i="3" s="1"/>
  <c r="O4" i="3"/>
  <c r="T4" i="3" s="1"/>
  <c r="O5" i="3"/>
  <c r="T5" i="3" s="1"/>
  <c r="O6" i="3"/>
  <c r="T6" i="3" s="1"/>
  <c r="O10" i="3"/>
  <c r="T10" i="3" s="1"/>
  <c r="V10" i="3" s="1"/>
  <c r="Z10" i="3" s="1"/>
  <c r="O11" i="3"/>
  <c r="T11" i="3" s="1"/>
  <c r="O12" i="3"/>
  <c r="T12" i="3" s="1"/>
  <c r="V12" i="3" s="1"/>
  <c r="O13" i="3"/>
  <c r="T13" i="3" s="1"/>
  <c r="O14" i="3"/>
  <c r="T14" i="3" s="1"/>
  <c r="O15" i="3"/>
  <c r="T15" i="3" s="1"/>
  <c r="O16" i="3"/>
  <c r="T16" i="3" s="1"/>
  <c r="O17" i="3"/>
  <c r="T17" i="3" s="1"/>
  <c r="O18" i="3"/>
  <c r="T18" i="3" s="1"/>
  <c r="V18" i="3" s="1"/>
  <c r="Z18" i="3" s="1"/>
  <c r="O19" i="3"/>
  <c r="T19" i="3" s="1"/>
  <c r="V19" i="3" s="1"/>
  <c r="O21" i="3"/>
  <c r="T21" i="3" s="1"/>
  <c r="V21" i="3" s="1"/>
  <c r="O22" i="3"/>
  <c r="T22" i="3" s="1"/>
  <c r="V22" i="3" s="1"/>
  <c r="O23" i="3"/>
  <c r="T23" i="3" s="1"/>
  <c r="O24" i="3"/>
  <c r="T24" i="3" s="1"/>
  <c r="O25" i="3"/>
  <c r="T25" i="3" s="1"/>
  <c r="V25" i="3" s="1"/>
  <c r="O28" i="3"/>
  <c r="T28" i="3" s="1"/>
  <c r="V28" i="3" s="1"/>
  <c r="Z28" i="3" s="1"/>
  <c r="O29" i="3"/>
  <c r="T29" i="3" s="1"/>
  <c r="V29" i="3" s="1"/>
  <c r="Z29" i="3" s="1"/>
  <c r="O31" i="3"/>
  <c r="T31" i="3" s="1"/>
  <c r="V31" i="3" s="1"/>
  <c r="Z31" i="3" s="1"/>
  <c r="O32" i="3"/>
  <c r="T32" i="3" s="1"/>
  <c r="V32" i="3" s="1"/>
  <c r="O33" i="3"/>
  <c r="T33" i="3" s="1"/>
  <c r="V33" i="3" s="1"/>
  <c r="O34" i="3"/>
  <c r="T34" i="3" s="1"/>
  <c r="V34" i="3" s="1"/>
  <c r="O35" i="3"/>
  <c r="T35" i="3" s="1"/>
  <c r="V35" i="3" s="1"/>
  <c r="O36" i="3"/>
  <c r="T36" i="3" s="1"/>
  <c r="V36" i="3" s="1"/>
  <c r="O37" i="3"/>
  <c r="T37" i="3" s="1"/>
  <c r="V37" i="3" s="1"/>
  <c r="Z37" i="3" s="1"/>
  <c r="O38" i="3"/>
  <c r="T38" i="3" s="1"/>
  <c r="V38" i="3" s="1"/>
  <c r="Z38" i="3" s="1"/>
  <c r="O39" i="3"/>
  <c r="T39" i="3" s="1"/>
  <c r="V39" i="3" s="1"/>
  <c r="Z39" i="3" s="1"/>
  <c r="O40" i="3"/>
  <c r="T40" i="3" s="1"/>
  <c r="V40" i="3" s="1"/>
  <c r="O61" i="3"/>
  <c r="T61" i="3" s="1"/>
  <c r="V61" i="3" s="1"/>
  <c r="O63" i="3"/>
  <c r="T63" i="3" s="1"/>
  <c r="V63" i="3" s="1"/>
  <c r="O62" i="3"/>
  <c r="T62" i="3" s="1"/>
  <c r="V62" i="3" s="1"/>
  <c r="O64" i="3"/>
  <c r="T64" i="3" s="1"/>
  <c r="V64" i="3" s="1"/>
  <c r="O65" i="3"/>
  <c r="T65" i="3" s="1"/>
  <c r="V65" i="3" s="1"/>
  <c r="Z65" i="3" s="1"/>
  <c r="O66" i="3"/>
  <c r="T66" i="3" s="1"/>
  <c r="V66" i="3" s="1"/>
  <c r="Z66" i="3" s="1"/>
  <c r="O68" i="3"/>
  <c r="T68" i="3" s="1"/>
  <c r="V68" i="3" s="1"/>
  <c r="Z68" i="3" s="1"/>
  <c r="O69" i="3"/>
  <c r="T69" i="3" s="1"/>
  <c r="V69" i="3" s="1"/>
  <c r="O72" i="3"/>
  <c r="T72" i="3" s="1"/>
  <c r="V72" i="3" s="1"/>
  <c r="O73" i="3"/>
  <c r="T73" i="3" s="1"/>
  <c r="V73" i="3" s="1"/>
  <c r="O74" i="3"/>
  <c r="T74" i="3" s="1"/>
  <c r="V74" i="3" s="1"/>
  <c r="O75" i="3"/>
  <c r="T75" i="3" s="1"/>
  <c r="V75" i="3" s="1"/>
  <c r="Z75" i="3" s="1"/>
  <c r="O76" i="3"/>
  <c r="T76" i="3" s="1"/>
  <c r="V76" i="3" s="1"/>
  <c r="Z76" i="3" s="1"/>
  <c r="O77" i="3"/>
  <c r="T77" i="3" s="1"/>
  <c r="V77" i="3" s="1"/>
  <c r="Z77" i="3" s="1"/>
  <c r="O78" i="3"/>
  <c r="T78" i="3" s="1"/>
  <c r="V78" i="3" s="1"/>
  <c r="Z78" i="3" s="1"/>
  <c r="O79" i="3"/>
  <c r="T79" i="3" s="1"/>
  <c r="V79" i="3" s="1"/>
  <c r="Z79" i="3" s="1"/>
  <c r="O80" i="3"/>
  <c r="T80" i="3" s="1"/>
  <c r="V80" i="3" s="1"/>
  <c r="O70" i="3"/>
  <c r="T70" i="3" s="1"/>
  <c r="V70" i="3" s="1"/>
  <c r="O81" i="3"/>
  <c r="T81" i="3" s="1"/>
  <c r="V81" i="3" s="1"/>
  <c r="O82" i="3"/>
  <c r="T82" i="3" s="1"/>
  <c r="V82" i="3" s="1"/>
  <c r="Z82" i="3" s="1"/>
  <c r="O83" i="3"/>
  <c r="T83" i="3" s="1"/>
  <c r="V83" i="3" s="1"/>
  <c r="Z83" i="3" s="1"/>
  <c r="O84" i="3"/>
  <c r="T84" i="3" s="1"/>
  <c r="V84" i="3" s="1"/>
  <c r="Z84" i="3" s="1"/>
  <c r="O85" i="3"/>
  <c r="T85" i="3" s="1"/>
  <c r="V85" i="3" s="1"/>
  <c r="Z85" i="3" s="1"/>
  <c r="O86" i="3"/>
  <c r="T86" i="3" s="1"/>
  <c r="V86" i="3" s="1"/>
  <c r="O87" i="3"/>
  <c r="T87" i="3" s="1"/>
  <c r="V87" i="3" s="1"/>
  <c r="Z87" i="3" s="1"/>
  <c r="O88" i="3"/>
  <c r="T88" i="3" s="1"/>
  <c r="Z88" i="3" s="1"/>
  <c r="O89" i="3"/>
  <c r="T89" i="3" s="1"/>
  <c r="V89" i="3" s="1"/>
  <c r="O90" i="3"/>
  <c r="T90" i="3" s="1"/>
  <c r="V90" i="3" s="1"/>
  <c r="Z90" i="3" s="1"/>
  <c r="O91" i="3"/>
  <c r="T91" i="3" s="1"/>
  <c r="V91" i="3" s="1"/>
  <c r="Z91" i="3" s="1"/>
  <c r="O92" i="3"/>
  <c r="T92" i="3" s="1"/>
  <c r="V92" i="3" s="1"/>
  <c r="Z92" i="3" s="1"/>
  <c r="O93" i="3"/>
  <c r="T93" i="3" s="1"/>
  <c r="V93" i="3" s="1"/>
  <c r="Z93" i="3" s="1"/>
  <c r="O94" i="3"/>
  <c r="T94" i="3" s="1"/>
  <c r="V94" i="3" s="1"/>
  <c r="O95" i="3"/>
  <c r="T95" i="3" s="1"/>
  <c r="V95" i="3" s="1"/>
  <c r="Z95" i="3" s="1"/>
  <c r="O96" i="3"/>
  <c r="T96" i="3" s="1"/>
  <c r="V96" i="3" s="1"/>
  <c r="Z96" i="3" s="1"/>
  <c r="O97" i="3"/>
  <c r="T97" i="3" s="1"/>
  <c r="V97" i="3" s="1"/>
  <c r="Z97" i="3" s="1"/>
  <c r="O98" i="3"/>
  <c r="T98" i="3" s="1"/>
  <c r="V98" i="3" s="1"/>
  <c r="Z98" i="3" s="1"/>
  <c r="O99" i="3"/>
  <c r="T99" i="3" s="1"/>
  <c r="V99" i="3" s="1"/>
  <c r="Z99" i="3" s="1"/>
  <c r="O100" i="3"/>
  <c r="T100" i="3" s="1"/>
  <c r="V100" i="3" s="1"/>
  <c r="Z100" i="3" s="1"/>
  <c r="O101" i="3"/>
  <c r="T101" i="3" s="1"/>
  <c r="V101" i="3" s="1"/>
  <c r="Z101" i="3" s="1"/>
  <c r="O102" i="3"/>
  <c r="T102" i="3" s="1"/>
  <c r="V102" i="3" s="1"/>
  <c r="O103" i="3"/>
  <c r="T103" i="3" s="1"/>
  <c r="V103" i="3" s="1"/>
  <c r="Z103" i="3" s="1"/>
  <c r="O104" i="3"/>
  <c r="T104" i="3" s="1"/>
  <c r="V104" i="3" s="1"/>
  <c r="Z104" i="3" s="1"/>
  <c r="O105" i="3"/>
  <c r="T105" i="3" s="1"/>
  <c r="V105" i="3" s="1"/>
  <c r="Z105" i="3" s="1"/>
  <c r="O106" i="3"/>
  <c r="T106" i="3" s="1"/>
  <c r="V106" i="3" s="1"/>
  <c r="Z106" i="3" s="1"/>
  <c r="O107" i="3"/>
  <c r="T107" i="3" s="1"/>
  <c r="V107" i="3" s="1"/>
  <c r="Z107" i="3" s="1"/>
  <c r="O108" i="3"/>
  <c r="T108" i="3" s="1"/>
  <c r="V108" i="3" s="1"/>
  <c r="Z108" i="3" s="1"/>
  <c r="O109" i="3"/>
  <c r="T109" i="3" s="1"/>
  <c r="V109" i="3" s="1"/>
  <c r="Z109" i="3" s="1"/>
  <c r="O121" i="3"/>
  <c r="T121" i="3" s="1"/>
  <c r="V121" i="3" s="1"/>
  <c r="O122" i="3"/>
  <c r="T122" i="3" s="1"/>
  <c r="V122" i="3" s="1"/>
  <c r="Z122" i="3" s="1"/>
  <c r="O123" i="3"/>
  <c r="T123" i="3" s="1"/>
  <c r="V123" i="3" s="1"/>
  <c r="Z123" i="3" s="1"/>
  <c r="O125" i="3"/>
  <c r="T125" i="3" s="1"/>
  <c r="V125" i="3" s="1"/>
  <c r="Z125" i="3" s="1"/>
  <c r="O126" i="3"/>
  <c r="T126" i="3" s="1"/>
  <c r="V126" i="3" s="1"/>
  <c r="Z126" i="3" s="1"/>
  <c r="O127" i="3"/>
  <c r="T127" i="3" s="1"/>
  <c r="V127" i="3" s="1"/>
  <c r="Z127" i="3" s="1"/>
  <c r="O128" i="3"/>
  <c r="T128" i="3" s="1"/>
  <c r="V128" i="3" s="1"/>
  <c r="Z128" i="3" s="1"/>
  <c r="O129" i="3"/>
  <c r="T129" i="3" s="1"/>
  <c r="V129" i="3" s="1"/>
  <c r="Z129" i="3" s="1"/>
  <c r="O130" i="3"/>
  <c r="T130" i="3" s="1"/>
  <c r="V130" i="3" s="1"/>
  <c r="O131" i="3"/>
  <c r="T131" i="3" s="1"/>
  <c r="V131" i="3" s="1"/>
  <c r="Z131" i="3" s="1"/>
  <c r="O132" i="3"/>
  <c r="T132" i="3" s="1"/>
  <c r="V132" i="3" s="1"/>
  <c r="Z132" i="3" s="1"/>
  <c r="O133" i="3"/>
  <c r="T133" i="3" s="1"/>
  <c r="V133" i="3" s="1"/>
  <c r="Z133" i="3" s="1"/>
  <c r="O134" i="3"/>
  <c r="T134" i="3" s="1"/>
  <c r="V134" i="3" s="1"/>
  <c r="Z134" i="3" s="1"/>
  <c r="O135" i="3"/>
  <c r="T135" i="3" s="1"/>
  <c r="V135" i="3" s="1"/>
  <c r="Z135" i="3" s="1"/>
  <c r="O136" i="3"/>
  <c r="T136" i="3" s="1"/>
  <c r="V136" i="3" s="1"/>
  <c r="Z136" i="3" s="1"/>
  <c r="O137" i="3"/>
  <c r="T137" i="3" s="1"/>
  <c r="V137" i="3" s="1"/>
  <c r="Z137" i="3" s="1"/>
  <c r="O138" i="3"/>
  <c r="T138" i="3" s="1"/>
  <c r="V138" i="3" s="1"/>
  <c r="O139" i="3"/>
  <c r="T139" i="3" s="1"/>
  <c r="V139" i="3" s="1"/>
  <c r="Z139" i="3" s="1"/>
  <c r="O140" i="3"/>
  <c r="T140" i="3" s="1"/>
  <c r="V140" i="3" s="1"/>
  <c r="Z140" i="3" s="1"/>
  <c r="O141" i="3"/>
  <c r="T141" i="3" s="1"/>
  <c r="V141" i="3" s="1"/>
  <c r="Z141" i="3" s="1"/>
  <c r="O145" i="3"/>
  <c r="T145" i="3" s="1"/>
  <c r="V145" i="3" s="1"/>
  <c r="Z145" i="3" s="1"/>
  <c r="O146" i="3"/>
  <c r="T146" i="3" s="1"/>
  <c r="V146" i="3" s="1"/>
  <c r="Z146" i="3" s="1"/>
  <c r="O147" i="3"/>
  <c r="T147" i="3" s="1"/>
  <c r="V147" i="3" s="1"/>
  <c r="Z147" i="3" s="1"/>
  <c r="O148" i="3"/>
  <c r="T148" i="3" s="1"/>
  <c r="V148" i="3" s="1"/>
  <c r="Z148" i="3" s="1"/>
  <c r="O149" i="3"/>
  <c r="T149" i="3" s="1"/>
  <c r="V149" i="3" s="1"/>
  <c r="O150" i="3"/>
  <c r="T150" i="3" s="1"/>
  <c r="V150" i="3" s="1"/>
  <c r="Z150" i="3" s="1"/>
  <c r="O151" i="3"/>
  <c r="T151" i="3" s="1"/>
  <c r="V151" i="3" s="1"/>
  <c r="Z151" i="3" s="1"/>
  <c r="O152" i="3"/>
  <c r="T152" i="3" s="1"/>
  <c r="V152" i="3" s="1"/>
  <c r="Z152" i="3" s="1"/>
  <c r="O9" i="3"/>
  <c r="T9" i="3" s="1"/>
  <c r="V9" i="3" s="1"/>
  <c r="Z9" i="3" s="1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8" i="2"/>
  <c r="P59" i="2"/>
  <c r="P60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60" i="2"/>
  <c r="P161" i="2"/>
  <c r="P162" i="2"/>
  <c r="P163" i="2"/>
  <c r="P164" i="2"/>
  <c r="P158" i="2"/>
  <c r="P165" i="2"/>
  <c r="P166" i="2"/>
  <c r="P167" i="2"/>
  <c r="P176" i="2"/>
  <c r="P177" i="2"/>
  <c r="P178" i="2"/>
  <c r="P179" i="2"/>
  <c r="P180" i="2"/>
  <c r="P181" i="2"/>
  <c r="P182" i="2"/>
  <c r="P183" i="2"/>
  <c r="P184" i="2"/>
  <c r="P185" i="2"/>
  <c r="P186" i="2"/>
  <c r="P191" i="2"/>
  <c r="P192" i="2"/>
  <c r="P193" i="2"/>
  <c r="P194" i="2"/>
  <c r="P195" i="2"/>
  <c r="P196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2" i="2"/>
  <c r="Z19" i="3" l="1"/>
  <c r="V17" i="3"/>
  <c r="Z17" i="3" s="1"/>
  <c r="V6" i="3"/>
  <c r="Z6" i="3" s="1"/>
  <c r="V71" i="3"/>
  <c r="Z71" i="3" s="1"/>
  <c r="V16" i="3"/>
  <c r="V23" i="3"/>
  <c r="V7" i="3"/>
  <c r="Z7" i="3" s="1"/>
  <c r="V8" i="3"/>
  <c r="Z8" i="3" s="1"/>
  <c r="V13" i="3"/>
  <c r="Z13" i="3" s="1"/>
  <c r="V2" i="3"/>
  <c r="Z2" i="3" s="1"/>
  <c r="V30" i="3"/>
  <c r="V58" i="3"/>
  <c r="V11" i="3"/>
  <c r="Z11" i="3" s="1"/>
  <c r="V26" i="3"/>
  <c r="Z26" i="3"/>
  <c r="V51" i="3"/>
  <c r="Z51" i="3" s="1"/>
  <c r="V41" i="3"/>
  <c r="Z41" i="3" s="1"/>
  <c r="V50" i="3"/>
  <c r="Z50" i="3" s="1"/>
  <c r="V112" i="3"/>
  <c r="Z112" i="3" s="1"/>
  <c r="V45" i="3"/>
  <c r="Z45" i="3" s="1"/>
  <c r="V55" i="3"/>
  <c r="Z55" i="3" s="1"/>
  <c r="V116" i="3"/>
  <c r="Z116" i="3" s="1"/>
  <c r="Q155" i="2"/>
  <c r="S154" i="2"/>
  <c r="V49" i="3"/>
  <c r="Z49" i="3" s="1"/>
  <c r="V42" i="3"/>
  <c r="Z42" i="3" s="1"/>
  <c r="V48" i="3"/>
  <c r="Z48" i="3" s="1"/>
  <c r="Z64" i="3"/>
  <c r="Z36" i="3"/>
  <c r="Z25" i="3"/>
  <c r="Z16" i="3"/>
  <c r="V5" i="3"/>
  <c r="Z5" i="3" s="1"/>
  <c r="V60" i="3"/>
  <c r="Z60" i="3" s="1"/>
  <c r="V113" i="3"/>
  <c r="Z113" i="3" s="1"/>
  <c r="V54" i="3"/>
  <c r="Z54" i="3" s="1"/>
  <c r="V52" i="3"/>
  <c r="Z52" i="3" s="1"/>
  <c r="Z89" i="3"/>
  <c r="Z81" i="3"/>
  <c r="Z74" i="3"/>
  <c r="Z62" i="3"/>
  <c r="Z35" i="3"/>
  <c r="V24" i="3"/>
  <c r="Z24" i="3" s="1"/>
  <c r="V15" i="3"/>
  <c r="Z15" i="3" s="1"/>
  <c r="V4" i="3"/>
  <c r="Z4" i="3" s="1"/>
  <c r="V27" i="3"/>
  <c r="Z27" i="3" s="1"/>
  <c r="V117" i="3"/>
  <c r="Z117" i="3" s="1"/>
  <c r="Q12" i="2"/>
  <c r="S13" i="2"/>
  <c r="V111" i="3"/>
  <c r="Z111" i="3" s="1"/>
  <c r="V53" i="3"/>
  <c r="Z53" i="3" s="1"/>
  <c r="Z70" i="3"/>
  <c r="Z73" i="3"/>
  <c r="Z63" i="3"/>
  <c r="Z34" i="3"/>
  <c r="Z23" i="3"/>
  <c r="V14" i="3"/>
  <c r="Z14" i="3" s="1"/>
  <c r="V3" i="3"/>
  <c r="Z3" i="3" s="1"/>
  <c r="V59" i="3"/>
  <c r="Z59" i="3" s="1"/>
  <c r="V124" i="3"/>
  <c r="Z124" i="3" s="1"/>
  <c r="V110" i="3"/>
  <c r="Z110" i="3" s="1"/>
  <c r="V114" i="3"/>
  <c r="Z114" i="3" s="1"/>
  <c r="V115" i="3"/>
  <c r="Z115" i="3" s="1"/>
  <c r="V143" i="3"/>
  <c r="Z143" i="3" s="1"/>
  <c r="Z80" i="3"/>
  <c r="Z72" i="3"/>
  <c r="Z61" i="3"/>
  <c r="Z33" i="3"/>
  <c r="Z22" i="3"/>
  <c r="V44" i="3"/>
  <c r="Z44" i="3" s="1"/>
  <c r="V43" i="3"/>
  <c r="Z43" i="3" s="1"/>
  <c r="V118" i="3"/>
  <c r="Z118" i="3" s="1"/>
  <c r="V119" i="3"/>
  <c r="Z119" i="3" s="1"/>
  <c r="V142" i="3"/>
  <c r="Z142" i="3" s="1"/>
  <c r="Z149" i="3"/>
  <c r="Z138" i="3"/>
  <c r="Z130" i="3"/>
  <c r="Z121" i="3"/>
  <c r="Z102" i="3"/>
  <c r="Z94" i="3"/>
  <c r="Z86" i="3"/>
  <c r="Z69" i="3"/>
  <c r="Z40" i="3"/>
  <c r="Z32" i="3"/>
  <c r="Z21" i="3"/>
  <c r="Z12" i="3"/>
  <c r="Z30" i="3"/>
  <c r="Z58" i="3"/>
  <c r="V56" i="3"/>
  <c r="Z56" i="3" s="1"/>
  <c r="V120" i="3"/>
  <c r="Z120" i="3" s="1"/>
  <c r="V46" i="3"/>
  <c r="Z46" i="3" s="1"/>
  <c r="V47" i="3"/>
  <c r="Z47" i="3" s="1"/>
  <c r="V144" i="3"/>
  <c r="Z144" i="3" s="1"/>
  <c r="W146" i="2"/>
  <c r="W114" i="2"/>
  <c r="U90" i="2"/>
  <c r="W48" i="2"/>
  <c r="V48" i="2" s="1"/>
  <c r="T15" i="2"/>
  <c r="T137" i="2"/>
  <c r="T105" i="2"/>
  <c r="W81" i="2"/>
  <c r="T47" i="2"/>
  <c r="T128" i="2"/>
  <c r="W96" i="2"/>
  <c r="V96" i="2" s="1"/>
  <c r="T72" i="2"/>
  <c r="V38" i="2"/>
  <c r="W127" i="2"/>
  <c r="V127" i="2" s="1"/>
  <c r="T119" i="2"/>
  <c r="T111" i="2"/>
  <c r="T103" i="2"/>
  <c r="W95" i="2"/>
  <c r="V95" i="2" s="1"/>
  <c r="U87" i="2"/>
  <c r="T63" i="2"/>
  <c r="T53" i="2"/>
  <c r="T45" i="2"/>
  <c r="V37" i="2"/>
  <c r="W28" i="2"/>
  <c r="W20" i="2"/>
  <c r="W74" i="2"/>
  <c r="U40" i="2"/>
  <c r="T145" i="2"/>
  <c r="T113" i="2"/>
  <c r="W136" i="2"/>
  <c r="V136" i="2" s="1"/>
  <c r="T104" i="2"/>
  <c r="T80" i="2"/>
  <c r="W46" i="2"/>
  <c r="V46" i="2" s="1"/>
  <c r="T153" i="2"/>
  <c r="T142" i="2"/>
  <c r="T134" i="2"/>
  <c r="V126" i="2"/>
  <c r="U118" i="2"/>
  <c r="T110" i="2"/>
  <c r="T102" i="2"/>
  <c r="W94" i="2"/>
  <c r="V94" i="2" s="1"/>
  <c r="T70" i="2"/>
  <c r="T62" i="2"/>
  <c r="T52" i="2"/>
  <c r="U44" i="2"/>
  <c r="U36" i="2"/>
  <c r="W27" i="2"/>
  <c r="W147" i="2"/>
  <c r="V147" i="2" s="1"/>
  <c r="V16" i="2"/>
  <c r="U130" i="2"/>
  <c r="T98" i="2"/>
  <c r="T66" i="2"/>
  <c r="W31" i="2"/>
  <c r="U129" i="2"/>
  <c r="W97" i="2"/>
  <c r="V97" i="2" s="1"/>
  <c r="T65" i="2"/>
  <c r="U39" i="2"/>
  <c r="U22" i="2"/>
  <c r="W120" i="2"/>
  <c r="U88" i="2"/>
  <c r="U54" i="2"/>
  <c r="T13" i="2"/>
  <c r="T141" i="2"/>
  <c r="T133" i="2"/>
  <c r="U125" i="2"/>
  <c r="T109" i="2"/>
  <c r="T101" i="2"/>
  <c r="U93" i="2"/>
  <c r="U85" i="2"/>
  <c r="T77" i="2"/>
  <c r="W69" i="2"/>
  <c r="W43" i="2"/>
  <c r="V43" i="2" s="1"/>
  <c r="T26" i="2"/>
  <c r="W18" i="2"/>
  <c r="T58" i="2"/>
  <c r="T138" i="2"/>
  <c r="T106" i="2"/>
  <c r="W82" i="2"/>
  <c r="U56" i="2"/>
  <c r="U23" i="2"/>
  <c r="V89" i="2"/>
  <c r="T55" i="2"/>
  <c r="T14" i="2"/>
  <c r="W112" i="2"/>
  <c r="U29" i="2"/>
  <c r="T148" i="2"/>
  <c r="T140" i="2"/>
  <c r="T132" i="2"/>
  <c r="T124" i="2"/>
  <c r="W116" i="2"/>
  <c r="T108" i="2"/>
  <c r="U100" i="2"/>
  <c r="U92" i="2"/>
  <c r="U76" i="2"/>
  <c r="T68" i="2"/>
  <c r="T59" i="2"/>
  <c r="U50" i="2"/>
  <c r="W42" i="2"/>
  <c r="V34" i="2"/>
  <c r="W25" i="2"/>
  <c r="W17" i="2"/>
  <c r="V17" i="2" s="1"/>
  <c r="W121" i="2"/>
  <c r="W79" i="2"/>
  <c r="V78" i="2"/>
  <c r="T149" i="2"/>
  <c r="U30" i="2"/>
  <c r="T35" i="2"/>
  <c r="W49" i="2"/>
  <c r="V49" i="2" s="1"/>
  <c r="U21" i="2"/>
  <c r="T19" i="2"/>
  <c r="U135" i="2"/>
  <c r="U91" i="2"/>
  <c r="T107" i="2"/>
  <c r="W32" i="2"/>
  <c r="T64" i="2"/>
  <c r="T143" i="2"/>
  <c r="U24" i="2"/>
  <c r="T73" i="2"/>
  <c r="T75" i="2"/>
  <c r="T67" i="2"/>
  <c r="T74" i="2"/>
  <c r="T71" i="2"/>
  <c r="V117" i="2"/>
  <c r="W139" i="2"/>
  <c r="V139" i="2" s="1"/>
  <c r="W131" i="2"/>
  <c r="V131" i="2" s="1"/>
  <c r="W115" i="2"/>
  <c r="W107" i="2"/>
  <c r="V107" i="2" s="1"/>
  <c r="W99" i="2"/>
  <c r="V99" i="2" s="1"/>
  <c r="W91" i="2"/>
  <c r="V91" i="2" s="1"/>
  <c r="W83" i="2"/>
  <c r="W75" i="2"/>
  <c r="U75" i="2" s="1"/>
  <c r="W67" i="2"/>
  <c r="U67" i="2" s="1"/>
  <c r="T86" i="2"/>
  <c r="T84" i="2"/>
  <c r="T91" i="2"/>
  <c r="T122" i="2"/>
  <c r="U122" i="2"/>
  <c r="V122" i="2"/>
  <c r="T79" i="2"/>
  <c r="U86" i="2"/>
  <c r="W123" i="2"/>
  <c r="V123" i="2"/>
  <c r="U58" i="2"/>
  <c r="W58" i="2"/>
  <c r="V58" i="2" s="1"/>
  <c r="W122" i="2"/>
  <c r="T139" i="2"/>
  <c r="U139" i="2"/>
  <c r="T131" i="2"/>
  <c r="U131" i="2"/>
  <c r="T123" i="2"/>
  <c r="U123" i="2"/>
  <c r="T115" i="2"/>
  <c r="U115" i="2"/>
  <c r="V115" i="2"/>
  <c r="U99" i="2"/>
  <c r="U83" i="2"/>
  <c r="V83" i="2"/>
  <c r="T83" i="2"/>
  <c r="T99" i="2"/>
  <c r="Q11" i="2" l="1"/>
  <c r="S12" i="2"/>
  <c r="T12" i="2" s="1"/>
  <c r="Q156" i="2"/>
  <c r="S155" i="2"/>
  <c r="T114" i="2"/>
  <c r="W98" i="2"/>
  <c r="V98" i="2" s="1"/>
  <c r="V82" i="2"/>
  <c r="U114" i="2"/>
  <c r="V27" i="2"/>
  <c r="V28" i="2"/>
  <c r="U82" i="2"/>
  <c r="T82" i="2"/>
  <c r="W106" i="2"/>
  <c r="U106" i="2" s="1"/>
  <c r="T69" i="2"/>
  <c r="W57" i="2"/>
  <c r="V57" i="2" s="1"/>
  <c r="U57" i="2"/>
  <c r="T57" i="2"/>
  <c r="W61" i="2"/>
  <c r="T61" i="2"/>
  <c r="U42" i="2"/>
  <c r="T147" i="2"/>
  <c r="V113" i="2"/>
  <c r="T130" i="2"/>
  <c r="T28" i="2"/>
  <c r="V30" i="2"/>
  <c r="U28" i="2"/>
  <c r="V121" i="2"/>
  <c r="W130" i="2"/>
  <c r="V130" i="2" s="1"/>
  <c r="T129" i="2"/>
  <c r="W40" i="2"/>
  <c r="T97" i="2"/>
  <c r="U151" i="2"/>
  <c r="W151" i="2"/>
  <c r="V151" i="2" s="1"/>
  <c r="T151" i="2"/>
  <c r="V114" i="2"/>
  <c r="W140" i="2"/>
  <c r="V140" i="2" s="1"/>
  <c r="U133" i="2"/>
  <c r="W141" i="2"/>
  <c r="V141" i="2" s="1"/>
  <c r="T146" i="2"/>
  <c r="W138" i="2"/>
  <c r="V138" i="2" s="1"/>
  <c r="U138" i="2"/>
  <c r="W129" i="2"/>
  <c r="V129" i="2" s="1"/>
  <c r="T37" i="2"/>
  <c r="U113" i="2"/>
  <c r="V116" i="2"/>
  <c r="W37" i="2"/>
  <c r="W105" i="2"/>
  <c r="U105" i="2" s="1"/>
  <c r="T30" i="2"/>
  <c r="T32" i="2"/>
  <c r="U80" i="2"/>
  <c r="T100" i="2"/>
  <c r="W100" i="2"/>
  <c r="V100" i="2" s="1"/>
  <c r="U53" i="2"/>
  <c r="W80" i="2"/>
  <c r="U153" i="2"/>
  <c r="W153" i="2"/>
  <c r="V153" i="2" s="1"/>
  <c r="T152" i="2"/>
  <c r="W152" i="2"/>
  <c r="V152" i="2" s="1"/>
  <c r="T43" i="2"/>
  <c r="V23" i="2"/>
  <c r="U152" i="2"/>
  <c r="W47" i="2"/>
  <c r="V47" i="2" s="1"/>
  <c r="V36" i="2"/>
  <c r="W36" i="2"/>
  <c r="T36" i="2"/>
  <c r="T44" i="2"/>
  <c r="V40" i="2"/>
  <c r="U127" i="2"/>
  <c r="T40" i="2"/>
  <c r="T127" i="2"/>
  <c r="T42" i="2"/>
  <c r="T155" i="2"/>
  <c r="U155" i="2"/>
  <c r="W155" i="2"/>
  <c r="V155" i="2" s="1"/>
  <c r="T154" i="2"/>
  <c r="W154" i="2"/>
  <c r="U150" i="2"/>
  <c r="T150" i="2"/>
  <c r="W150" i="2"/>
  <c r="V150" i="2" s="1"/>
  <c r="U55" i="2"/>
  <c r="V31" i="2"/>
  <c r="W143" i="2"/>
  <c r="V143" i="2" s="1"/>
  <c r="U47" i="2"/>
  <c r="U19" i="2"/>
  <c r="W73" i="2"/>
  <c r="V73" i="2" s="1"/>
  <c r="U81" i="2"/>
  <c r="W19" i="2"/>
  <c r="W135" i="2"/>
  <c r="V135" i="2" s="1"/>
  <c r="T81" i="2"/>
  <c r="V81" i="2"/>
  <c r="T24" i="2"/>
  <c r="T39" i="2"/>
  <c r="V19" i="2"/>
  <c r="W24" i="2"/>
  <c r="V24" i="2"/>
  <c r="U16" i="2"/>
  <c r="W128" i="2"/>
  <c r="V128" i="2" s="1"/>
  <c r="W55" i="2"/>
  <c r="V55" i="2" s="1"/>
  <c r="T16" i="2"/>
  <c r="W16" i="2"/>
  <c r="T48" i="2"/>
  <c r="U116" i="2"/>
  <c r="W23" i="2"/>
  <c r="T23" i="2"/>
  <c r="V32" i="2"/>
  <c r="U52" i="2"/>
  <c r="U48" i="2"/>
  <c r="T135" i="2"/>
  <c r="W76" i="2"/>
  <c r="W35" i="2"/>
  <c r="W111" i="2"/>
  <c r="W26" i="2"/>
  <c r="W113" i="2"/>
  <c r="U26" i="2"/>
  <c r="W62" i="2"/>
  <c r="V62" i="2" s="1"/>
  <c r="W68" i="2"/>
  <c r="V68" i="2" s="1"/>
  <c r="U32" i="2"/>
  <c r="W72" i="2"/>
  <c r="U72" i="2" s="1"/>
  <c r="V86" i="2"/>
  <c r="T88" i="2"/>
  <c r="W38" i="2"/>
  <c r="T116" i="2"/>
  <c r="W145" i="2"/>
  <c r="U145" i="2" s="1"/>
  <c r="T76" i="2"/>
  <c r="V42" i="2"/>
  <c r="T27" i="2"/>
  <c r="U98" i="2"/>
  <c r="U37" i="2"/>
  <c r="V80" i="2"/>
  <c r="W29" i="2"/>
  <c r="W30" i="2"/>
  <c r="U79" i="2"/>
  <c r="W22" i="2"/>
  <c r="T29" i="2"/>
  <c r="U121" i="2"/>
  <c r="V22" i="2"/>
  <c r="W142" i="2"/>
  <c r="W119" i="2"/>
  <c r="V119" i="2"/>
  <c r="T121" i="2"/>
  <c r="T22" i="2"/>
  <c r="W118" i="2"/>
  <c r="V79" i="2"/>
  <c r="U119" i="2"/>
  <c r="U96" i="2"/>
  <c r="T85" i="2"/>
  <c r="W149" i="2"/>
  <c r="U149" i="2" s="1"/>
  <c r="U38" i="2"/>
  <c r="W13" i="2"/>
  <c r="U13" i="2" s="1"/>
  <c r="U124" i="2"/>
  <c r="W86" i="2"/>
  <c r="U43" i="2"/>
  <c r="T78" i="2"/>
  <c r="V85" i="2"/>
  <c r="W133" i="2"/>
  <c r="V133" i="2" s="1"/>
  <c r="W88" i="2"/>
  <c r="U95" i="2"/>
  <c r="T96" i="2"/>
  <c r="U84" i="2"/>
  <c r="W56" i="2"/>
  <c r="V56" i="2" s="1"/>
  <c r="W44" i="2"/>
  <c r="V44" i="2" s="1"/>
  <c r="W63" i="2"/>
  <c r="U63" i="2" s="1"/>
  <c r="V112" i="2"/>
  <c r="V29" i="2"/>
  <c r="V88" i="2"/>
  <c r="U31" i="2"/>
  <c r="V111" i="2"/>
  <c r="T18" i="2"/>
  <c r="T112" i="2"/>
  <c r="V18" i="2"/>
  <c r="U78" i="2"/>
  <c r="T46" i="2"/>
  <c r="T50" i="2"/>
  <c r="W102" i="2"/>
  <c r="V102" i="2" s="1"/>
  <c r="W65" i="2"/>
  <c r="V65" i="2" s="1"/>
  <c r="U111" i="2"/>
  <c r="U112" i="2"/>
  <c r="W78" i="2"/>
  <c r="W85" i="2"/>
  <c r="W101" i="2"/>
  <c r="U101" i="2" s="1"/>
  <c r="T95" i="2"/>
  <c r="U46" i="2"/>
  <c r="W134" i="2"/>
  <c r="V134" i="2" s="1"/>
  <c r="V39" i="2"/>
  <c r="W66" i="2"/>
  <c r="U66" i="2" s="1"/>
  <c r="W39" i="2"/>
  <c r="W45" i="2"/>
  <c r="V45" i="2" s="1"/>
  <c r="U18" i="2"/>
  <c r="W54" i="2"/>
  <c r="V54" i="2" s="1"/>
  <c r="U120" i="2"/>
  <c r="V75" i="2"/>
  <c r="V124" i="2"/>
  <c r="V84" i="2"/>
  <c r="W52" i="2"/>
  <c r="V52" i="2" s="1"/>
  <c r="U35" i="2"/>
  <c r="T94" i="2"/>
  <c r="U147" i="2"/>
  <c r="W93" i="2"/>
  <c r="V93" i="2" s="1"/>
  <c r="T126" i="2"/>
  <c r="U94" i="2"/>
  <c r="U128" i="2"/>
  <c r="U45" i="2"/>
  <c r="T20" i="2"/>
  <c r="U97" i="2"/>
  <c r="U132" i="2"/>
  <c r="W71" i="2"/>
  <c r="V71" i="2" s="1"/>
  <c r="W59" i="2"/>
  <c r="V59" i="2" s="1"/>
  <c r="W132" i="2"/>
  <c r="V132" i="2" s="1"/>
  <c r="T87" i="2"/>
  <c r="V87" i="2"/>
  <c r="W108" i="2"/>
  <c r="W137" i="2"/>
  <c r="V137" i="2" s="1"/>
  <c r="V67" i="2"/>
  <c r="U20" i="2"/>
  <c r="T54" i="2"/>
  <c r="W103" i="2"/>
  <c r="V103" i="2" s="1"/>
  <c r="W124" i="2"/>
  <c r="W84" i="2"/>
  <c r="W109" i="2"/>
  <c r="V109" i="2" s="1"/>
  <c r="U137" i="2"/>
  <c r="V120" i="2"/>
  <c r="V20" i="2"/>
  <c r="T56" i="2"/>
  <c r="T93" i="2"/>
  <c r="U27" i="2"/>
  <c r="W64" i="2"/>
  <c r="U64" i="2" s="1"/>
  <c r="W110" i="2"/>
  <c r="W15" i="2"/>
  <c r="U15" i="2" s="1"/>
  <c r="U60" i="2"/>
  <c r="T60" i="2"/>
  <c r="W77" i="2"/>
  <c r="V125" i="2"/>
  <c r="V26" i="2"/>
  <c r="U59" i="2"/>
  <c r="T120" i="2"/>
  <c r="U107" i="2"/>
  <c r="U134" i="2"/>
  <c r="T38" i="2"/>
  <c r="U136" i="2"/>
  <c r="T136" i="2"/>
  <c r="W50" i="2"/>
  <c r="V50" i="2" s="1"/>
  <c r="W87" i="2"/>
  <c r="T118" i="2"/>
  <c r="W144" i="2"/>
  <c r="T144" i="2"/>
  <c r="U51" i="2"/>
  <c r="T51" i="2"/>
  <c r="W148" i="2"/>
  <c r="V35" i="2"/>
  <c r="T31" i="2"/>
  <c r="V118" i="2"/>
  <c r="T34" i="2"/>
  <c r="T21" i="2"/>
  <c r="W117" i="2"/>
  <c r="U77" i="2"/>
  <c r="V21" i="2"/>
  <c r="W126" i="2"/>
  <c r="W53" i="2"/>
  <c r="V53" i="2" s="1"/>
  <c r="W60" i="2"/>
  <c r="V60" i="2" s="1"/>
  <c r="W125" i="2"/>
  <c r="W104" i="2"/>
  <c r="U104" i="2" s="1"/>
  <c r="T125" i="2"/>
  <c r="W90" i="2"/>
  <c r="V90" i="2" s="1"/>
  <c r="U126" i="2"/>
  <c r="V76" i="2"/>
  <c r="T89" i="2"/>
  <c r="V110" i="2"/>
  <c r="V77" i="2"/>
  <c r="U117" i="2"/>
  <c r="T90" i="2"/>
  <c r="T92" i="2"/>
  <c r="U34" i="2"/>
  <c r="W34" i="2"/>
  <c r="W21" i="2"/>
  <c r="W92" i="2"/>
  <c r="V92" i="2" s="1"/>
  <c r="W14" i="2"/>
  <c r="W51" i="2"/>
  <c r="V51" i="2" s="1"/>
  <c r="U89" i="2"/>
  <c r="U110" i="2"/>
  <c r="T117" i="2"/>
  <c r="W89" i="2"/>
  <c r="W70" i="2"/>
  <c r="U33" i="2"/>
  <c r="V33" i="2"/>
  <c r="T33" i="2"/>
  <c r="W33" i="2"/>
  <c r="U25" i="2"/>
  <c r="V25" i="2"/>
  <c r="T25" i="2"/>
  <c r="U146" i="2"/>
  <c r="V146" i="2"/>
  <c r="U41" i="2"/>
  <c r="V41" i="2"/>
  <c r="T41" i="2"/>
  <c r="U49" i="2"/>
  <c r="T49" i="2"/>
  <c r="W41" i="2"/>
  <c r="V69" i="2"/>
  <c r="U69" i="2"/>
  <c r="U17" i="2"/>
  <c r="T17" i="2"/>
  <c r="U74" i="2"/>
  <c r="V74" i="2"/>
  <c r="W12" i="2" l="1"/>
  <c r="V12" i="2" s="1"/>
  <c r="S156" i="2"/>
  <c r="Q157" i="2"/>
  <c r="Q10" i="2"/>
  <c r="S11" i="2"/>
  <c r="V106" i="2"/>
  <c r="U61" i="2"/>
  <c r="V61" i="2"/>
  <c r="V105" i="2"/>
  <c r="U140" i="2"/>
  <c r="U141" i="2"/>
  <c r="U73" i="2"/>
  <c r="V154" i="2"/>
  <c r="U154" i="2"/>
  <c r="U143" i="2"/>
  <c r="V13" i="2"/>
  <c r="V145" i="2"/>
  <c r="V72" i="2"/>
  <c r="U12" i="2"/>
  <c r="U62" i="2"/>
  <c r="V149" i="2"/>
  <c r="U65" i="2"/>
  <c r="U68" i="2"/>
  <c r="U71" i="2"/>
  <c r="V104" i="2"/>
  <c r="U142" i="2"/>
  <c r="V142" i="2"/>
  <c r="U103" i="2"/>
  <c r="V63" i="2"/>
  <c r="V101" i="2"/>
  <c r="U109" i="2"/>
  <c r="V66" i="2"/>
  <c r="U102" i="2"/>
  <c r="V15" i="2"/>
  <c r="U108" i="2"/>
  <c r="V108" i="2"/>
  <c r="V70" i="2"/>
  <c r="U70" i="2"/>
  <c r="V64" i="2"/>
  <c r="U148" i="2"/>
  <c r="V148" i="2"/>
  <c r="U144" i="2"/>
  <c r="V144" i="2"/>
  <c r="U14" i="2"/>
  <c r="V14" i="2"/>
  <c r="T11" i="2" l="1"/>
  <c r="W11" i="2"/>
  <c r="Q9" i="2"/>
  <c r="S10" i="2"/>
  <c r="Q158" i="2"/>
  <c r="S157" i="2"/>
  <c r="T156" i="2"/>
  <c r="U156" i="2"/>
  <c r="W156" i="2"/>
  <c r="V156" i="2" s="1"/>
  <c r="U10" i="2" l="1"/>
  <c r="W10" i="2"/>
  <c r="V10" i="2" s="1"/>
  <c r="T10" i="2"/>
  <c r="Q159" i="2"/>
  <c r="S158" i="2"/>
  <c r="W157" i="2"/>
  <c r="V157" i="2" s="1"/>
  <c r="U157" i="2"/>
  <c r="T157" i="2"/>
  <c r="Q8" i="2"/>
  <c r="S9" i="2"/>
  <c r="V11" i="2"/>
  <c r="U11" i="2"/>
  <c r="W9" i="2" l="1"/>
  <c r="V9" i="2" s="1"/>
  <c r="U9" i="2"/>
  <c r="T9" i="2"/>
  <c r="Q7" i="2"/>
  <c r="S8" i="2"/>
  <c r="U158" i="2"/>
  <c r="T158" i="2"/>
  <c r="W158" i="2"/>
  <c r="V158" i="2" s="1"/>
  <c r="Q160" i="2"/>
  <c r="S159" i="2"/>
  <c r="U8" i="2" l="1"/>
  <c r="W8" i="2"/>
  <c r="V8" i="2" s="1"/>
  <c r="T8" i="2"/>
  <c r="W159" i="2"/>
  <c r="T159" i="2"/>
  <c r="Q6" i="2"/>
  <c r="S7" i="2"/>
  <c r="Q161" i="2"/>
  <c r="S160" i="2"/>
  <c r="T7" i="2" l="1"/>
  <c r="U7" i="2"/>
  <c r="W7" i="2"/>
  <c r="V7" i="2" s="1"/>
  <c r="U160" i="2"/>
  <c r="T160" i="2"/>
  <c r="W160" i="2"/>
  <c r="V160" i="2" s="1"/>
  <c r="S161" i="2"/>
  <c r="Q162" i="2"/>
  <c r="Q5" i="2"/>
  <c r="S6" i="2"/>
  <c r="U159" i="2"/>
  <c r="V159" i="2"/>
  <c r="T161" i="2" l="1"/>
  <c r="U161" i="2"/>
  <c r="W161" i="2"/>
  <c r="V161" i="2" s="1"/>
  <c r="Q163" i="2"/>
  <c r="S162" i="2"/>
  <c r="W6" i="2"/>
  <c r="V6" i="2" s="1"/>
  <c r="T6" i="2"/>
  <c r="U6" i="2"/>
  <c r="Q4" i="2"/>
  <c r="S5" i="2"/>
  <c r="Q3" i="2" l="1"/>
  <c r="S4" i="2"/>
  <c r="T162" i="2"/>
  <c r="U162" i="2"/>
  <c r="W162" i="2"/>
  <c r="V162" i="2" s="1"/>
  <c r="S163" i="2"/>
  <c r="Q164" i="2"/>
  <c r="T5" i="2"/>
  <c r="U5" i="2"/>
  <c r="W5" i="2"/>
  <c r="V5" i="2" s="1"/>
  <c r="S164" i="2" l="1"/>
  <c r="Q165" i="2"/>
  <c r="W163" i="2"/>
  <c r="V163" i="2" s="1"/>
  <c r="T163" i="2"/>
  <c r="U163" i="2"/>
  <c r="W4" i="2"/>
  <c r="V4" i="2" s="1"/>
  <c r="U4" i="2"/>
  <c r="T4" i="2"/>
  <c r="Q2" i="2"/>
  <c r="S2" i="2" s="1"/>
  <c r="S3" i="2"/>
  <c r="U3" i="2" l="1"/>
  <c r="W3" i="2"/>
  <c r="V3" i="2"/>
  <c r="T3" i="2"/>
  <c r="Q166" i="2"/>
  <c r="S165" i="2"/>
  <c r="W2" i="2"/>
  <c r="T2" i="2"/>
  <c r="V2" i="2"/>
  <c r="U2" i="2"/>
  <c r="W164" i="2"/>
  <c r="V164" i="2" s="1"/>
  <c r="U164" i="2"/>
  <c r="T164" i="2"/>
  <c r="Q167" i="2" l="1"/>
  <c r="S166" i="2"/>
  <c r="U165" i="2"/>
  <c r="T165" i="2"/>
  <c r="W165" i="2"/>
  <c r="V165" i="2" s="1"/>
  <c r="T166" i="2" l="1"/>
  <c r="W166" i="2"/>
  <c r="V166" i="2" s="1"/>
  <c r="U166" i="2"/>
  <c r="S167" i="2"/>
  <c r="Q168" i="2"/>
  <c r="T167" i="2" l="1"/>
  <c r="W167" i="2"/>
  <c r="S168" i="2"/>
  <c r="Q169" i="2"/>
  <c r="Q170" i="2" l="1"/>
  <c r="S169" i="2"/>
  <c r="T168" i="2"/>
  <c r="U168" i="2"/>
  <c r="W168" i="2"/>
  <c r="V168" i="2" s="1"/>
  <c r="V167" i="2"/>
  <c r="U167" i="2"/>
  <c r="T169" i="2" l="1"/>
  <c r="W169" i="2"/>
  <c r="V169" i="2" s="1"/>
  <c r="U169" i="2"/>
  <c r="S170" i="2"/>
  <c r="Q171" i="2"/>
  <c r="Q176" i="2"/>
  <c r="S176" i="2" l="1"/>
  <c r="Q177" i="2"/>
  <c r="Q172" i="2"/>
  <c r="S171" i="2"/>
  <c r="W170" i="2"/>
  <c r="T170" i="2"/>
  <c r="Q173" i="2" l="1"/>
  <c r="S172" i="2"/>
  <c r="V170" i="2"/>
  <c r="U170" i="2"/>
  <c r="Q178" i="2"/>
  <c r="S177" i="2"/>
  <c r="W171" i="2"/>
  <c r="V171" i="2" s="1"/>
  <c r="U171" i="2"/>
  <c r="T171" i="2"/>
  <c r="W176" i="2"/>
  <c r="V176" i="2" s="1"/>
  <c r="T176" i="2"/>
  <c r="U176" i="2"/>
  <c r="U177" i="2" l="1"/>
  <c r="W177" i="2"/>
  <c r="V177" i="2" s="1"/>
  <c r="T177" i="2"/>
  <c r="Q179" i="2"/>
  <c r="S178" i="2"/>
  <c r="W172" i="2"/>
  <c r="V172" i="2" s="1"/>
  <c r="T172" i="2"/>
  <c r="U172" i="2"/>
  <c r="Q174" i="2"/>
  <c r="S173" i="2"/>
  <c r="Q175" i="2" l="1"/>
  <c r="S175" i="2" s="1"/>
  <c r="S174" i="2"/>
  <c r="U178" i="2"/>
  <c r="W178" i="2"/>
  <c r="V178" i="2" s="1"/>
  <c r="T178" i="2"/>
  <c r="S179" i="2"/>
  <c r="Q180" i="2"/>
  <c r="U173" i="2"/>
  <c r="T173" i="2"/>
  <c r="W173" i="2"/>
  <c r="V173" i="2" s="1"/>
  <c r="W175" i="2" l="1"/>
  <c r="T175" i="2"/>
  <c r="Q181" i="2"/>
  <c r="S180" i="2"/>
  <c r="U179" i="2"/>
  <c r="T179" i="2"/>
  <c r="W179" i="2"/>
  <c r="V179" i="2" s="1"/>
  <c r="T174" i="2"/>
  <c r="W174" i="2"/>
  <c r="V174" i="2" s="1"/>
  <c r="U174" i="2"/>
  <c r="U175" i="2" l="1"/>
  <c r="V175" i="2"/>
  <c r="U180" i="2"/>
  <c r="T180" i="2"/>
  <c r="W180" i="2"/>
  <c r="V180" i="2" s="1"/>
  <c r="Q182" i="2"/>
  <c r="S181" i="2"/>
  <c r="T181" i="2" l="1"/>
  <c r="W181" i="2"/>
  <c r="Q183" i="2"/>
  <c r="S182" i="2"/>
  <c r="S183" i="2" l="1"/>
  <c r="Q184" i="2"/>
  <c r="T182" i="2"/>
  <c r="W182" i="2"/>
  <c r="U181" i="2"/>
  <c r="V181" i="2"/>
  <c r="Q185" i="2" l="1"/>
  <c r="S184" i="2"/>
  <c r="U182" i="2"/>
  <c r="V182" i="2"/>
  <c r="T183" i="2"/>
  <c r="W183" i="2"/>
  <c r="V183" i="2" l="1"/>
  <c r="U183" i="2"/>
  <c r="W184" i="2"/>
  <c r="T184" i="2"/>
  <c r="Q186" i="2"/>
  <c r="S185" i="2"/>
  <c r="S186" i="2" l="1"/>
  <c r="Q187" i="2"/>
  <c r="U184" i="2"/>
  <c r="V184" i="2"/>
  <c r="W185" i="2"/>
  <c r="T185" i="2"/>
  <c r="T186" i="2" l="1"/>
  <c r="W186" i="2"/>
  <c r="V185" i="2"/>
  <c r="U185" i="2"/>
  <c r="Q188" i="2"/>
  <c r="S187" i="2"/>
  <c r="W187" i="2" l="1"/>
  <c r="V187" i="2" s="1"/>
  <c r="U187" i="2"/>
  <c r="T187" i="2"/>
  <c r="Q189" i="2"/>
  <c r="S188" i="2"/>
  <c r="V186" i="2"/>
  <c r="U186" i="2"/>
  <c r="T188" i="2" l="1"/>
  <c r="W188" i="2"/>
  <c r="V188" i="2" s="1"/>
  <c r="U188" i="2"/>
  <c r="S189" i="2"/>
  <c r="Q190" i="2"/>
  <c r="Q191" i="2" l="1"/>
  <c r="S190" i="2"/>
  <c r="W189" i="2"/>
  <c r="T189" i="2"/>
  <c r="V189" i="2" l="1"/>
  <c r="U189" i="2"/>
  <c r="T190" i="2"/>
  <c r="W190" i="2"/>
  <c r="S191" i="2"/>
  <c r="Q192" i="2"/>
  <c r="U191" i="2" l="1"/>
  <c r="T191" i="2"/>
  <c r="W191" i="2"/>
  <c r="V191" i="2" s="1"/>
  <c r="S192" i="2"/>
  <c r="Q193" i="2"/>
  <c r="V190" i="2"/>
  <c r="U190" i="2"/>
  <c r="S193" i="2" l="1"/>
  <c r="Q194" i="2"/>
  <c r="U192" i="2"/>
  <c r="T192" i="2"/>
  <c r="W192" i="2"/>
  <c r="V192" i="2" s="1"/>
  <c r="Q195" i="2" l="1"/>
  <c r="S194" i="2"/>
  <c r="W193" i="2"/>
  <c r="V193" i="2" s="1"/>
  <c r="U193" i="2"/>
  <c r="T193" i="2"/>
  <c r="W194" i="2" l="1"/>
  <c r="V194" i="2" s="1"/>
  <c r="T194" i="2"/>
  <c r="U194" i="2"/>
  <c r="Q196" i="2"/>
  <c r="S195" i="2"/>
  <c r="T195" i="2" l="1"/>
  <c r="U195" i="2"/>
  <c r="W195" i="2"/>
  <c r="V195" i="2" s="1"/>
  <c r="Q197" i="2"/>
  <c r="S196" i="2"/>
  <c r="W196" i="2" l="1"/>
  <c r="T196" i="2"/>
  <c r="Q198" i="2"/>
  <c r="S197" i="2"/>
  <c r="U197" i="2" l="1"/>
  <c r="T197" i="2"/>
  <c r="W197" i="2"/>
  <c r="V197" i="2" s="1"/>
  <c r="Q199" i="2"/>
  <c r="S198" i="2"/>
  <c r="U196" i="2"/>
  <c r="V196" i="2"/>
  <c r="U198" i="2" l="1"/>
  <c r="T198" i="2"/>
  <c r="W198" i="2"/>
  <c r="V198" i="2" s="1"/>
  <c r="S199" i="2"/>
  <c r="Q200" i="2"/>
  <c r="S200" i="2" l="1"/>
  <c r="Q201" i="2"/>
  <c r="W199" i="2"/>
  <c r="T199" i="2"/>
  <c r="U199" i="2" l="1"/>
  <c r="V199" i="2"/>
  <c r="Q202" i="2"/>
  <c r="S201" i="2"/>
  <c r="W200" i="2"/>
  <c r="V200" i="2"/>
  <c r="T200" i="2"/>
  <c r="U200" i="2"/>
  <c r="Q203" i="2" l="1"/>
  <c r="S202" i="2"/>
  <c r="W201" i="2"/>
  <c r="U201" i="2"/>
  <c r="V201" i="2"/>
  <c r="T201" i="2"/>
  <c r="U202" i="2" l="1"/>
  <c r="T202" i="2"/>
  <c r="V202" i="2"/>
  <c r="W202" i="2"/>
  <c r="S203" i="2"/>
  <c r="Q204" i="2"/>
  <c r="Q205" i="2" l="1"/>
  <c r="S204" i="2"/>
  <c r="U203" i="2"/>
  <c r="T203" i="2"/>
  <c r="W203" i="2"/>
  <c r="V203" i="2"/>
  <c r="T204" i="2" l="1"/>
  <c r="V204" i="2"/>
  <c r="U204" i="2"/>
  <c r="W204" i="2"/>
  <c r="Q206" i="2"/>
  <c r="S205" i="2"/>
  <c r="W205" i="2" l="1"/>
  <c r="V205" i="2"/>
  <c r="T205" i="2"/>
  <c r="U205" i="2"/>
  <c r="Q207" i="2"/>
  <c r="S206" i="2"/>
  <c r="S207" i="2" l="1"/>
  <c r="Q208" i="2"/>
  <c r="W206" i="2"/>
  <c r="V206" i="2"/>
  <c r="U206" i="2"/>
  <c r="T206" i="2"/>
  <c r="Q209" i="2" l="1"/>
  <c r="S208" i="2"/>
  <c r="W207" i="2"/>
  <c r="T207" i="2"/>
  <c r="V207" i="2"/>
  <c r="U207" i="2"/>
  <c r="T208" i="2" l="1"/>
  <c r="U208" i="2"/>
  <c r="W208" i="2"/>
  <c r="V208" i="2" s="1"/>
  <c r="Q210" i="2"/>
  <c r="S209" i="2"/>
  <c r="S210" i="2" l="1"/>
  <c r="Q211" i="2"/>
  <c r="T209" i="2"/>
  <c r="U209" i="2"/>
  <c r="W209" i="2"/>
  <c r="V209" i="2" s="1"/>
  <c r="Q212" i="2" l="1"/>
  <c r="S211" i="2"/>
  <c r="T210" i="2"/>
  <c r="U210" i="2"/>
  <c r="W210" i="2"/>
  <c r="V210" i="2" s="1"/>
  <c r="U211" i="2" l="1"/>
  <c r="T211" i="2"/>
  <c r="W211" i="2"/>
  <c r="V211" i="2" s="1"/>
  <c r="Q213" i="2"/>
  <c r="S212" i="2"/>
  <c r="Q214" i="2" l="1"/>
  <c r="S213" i="2"/>
  <c r="W212" i="2"/>
  <c r="V212" i="2" s="1"/>
  <c r="T212" i="2"/>
  <c r="U212" i="2"/>
  <c r="V213" i="2" l="1"/>
  <c r="T213" i="2"/>
  <c r="W213" i="2"/>
  <c r="U213" i="2"/>
  <c r="Q215" i="2"/>
  <c r="S214" i="2"/>
  <c r="V214" i="2" l="1"/>
  <c r="T214" i="2"/>
  <c r="W214" i="2"/>
  <c r="U214" i="2"/>
  <c r="Q216" i="2"/>
  <c r="S215" i="2"/>
  <c r="Q217" i="2" l="1"/>
  <c r="S216" i="2"/>
  <c r="U215" i="2"/>
  <c r="T215" i="2"/>
  <c r="V215" i="2"/>
  <c r="W215" i="2"/>
  <c r="T216" i="2" l="1"/>
  <c r="W216" i="2"/>
  <c r="U216" i="2"/>
  <c r="V216" i="2"/>
  <c r="Q218" i="2"/>
  <c r="S217" i="2"/>
  <c r="V217" i="2" l="1"/>
  <c r="T217" i="2"/>
  <c r="W217" i="2"/>
  <c r="U217" i="2"/>
  <c r="Q219" i="2"/>
  <c r="S218" i="2"/>
  <c r="U218" i="2" l="1"/>
  <c r="T218" i="2"/>
  <c r="W218" i="2"/>
  <c r="V218" i="2" s="1"/>
  <c r="Q220" i="2"/>
  <c r="S219" i="2"/>
  <c r="T219" i="2" l="1"/>
  <c r="U219" i="2"/>
  <c r="W219" i="2"/>
  <c r="V219" i="2" s="1"/>
  <c r="Q221" i="2"/>
  <c r="S220" i="2"/>
  <c r="Q222" i="2" l="1"/>
  <c r="S221" i="2"/>
  <c r="U220" i="2"/>
  <c r="T220" i="2"/>
  <c r="W220" i="2"/>
  <c r="V220" i="2" s="1"/>
  <c r="T221" i="2" l="1"/>
  <c r="U221" i="2"/>
  <c r="W221" i="2"/>
  <c r="V221" i="2" s="1"/>
  <c r="S222" i="2"/>
  <c r="Q223" i="2"/>
  <c r="Q224" i="2" l="1"/>
  <c r="S223" i="2"/>
  <c r="T222" i="2"/>
  <c r="U222" i="2"/>
  <c r="W222" i="2"/>
  <c r="V222" i="2" s="1"/>
  <c r="T223" i="2" l="1"/>
  <c r="U223" i="2"/>
  <c r="W223" i="2"/>
  <c r="V223" i="2" s="1"/>
  <c r="Q225" i="2"/>
  <c r="S224" i="2"/>
  <c r="T224" i="2" l="1"/>
  <c r="U224" i="2"/>
  <c r="W224" i="2"/>
  <c r="V224" i="2" s="1"/>
  <c r="Q226" i="2"/>
  <c r="S226" i="2" s="1"/>
  <c r="S225" i="2"/>
  <c r="U226" i="2" l="1"/>
  <c r="W226" i="2"/>
  <c r="V226" i="2" s="1"/>
  <c r="T226" i="2"/>
  <c r="U225" i="2"/>
  <c r="W225" i="2"/>
  <c r="V225" i="2" s="1"/>
  <c r="T225" i="2"/>
  <c r="AG45" i="1"/>
  <c r="AD33" i="25" s="1"/>
  <c r="AK45" i="1" l="1"/>
  <c r="AE33" i="25" s="1"/>
  <c r="AA26" i="4"/>
  <c r="AC57" i="5" s="1"/>
  <c r="CF43" i="24" l="1"/>
  <c r="CF44" i="24" s="1"/>
  <c r="BD7" i="24" s="1"/>
  <c r="AB26" i="4"/>
  <c r="AD57" i="5" s="1"/>
  <c r="F28" i="24"/>
  <c r="F34" i="24"/>
  <c r="X34" i="24" s="1"/>
  <c r="AG34" i="24" s="1"/>
  <c r="F30" i="24"/>
  <c r="F31" i="24"/>
  <c r="F32" i="24"/>
  <c r="BL8" i="24" l="1"/>
  <c r="BD9" i="24"/>
  <c r="BL6" i="24"/>
  <c r="BH11" i="24"/>
  <c r="BD15" i="24"/>
  <c r="BH7" i="24"/>
  <c r="BH17" i="24"/>
  <c r="BD16" i="24"/>
  <c r="BH6" i="24"/>
  <c r="BD17" i="24"/>
  <c r="BL15" i="24"/>
  <c r="BL16" i="24"/>
  <c r="BL11" i="24"/>
  <c r="BH10" i="24"/>
  <c r="BD8" i="24"/>
  <c r="BL17" i="24"/>
  <c r="BH12" i="24"/>
  <c r="BL10" i="24"/>
  <c r="BD12" i="24"/>
  <c r="BL7" i="24"/>
  <c r="BH13" i="24"/>
  <c r="BH8" i="24"/>
  <c r="BH14" i="24"/>
  <c r="BL13" i="24"/>
  <c r="BL9" i="24"/>
  <c r="BH16" i="24"/>
  <c r="BL12" i="24"/>
  <c r="BH9" i="24"/>
  <c r="BD14" i="24"/>
  <c r="BD6" i="24"/>
  <c r="BD10" i="24"/>
  <c r="BH15" i="24"/>
  <c r="BL14" i="24"/>
  <c r="BD13" i="24"/>
  <c r="BD11" i="24"/>
  <c r="CO10" i="24"/>
  <c r="CR10" i="24" s="1"/>
  <c r="X32" i="24"/>
  <c r="AG32" i="24" s="1"/>
  <c r="X30" i="24"/>
  <c r="AG30" i="24" s="1"/>
  <c r="CO8" i="24"/>
  <c r="CR8" i="24" s="1"/>
  <c r="CO9" i="24"/>
  <c r="CR9" i="24" s="1"/>
  <c r="X31" i="24"/>
  <c r="AG31" i="24" s="1"/>
  <c r="CO6" i="24"/>
  <c r="CR6" i="24" s="1"/>
  <c r="X28" i="24"/>
  <c r="AG28" i="24" s="1"/>
  <c r="BH18" i="24" l="1"/>
  <c r="BH19" i="24" s="1"/>
  <c r="BL18" i="24"/>
  <c r="BL19" i="24" s="1"/>
  <c r="CS13" i="24" s="1"/>
  <c r="BD18" i="24"/>
  <c r="BD19" i="24" s="1"/>
  <c r="CT13" i="24" l="1"/>
  <c r="CS14" i="24" s="1"/>
  <c r="F29" i="24" s="1"/>
  <c r="F26" i="24"/>
  <c r="CS15" i="24"/>
  <c r="F27" i="24" s="1"/>
  <c r="X27" i="24" s="1"/>
  <c r="AG27" i="24" s="1"/>
  <c r="CP7" i="24" l="1"/>
  <c r="CK7" i="24"/>
  <c r="X29" i="24"/>
  <c r="AG29" i="24" s="1"/>
  <c r="CO7" i="24"/>
  <c r="CL7" i="24"/>
  <c r="CP4" i="24"/>
  <c r="X26" i="24"/>
  <c r="AG26" i="24" s="1"/>
  <c r="CM4" i="24"/>
  <c r="F35" i="24" s="1"/>
  <c r="X35" i="24" s="1"/>
  <c r="AG35" i="24" s="1"/>
  <c r="CO4" i="24"/>
  <c r="CO5" i="24"/>
  <c r="CR5" i="24" s="1"/>
  <c r="CR7" i="24" l="1"/>
  <c r="CR4" i="24"/>
  <c r="CR11" i="24" l="1"/>
  <c r="CT4" i="24" s="1"/>
  <c r="CT7" i="24" l="1"/>
  <c r="CT9" i="24" s="1"/>
  <c r="BY7" i="24" s="1"/>
  <c r="BY5" i="24" l="1"/>
  <c r="BY8" i="24"/>
  <c r="BY6" i="24"/>
  <c r="BY9" i="24" l="1" a="1"/>
  <c r="BY9" i="24" s="1"/>
  <c r="CS16" i="24" l="1"/>
  <c r="F33" i="24" s="1"/>
  <c r="CK11" i="24" l="1"/>
  <c r="X33" i="24"/>
  <c r="AG33" i="24" s="1"/>
  <c r="F36" i="24" s="1"/>
  <c r="CL11" i="24"/>
  <c r="CP11" i="24"/>
  <c r="CO11" i="24"/>
</calcChain>
</file>

<file path=xl/sharedStrings.xml><?xml version="1.0" encoding="utf-8"?>
<sst xmlns="http://schemas.openxmlformats.org/spreadsheetml/2006/main" count="10628" uniqueCount="3241">
  <si>
    <t>제품</t>
  </si>
  <si>
    <t>가격</t>
  </si>
  <si>
    <t>제조사</t>
  </si>
  <si>
    <t>해상도</t>
  </si>
  <si>
    <t>패널</t>
  </si>
  <si>
    <t>주사율</t>
  </si>
  <si>
    <t>응답속도</t>
  </si>
  <si>
    <t>명암비</t>
  </si>
  <si>
    <t>동적명암비</t>
  </si>
  <si>
    <t>밝기</t>
  </si>
  <si>
    <t>색재현율</t>
  </si>
  <si>
    <t>D-SUB</t>
  </si>
  <si>
    <t>DVI</t>
  </si>
  <si>
    <t>HDMI</t>
  </si>
  <si>
    <t>DP</t>
  </si>
  <si>
    <t>소비전력</t>
  </si>
  <si>
    <t>&lt;22인치&gt;</t>
  </si>
  <si>
    <t>DELL</t>
  </si>
  <si>
    <t>1920x1080</t>
  </si>
  <si>
    <t>IPS</t>
  </si>
  <si>
    <t>1K:1</t>
  </si>
  <si>
    <t>8M:1</t>
  </si>
  <si>
    <t>82%</t>
  </si>
  <si>
    <t>LG전자 22M47D </t>
  </si>
  <si>
    <t>LG전자</t>
  </si>
  <si>
    <t>TN</t>
  </si>
  <si>
    <t>5M:1</t>
  </si>
  <si>
    <t>72%</t>
  </si>
  <si>
    <t>LG전자 22MP57HQ </t>
  </si>
  <si>
    <t>AH-IPS</t>
  </si>
  <si>
    <t>삼성전자</t>
  </si>
  <si>
    <t>무한:1</t>
  </si>
  <si>
    <t>삼성전자 S22E390 </t>
  </si>
  <si>
    <t>PLS</t>
  </si>
  <si>
    <t>알파스캔 2214 ADS LED 무결점 </t>
  </si>
  <si>
    <t>알파스캔</t>
  </si>
  <si>
    <t>AD-PLS</t>
  </si>
  <si>
    <t>20M:1</t>
  </si>
  <si>
    <t>알파스캔 AOC 2276 ADS 무결점 </t>
  </si>
  <si>
    <t>50M:1</t>
  </si>
  <si>
    <t>알파스캔 AOC 2269 IPS LED 무결점 </t>
  </si>
  <si>
    <t>&lt;23인치&gt;</t>
  </si>
  <si>
    <t>ASUS</t>
  </si>
  <si>
    <t>1920X1080</t>
  </si>
  <si>
    <t>80M:1</t>
  </si>
  <si>
    <t xml:space="preserve">BenQ VZ2350HM 아이케어 무결점 </t>
  </si>
  <si>
    <t>BenQ</t>
  </si>
  <si>
    <t>DELL P2314H</t>
  </si>
  <si>
    <t>2M:1</t>
  </si>
  <si>
    <t xml:space="preserve">LG전자 23M47D </t>
  </si>
  <si>
    <t xml:space="preserve">LG전자 23MP57HQ </t>
  </si>
  <si>
    <t xml:space="preserve">LG전자 23ET63 터치스크린 </t>
  </si>
  <si>
    <t>50K:1</t>
  </si>
  <si>
    <t xml:space="preserve">삼성전자 S23C340H </t>
  </si>
  <si>
    <t xml:space="preserve">알파스캔 프레스티지 N2312 IPS LED 무결점 </t>
  </si>
  <si>
    <t xml:space="preserve">알파스캔 AOC 2367 IPS LED 무결점 </t>
  </si>
  <si>
    <t>&lt;24인치&gt;</t>
  </si>
  <si>
    <t>A-MVA+</t>
  </si>
  <si>
    <t>3K:1</t>
  </si>
  <si>
    <t xml:space="preserve">BenQ GL2460 아이케어 무결점 </t>
  </si>
  <si>
    <t>12M:1</t>
  </si>
  <si>
    <t>BenQ XL2411Z 아이케어 무결점 </t>
  </si>
  <si>
    <t>1920x1200</t>
  </si>
  <si>
    <t>Adobe RGB 99</t>
  </si>
  <si>
    <t xml:space="preserve">DELL S2415H </t>
  </si>
  <si>
    <t>DELL UltraSharp U2412M </t>
  </si>
  <si>
    <t xml:space="preserve">DELL UltraSharp U2414H </t>
  </si>
  <si>
    <t>sRGB 96</t>
  </si>
  <si>
    <t xml:space="preserve">DELL UltraSharp U2415 </t>
  </si>
  <si>
    <t>sRGB 99</t>
  </si>
  <si>
    <t xml:space="preserve">LG전자 24MB35P </t>
  </si>
  <si>
    <t xml:space="preserve">LG전자 24MP47HQ </t>
  </si>
  <si>
    <t xml:space="preserve">LG전자 24M47VQ </t>
  </si>
  <si>
    <t xml:space="preserve">LG전자 24MT57D </t>
  </si>
  <si>
    <t xml:space="preserve">LG전자 24MP77SM </t>
  </si>
  <si>
    <t xml:space="preserve">삼성전자 S24D300 </t>
  </si>
  <si>
    <t xml:space="preserve">삼성전자 S24E390 </t>
  </si>
  <si>
    <t xml:space="preserve">삼성전자 T24D390KD </t>
  </si>
  <si>
    <t xml:space="preserve">삼성전자 T24E395 </t>
  </si>
  <si>
    <t>VA</t>
  </si>
  <si>
    <t xml:space="preserve">알파스캔 프레스티지 N2413 ADS MHL 무결점 </t>
  </si>
  <si>
    <t xml:space="preserve">알파스캔 AOC 2477 IPS MHL+DP 무결점 </t>
  </si>
  <si>
    <t>&lt;25인치&gt;</t>
  </si>
  <si>
    <t>2560x1080</t>
  </si>
  <si>
    <t>sRGB 100</t>
  </si>
  <si>
    <t>&lt;27인치&gt;</t>
  </si>
  <si>
    <t>2560x1440</t>
  </si>
  <si>
    <t>O</t>
  </si>
  <si>
    <t>3840x2160</t>
  </si>
  <si>
    <t xml:space="preserve">BenQ GW2760HS 아이케어 무결점 </t>
  </si>
  <si>
    <t xml:space="preserve">BenQ GW2765HT 아이케어 무결점 </t>
  </si>
  <si>
    <t>AH-VA</t>
  </si>
  <si>
    <t xml:space="preserve">BenQ XL2730Z 아이케어 무결점 </t>
  </si>
  <si>
    <t xml:space="preserve">LG전자 27MP37VQ </t>
  </si>
  <si>
    <t>LG전자 27MT57D</t>
  </si>
  <si>
    <t xml:space="preserve">LG전자 27MP65HQ </t>
  </si>
  <si>
    <t xml:space="preserve">LG전자 27MP77SM </t>
  </si>
  <si>
    <t xml:space="preserve">LG전자 27MT77W </t>
  </si>
  <si>
    <t>LG전자 27MB85R </t>
  </si>
  <si>
    <t xml:space="preserve">LG전자 27MB85Z </t>
  </si>
  <si>
    <t xml:space="preserve">삼성전자 S27E310 블랙 </t>
  </si>
  <si>
    <t xml:space="preserve">삼성전자 S27E370 </t>
  </si>
  <si>
    <t>삼성전자 T27D390</t>
  </si>
  <si>
    <t>VA(곡면)</t>
  </si>
  <si>
    <t>삼성전자 T27D590CD</t>
  </si>
  <si>
    <t xml:space="preserve">삼성전자 S27D850T </t>
  </si>
  <si>
    <t xml:space="preserve">알파스캔 AOC 2778 시력보호 무결점 </t>
  </si>
  <si>
    <t>&lt;28인치&gt;</t>
  </si>
  <si>
    <t>&lt;29인치&gt;</t>
  </si>
  <si>
    <t xml:space="preserve">LG전자 울트라와이드 29UM57 </t>
  </si>
  <si>
    <t>AH-IPS(곡면)</t>
  </si>
  <si>
    <t xml:space="preserve">LG전자 울트라와이드 29UC97C </t>
  </si>
  <si>
    <t xml:space="preserve">삼성전자 S29E790C </t>
  </si>
  <si>
    <t>&lt;31인치&gt;</t>
  </si>
  <si>
    <t xml:space="preserve">LG전자 31MU97 </t>
  </si>
  <si>
    <t>4096x2160</t>
  </si>
  <si>
    <t>Adobe RGB 99.5</t>
  </si>
  <si>
    <t>&lt;32인치&gt;</t>
  </si>
  <si>
    <t xml:space="preserve">BenQ BL3200PT 아이케어 무결점 </t>
  </si>
  <si>
    <t xml:space="preserve">BenQ BL3201PT 아이케어 무결점 </t>
  </si>
  <si>
    <t xml:space="preserve">LG전자 32MB25HM </t>
  </si>
  <si>
    <t>1.2K:1</t>
  </si>
  <si>
    <t xml:space="preserve">삼성전자 S32D230H </t>
  </si>
  <si>
    <t>5K:1</t>
  </si>
  <si>
    <t xml:space="preserve">삼성전자 S32D850T </t>
  </si>
  <si>
    <t>삼성전자 U32D970 </t>
  </si>
  <si>
    <t>Adobe 100%</t>
  </si>
  <si>
    <t xml:space="preserve">삼성전자 S32E590C </t>
  </si>
  <si>
    <t>&lt;34인치&gt;</t>
  </si>
  <si>
    <t>3440x1440</t>
  </si>
  <si>
    <t>&lt;40인치 이상&gt;</t>
  </si>
  <si>
    <t>채널</t>
  </si>
  <si>
    <t>음압</t>
  </si>
  <si>
    <t>임피던스</t>
  </si>
  <si>
    <t>인터페이스</t>
  </si>
  <si>
    <t>케이블길이</t>
  </si>
  <si>
    <t>무게</t>
  </si>
  <si>
    <t>ABKO</t>
  </si>
  <si>
    <t>스테레오</t>
  </si>
  <si>
    <t>3.5mm</t>
  </si>
  <si>
    <t>USB</t>
  </si>
  <si>
    <t>Britz</t>
  </si>
  <si>
    <t>Corsair</t>
  </si>
  <si>
    <t>OZONE</t>
  </si>
  <si>
    <t>Razer</t>
  </si>
  <si>
    <t>SADES</t>
  </si>
  <si>
    <t>로지텍</t>
  </si>
  <si>
    <t>블루투스</t>
  </si>
  <si>
    <t>스틸시리즈</t>
  </si>
  <si>
    <t>제닉스</t>
  </si>
  <si>
    <t>젠하이저</t>
  </si>
  <si>
    <t>쿨러마스터</t>
  </si>
  <si>
    <t>작동센서</t>
  </si>
  <si>
    <t>DPI</t>
  </si>
  <si>
    <t>기타</t>
  </si>
  <si>
    <t>폭</t>
  </si>
  <si>
    <t>길이</t>
  </si>
  <si>
    <t>높이</t>
  </si>
  <si>
    <t>키</t>
  </si>
  <si>
    <t>가속도</t>
  </si>
  <si>
    <t>무게(g)</t>
  </si>
  <si>
    <t>Optical</t>
  </si>
  <si>
    <t>SW 매크로</t>
  </si>
  <si>
    <t>Laser</t>
  </si>
  <si>
    <t>Gigabyte</t>
  </si>
  <si>
    <t>Microsoft</t>
  </si>
  <si>
    <t>Bluetrack</t>
  </si>
  <si>
    <t>Razer Naga Epic Chroma</t>
  </si>
  <si>
    <t>Razer Taipan</t>
  </si>
  <si>
    <t>ROCCAT</t>
  </si>
  <si>
    <t>잘만</t>
  </si>
  <si>
    <t xml:space="preserve">제닉스 E-BLUE AUROZA TYPE-G </t>
  </si>
  <si>
    <t>LED</t>
  </si>
  <si>
    <t>&lt;멤브레인&gt;</t>
  </si>
  <si>
    <t>i-rocks K27</t>
  </si>
  <si>
    <t>i-rocks</t>
  </si>
  <si>
    <t>무선마우스</t>
  </si>
  <si>
    <t>유선마우스</t>
  </si>
  <si>
    <t>PS/2</t>
  </si>
  <si>
    <t>제닉스 STORMX K3 </t>
  </si>
  <si>
    <t>제닉스 STORMX TITAN LT </t>
  </si>
  <si>
    <t>&lt;펜타그래프&gt;</t>
  </si>
  <si>
    <t>&lt;플런저&gt;</t>
  </si>
  <si>
    <t>생활방수</t>
  </si>
  <si>
    <t>MAXTILL</t>
  </si>
  <si>
    <t xml:space="preserve">제닉스 STORMX K4 </t>
  </si>
  <si>
    <t>&lt;기계식&gt;</t>
  </si>
  <si>
    <t>RGB(개별)</t>
  </si>
  <si>
    <t>RAZER</t>
  </si>
  <si>
    <t>PBT</t>
  </si>
  <si>
    <t>ABS</t>
  </si>
  <si>
    <t>레오폴드</t>
  </si>
  <si>
    <t>한성컴퓨터</t>
  </si>
  <si>
    <t>&lt;무접점 방식&gt;</t>
  </si>
  <si>
    <t xml:space="preserve">한성컴퓨터 GTune CHF4 XRGB 62G </t>
  </si>
  <si>
    <t xml:space="preserve">한성컴퓨터 GTune CHL5 XRGB 55G </t>
  </si>
  <si>
    <t xml:space="preserve">한성컴퓨터 GTune CHF7 OfficeMaster 55G </t>
  </si>
  <si>
    <t>단가</t>
  </si>
  <si>
    <t>CPU쿨러높이</t>
  </si>
  <si>
    <t>그래픽장착길이</t>
  </si>
  <si>
    <t>M-ITX</t>
  </si>
  <si>
    <t>M-ATX</t>
  </si>
  <si>
    <t>ATX</t>
  </si>
  <si>
    <t>E-ATX</t>
  </si>
  <si>
    <t>&lt;미니타워&gt;</t>
  </si>
  <si>
    <t>CORSAIR</t>
  </si>
  <si>
    <t>&lt;미들타워&gt;</t>
  </si>
  <si>
    <t>리안리</t>
  </si>
  <si>
    <t>&lt;빅타워&gt;</t>
  </si>
  <si>
    <t>컨트롤러</t>
  </si>
  <si>
    <t>타입</t>
  </si>
  <si>
    <t>공정</t>
  </si>
  <si>
    <t>4K읽기</t>
  </si>
  <si>
    <t>4K쓰기</t>
  </si>
  <si>
    <t>MLC</t>
  </si>
  <si>
    <t>Sandisk</t>
  </si>
  <si>
    <t>Toshiba</t>
  </si>
  <si>
    <t>?</t>
  </si>
  <si>
    <t>캐시</t>
  </si>
  <si>
    <t>회전수</t>
  </si>
  <si>
    <t>TB/플래터</t>
  </si>
  <si>
    <t>32M</t>
  </si>
  <si>
    <t>64M</t>
  </si>
  <si>
    <t>128M</t>
  </si>
  <si>
    <t>???(1.2)</t>
  </si>
  <si>
    <t>???(1)</t>
  </si>
  <si>
    <t>마이크론</t>
  </si>
  <si>
    <t>실리콘모션</t>
  </si>
  <si>
    <t>마벨</t>
  </si>
  <si>
    <t>X</t>
  </si>
  <si>
    <t>Plextor</t>
  </si>
  <si>
    <t>도시바</t>
  </si>
  <si>
    <t>인텔</t>
  </si>
  <si>
    <t>PCI-e Gen3 x4</t>
  </si>
  <si>
    <t>삼성</t>
  </si>
  <si>
    <t>표기출력</t>
  </si>
  <si>
    <t>모듈러</t>
  </si>
  <si>
    <t>레일방식</t>
  </si>
  <si>
    <t>효율</t>
  </si>
  <si>
    <t>SATA</t>
  </si>
  <si>
    <t>PCI-E(6)</t>
  </si>
  <si>
    <t>PCI-E(2)</t>
  </si>
  <si>
    <t>IDE(Molex)</t>
  </si>
  <si>
    <t>&lt;DC to DC&gt;</t>
  </si>
  <si>
    <t>마이리플 DC 120W D3 + 12V-8.33A 어댑터</t>
  </si>
  <si>
    <t>마이리플</t>
  </si>
  <si>
    <t>DC to DC</t>
  </si>
  <si>
    <t>모드컴 ITX 120W DC + 12V-10A 어댑터</t>
  </si>
  <si>
    <t>모드컴</t>
  </si>
  <si>
    <t>모드컴 ITX 200W DC + 24V-6.3A 어댑터</t>
  </si>
  <si>
    <t>&lt;500~599W&gt;</t>
  </si>
  <si>
    <t>Antec VP500P V2 A-PFC 88퍼센트</t>
  </si>
  <si>
    <t>Antec</t>
  </si>
  <si>
    <t>일반</t>
  </si>
  <si>
    <t>다중</t>
  </si>
  <si>
    <t>Antec VPF 550 80PLUS 브론즈 </t>
  </si>
  <si>
    <t>Bronze</t>
  </si>
  <si>
    <t>Antec EDGE550 GOLD LED 풀모듈러 </t>
  </si>
  <si>
    <t>풀</t>
  </si>
  <si>
    <t>Gold</t>
  </si>
  <si>
    <t>Enermax MAXPRO EMP500AGT</t>
  </si>
  <si>
    <t>Enermax</t>
  </si>
  <si>
    <t>싱글</t>
  </si>
  <si>
    <t>Enermax NAXN Adv ETL550AWT </t>
  </si>
  <si>
    <t>FSP HYPER 500W </t>
  </si>
  <si>
    <t>FSP</t>
  </si>
  <si>
    <t>FSP FSP550-50KPN</t>
  </si>
  <si>
    <t>FSP AURUM PT-550M</t>
  </si>
  <si>
    <t>Platinum</t>
  </si>
  <si>
    <t>SuperFlower SF-500R12A NOVA</t>
  </si>
  <si>
    <t>SuperFlower</t>
  </si>
  <si>
    <t>세미</t>
  </si>
  <si>
    <t>SuperFlower SF-500R14SE Silver Green FX </t>
  </si>
  <si>
    <t>Silver</t>
  </si>
  <si>
    <t>SuperFlower SF-500P14XE GOLDEN GREEN HX </t>
  </si>
  <si>
    <t>SuperFlower SF-550F14MT LEADEX SILVER</t>
  </si>
  <si>
    <t>XFX TS 550W BRONZE</t>
  </si>
  <si>
    <t>XFX</t>
  </si>
  <si>
    <t>XFX TS 550W GOLD</t>
  </si>
  <si>
    <t>XFX XTR 550W GOLD</t>
  </si>
  <si>
    <t>마이크로닉스 New Performance 500W 80Plus Bronze Change-up</t>
  </si>
  <si>
    <t>마이크로닉스</t>
  </si>
  <si>
    <t>마이크로닉스 ASTRO GD 550W 80PLUS GOLD </t>
  </si>
  <si>
    <t>시소닉 ECO-500</t>
  </si>
  <si>
    <t>시소닉</t>
  </si>
  <si>
    <t>시소닉 S12II-520 80PLUS 브론즈 </t>
  </si>
  <si>
    <t>소켓호환</t>
  </si>
  <si>
    <t>장착높이</t>
  </si>
  <si>
    <t>팬크기</t>
  </si>
  <si>
    <t>dBA</t>
  </si>
  <si>
    <t>DEEPCOOL</t>
  </si>
  <si>
    <t>써멀라이트</t>
  </si>
  <si>
    <t>140x2</t>
  </si>
  <si>
    <t>써모랩</t>
  </si>
  <si>
    <t>Trinity</t>
  </si>
  <si>
    <t>115x</t>
  </si>
  <si>
    <t>칩셋</t>
  </si>
  <si>
    <t>소켓</t>
  </si>
  <si>
    <t>폼팩터</t>
  </si>
  <si>
    <t>가로</t>
  </si>
  <si>
    <t>세로</t>
  </si>
  <si>
    <t>DDR</t>
  </si>
  <si>
    <t>Mem</t>
  </si>
  <si>
    <t>DSub</t>
  </si>
  <si>
    <t>&lt;&lt; SKYLAKE &gt;&gt;</t>
  </si>
  <si>
    <t>&lt;H110&gt;</t>
  </si>
  <si>
    <t>H110</t>
  </si>
  <si>
    <t>m-ATX</t>
  </si>
  <si>
    <t>MSI</t>
  </si>
  <si>
    <t>&lt;B150&gt;</t>
  </si>
  <si>
    <t>B150</t>
  </si>
  <si>
    <t>MSI B150M 바주카</t>
  </si>
  <si>
    <t>&lt;H170&gt;</t>
  </si>
  <si>
    <t>H170</t>
  </si>
  <si>
    <t>m-ITX</t>
  </si>
  <si>
    <t>ASUS H170M-PLUS</t>
  </si>
  <si>
    <t>MSI H170 게이밍 M3</t>
  </si>
  <si>
    <t>&lt;Z170&gt;</t>
  </si>
  <si>
    <t>Z170</t>
  </si>
  <si>
    <t>ASRock Z170 PRO4S</t>
  </si>
  <si>
    <t>ASRock Z170 EXTREME 4</t>
  </si>
  <si>
    <t>ASRock Z170 EXTREME 4+</t>
  </si>
  <si>
    <t>ASRock Z170 EXTREME 6</t>
  </si>
  <si>
    <t>ASRock Z170 EXTREME 7+</t>
  </si>
  <si>
    <t>ASRock Z170 OC Formula</t>
  </si>
  <si>
    <t>GIGABYTE GA-Z170X-UD5 듀러블에디션</t>
  </si>
  <si>
    <t>GIGABYTE GA-Z170X-Gaming G1 게이밍에디션</t>
  </si>
  <si>
    <t>MSI Z170A GAMING M5</t>
  </si>
  <si>
    <t>MSI Z170A XPOWER 게이밍 티타늄 에디션</t>
  </si>
  <si>
    <t>&lt;&lt; HASWELL &gt;&gt;</t>
  </si>
  <si>
    <t>&lt;H81&gt;</t>
  </si>
  <si>
    <t>H81</t>
  </si>
  <si>
    <t>&lt;B85&gt;</t>
  </si>
  <si>
    <t>B85</t>
  </si>
  <si>
    <t>&lt;H97&gt;</t>
  </si>
  <si>
    <t>H97</t>
  </si>
  <si>
    <t>&lt;Z97&gt;</t>
  </si>
  <si>
    <t>Z97</t>
  </si>
  <si>
    <t>GA-Z97X-UD3H 듀러블 에디션</t>
  </si>
  <si>
    <t>&lt;X99&gt;</t>
  </si>
  <si>
    <t>X99</t>
  </si>
  <si>
    <t>2011-V3</t>
  </si>
  <si>
    <t>&lt;&lt;&lt; AMD &gt;&gt;&gt;</t>
  </si>
  <si>
    <t>&lt;&lt; APU &gt;&gt;</t>
  </si>
  <si>
    <t>FM2+</t>
  </si>
  <si>
    <t>&lt;A88X&gt;</t>
  </si>
  <si>
    <t>A88X</t>
  </si>
  <si>
    <t>&lt;&lt; FX &gt;&gt;</t>
  </si>
  <si>
    <t>AM3+</t>
  </si>
  <si>
    <t>&lt;990FX&gt;</t>
  </si>
  <si>
    <t>990FX</t>
  </si>
  <si>
    <t>CoreClk</t>
  </si>
  <si>
    <t>BstClk</t>
  </si>
  <si>
    <t>MemClk</t>
  </si>
  <si>
    <t>TDP</t>
  </si>
  <si>
    <t>m-</t>
  </si>
  <si>
    <t>&lt;엔트리&gt;</t>
  </si>
  <si>
    <t>inno3D</t>
  </si>
  <si>
    <t>MANLI</t>
  </si>
  <si>
    <t>ZOTAC</t>
  </si>
  <si>
    <t>갤럭시</t>
  </si>
  <si>
    <t>이엠텍</t>
  </si>
  <si>
    <t>SAPPHIRE</t>
  </si>
  <si>
    <t>PowerColor</t>
  </si>
  <si>
    <t>&lt;퍼포먼스&gt;</t>
  </si>
  <si>
    <t>&lt;하이엔드&gt;</t>
  </si>
  <si>
    <t xml:space="preserve">ARCTIC MX-4 (4g) </t>
  </si>
  <si>
    <t>주사기</t>
  </si>
  <si>
    <t xml:space="preserve">잘만 ZM-STG1 </t>
  </si>
  <si>
    <t>브러시</t>
  </si>
  <si>
    <t xml:space="preserve">잘만 ZM-STG2 </t>
  </si>
  <si>
    <t>Name</t>
  </si>
  <si>
    <t>Socket</t>
  </si>
  <si>
    <t>Clock</t>
  </si>
  <si>
    <t>Core i5-5675C</t>
  </si>
  <si>
    <t>Broadwell</t>
  </si>
  <si>
    <t>Iris Pro 6200</t>
  </si>
  <si>
    <t>Core i7-5775C</t>
  </si>
  <si>
    <t>Celeron G1820</t>
  </si>
  <si>
    <t>Haswell</t>
  </si>
  <si>
    <t>Intel HD(Haswell)</t>
  </si>
  <si>
    <t>Celeron G1830</t>
  </si>
  <si>
    <t>Celeron G1840</t>
  </si>
  <si>
    <t>Celeron G1850</t>
  </si>
  <si>
    <t>Core i3-4130</t>
  </si>
  <si>
    <t>Intel HD 4400</t>
  </si>
  <si>
    <t>Core i3-4150</t>
  </si>
  <si>
    <t>Core i3-4330</t>
  </si>
  <si>
    <t>Intel HD 4600</t>
  </si>
  <si>
    <t>Core i3-4340</t>
  </si>
  <si>
    <t>Core i3-4350</t>
  </si>
  <si>
    <t>Core i3-4360</t>
  </si>
  <si>
    <t>Core i3-4370</t>
  </si>
  <si>
    <t>Core i5-4430</t>
  </si>
  <si>
    <t>Core i5-4440</t>
  </si>
  <si>
    <t>Core i5-4460</t>
  </si>
  <si>
    <t>Core i5-4570</t>
  </si>
  <si>
    <t>Core i5-4590</t>
  </si>
  <si>
    <t>Core i5-4670</t>
  </si>
  <si>
    <t>Core i5-4670K</t>
  </si>
  <si>
    <t>Core i5-4690</t>
  </si>
  <si>
    <t>Core i5-4690K</t>
  </si>
  <si>
    <t>Core i7-4770</t>
  </si>
  <si>
    <t>Core i7-4770K</t>
  </si>
  <si>
    <t>Core i7-4771</t>
  </si>
  <si>
    <t>Core i7-4790</t>
  </si>
  <si>
    <t>Core i7-4790K</t>
  </si>
  <si>
    <t>Pentium G3220</t>
  </si>
  <si>
    <t>Pentium G3240</t>
  </si>
  <si>
    <t>Pentium G3250</t>
  </si>
  <si>
    <t>Pentium G3258</t>
  </si>
  <si>
    <t>Pentium G3260</t>
  </si>
  <si>
    <t>Pentium G3420</t>
  </si>
  <si>
    <t>Pentium G3430</t>
  </si>
  <si>
    <t>Pentium G3440</t>
  </si>
  <si>
    <t>Pentium G3450</t>
  </si>
  <si>
    <t>Pentium G3460</t>
  </si>
  <si>
    <t>Core i7-5820K</t>
  </si>
  <si>
    <t>Haswell-E</t>
  </si>
  <si>
    <t>2011-3</t>
  </si>
  <si>
    <t>Core i7-5930K</t>
  </si>
  <si>
    <t>Core i7-5960X</t>
  </si>
  <si>
    <t>Xeon E3-1220 v3</t>
  </si>
  <si>
    <t>Haswell-WS</t>
  </si>
  <si>
    <t>Xeon E3-1225 v3</t>
  </si>
  <si>
    <t>Intel HD P4600</t>
  </si>
  <si>
    <t>Xeon E3-1226 v3</t>
  </si>
  <si>
    <t>Xeon E3-1230 v3</t>
  </si>
  <si>
    <t>Xeon E3-1231 v3</t>
  </si>
  <si>
    <t>Xeon E3-1240 v3</t>
  </si>
  <si>
    <t>Xeon E3-1241 v3</t>
  </si>
  <si>
    <t>Xeon E3-1245 v3</t>
  </si>
  <si>
    <t>Xeon E3-1246 v3</t>
  </si>
  <si>
    <t>Xeon E3-1270 v3</t>
  </si>
  <si>
    <t>Xeon E3-1271 v3</t>
  </si>
  <si>
    <t>Xeon E3-1275 v3</t>
  </si>
  <si>
    <t>Xeon E3-1276 v3</t>
  </si>
  <si>
    <t>Xeon E3-1280 v3</t>
  </si>
  <si>
    <t>Xeon E3-1281 v3</t>
  </si>
  <si>
    <t>Xeon E3-1285 v3</t>
  </si>
  <si>
    <t>Intel HD P4700</t>
  </si>
  <si>
    <t>Xeon E3-1286 v3</t>
  </si>
  <si>
    <t>Celeron G1610</t>
  </si>
  <si>
    <t>Ivy Bridge</t>
  </si>
  <si>
    <t>Intel HD</t>
  </si>
  <si>
    <t>Celeron G1620</t>
  </si>
  <si>
    <t>Celeron G1630</t>
  </si>
  <si>
    <t>Core i3-3210</t>
  </si>
  <si>
    <t>Intel HD 2500</t>
  </si>
  <si>
    <t>Core i3-3220</t>
  </si>
  <si>
    <t>Core i3-3225</t>
  </si>
  <si>
    <t>Intel HD 4000</t>
  </si>
  <si>
    <t>Core i3-3240</t>
  </si>
  <si>
    <t>Core i5-3330</t>
  </si>
  <si>
    <t>Core i5-3340</t>
  </si>
  <si>
    <t>Core i5-3450</t>
  </si>
  <si>
    <t>Core i5-3470</t>
  </si>
  <si>
    <t>Core i5-3550</t>
  </si>
  <si>
    <t>Core i5-3570</t>
  </si>
  <si>
    <t>Core i5-3570K</t>
  </si>
  <si>
    <t>Core i7-3770</t>
  </si>
  <si>
    <t>Core i7-3770K</t>
  </si>
  <si>
    <t>Pentium G2010</t>
  </si>
  <si>
    <t>Pentium G2020</t>
  </si>
  <si>
    <t>Pentium G2030</t>
  </si>
  <si>
    <t>Pentium G2120</t>
  </si>
  <si>
    <t>Pentium G2130</t>
  </si>
  <si>
    <t>Pentium G2140</t>
  </si>
  <si>
    <t>Xeon E3-1220 v2</t>
  </si>
  <si>
    <t>Xeon E3-1225 v2</t>
  </si>
  <si>
    <t>Intel HD P4000</t>
  </si>
  <si>
    <t>Xeon E3-1230 v2</t>
  </si>
  <si>
    <t>Xeon E3-1240 v2</t>
  </si>
  <si>
    <t>Xeon E3-1245 v2</t>
  </si>
  <si>
    <t>Xeon E3-1270 v2</t>
  </si>
  <si>
    <t>Xeon E3-1275 v2</t>
  </si>
  <si>
    <t>Xeon E3-1280 v2</t>
  </si>
  <si>
    <t>Xeon E3-1290 v2</t>
  </si>
  <si>
    <t>Core i7-4820K</t>
  </si>
  <si>
    <t>Ivy Bridge-E</t>
  </si>
  <si>
    <t>Core i7-4930K</t>
  </si>
  <si>
    <t>Core i7-4960X</t>
  </si>
  <si>
    <t>Core i3-2100</t>
  </si>
  <si>
    <t>Sandy Bridge</t>
  </si>
  <si>
    <t>Intel HD 2000</t>
  </si>
  <si>
    <t>Core i3-2102</t>
  </si>
  <si>
    <t>Intel HD 3000</t>
  </si>
  <si>
    <t>Core i3-2105</t>
  </si>
  <si>
    <t>Core i3-2120</t>
  </si>
  <si>
    <t>Core i3-2125</t>
  </si>
  <si>
    <t>Core i3-2130</t>
  </si>
  <si>
    <t>Core i5-2300</t>
  </si>
  <si>
    <t>Core i5-2310</t>
  </si>
  <si>
    <t>Core i5-2320</t>
  </si>
  <si>
    <t>Core i5-2400</t>
  </si>
  <si>
    <t>Core i5-2500</t>
  </si>
  <si>
    <t>Core i5-2500K</t>
  </si>
  <si>
    <t>Core i5-2550K</t>
  </si>
  <si>
    <t>Core i7-2600</t>
  </si>
  <si>
    <t>Core i7-2600K</t>
  </si>
  <si>
    <t>Core i7-2700K</t>
  </si>
  <si>
    <t>Pentium G620</t>
  </si>
  <si>
    <t>Intel HD(SandyBridge)</t>
  </si>
  <si>
    <t>Pentium G622</t>
  </si>
  <si>
    <t>Pentium G630</t>
  </si>
  <si>
    <t>Pentium G632</t>
  </si>
  <si>
    <t>Pentium G640</t>
  </si>
  <si>
    <t>Pentium G645</t>
  </si>
  <si>
    <t>Pentium G840</t>
  </si>
  <si>
    <t>Pentium G850</t>
  </si>
  <si>
    <t>Pentium G860</t>
  </si>
  <si>
    <t>Pentium G870</t>
  </si>
  <si>
    <t>Xeon E3-1220</t>
  </si>
  <si>
    <t>Xeon E3-1225</t>
  </si>
  <si>
    <t>Intel HD P3000</t>
  </si>
  <si>
    <t>Xeon E3-1230</t>
  </si>
  <si>
    <t>Xeon E3-1235</t>
  </si>
  <si>
    <t>Xeon E3-1240</t>
  </si>
  <si>
    <t>Xeon E3-1245</t>
  </si>
  <si>
    <t>Xeon E3-1270</t>
  </si>
  <si>
    <t>Xeon E3-1275</t>
  </si>
  <si>
    <t>Xeon E3-1280</t>
  </si>
  <si>
    <t>Xeon E3-1290</t>
  </si>
  <si>
    <t>Core i7-3820</t>
  </si>
  <si>
    <t>Sandy Bridge-E</t>
  </si>
  <si>
    <t>Core i7-3930K</t>
  </si>
  <si>
    <t>Core i7-3960X</t>
  </si>
  <si>
    <t>Core i7-3970X</t>
  </si>
  <si>
    <t>Core i3-6100</t>
  </si>
  <si>
    <t>Skylake</t>
  </si>
  <si>
    <t>HD Graphics 530</t>
  </si>
  <si>
    <t>Core i3-6300</t>
  </si>
  <si>
    <t>Core i3-6320</t>
  </si>
  <si>
    <t>Core i5-6400</t>
  </si>
  <si>
    <t>Core i5-6500</t>
  </si>
  <si>
    <t>Core i5-6600</t>
  </si>
  <si>
    <t>Core i5-6600K</t>
  </si>
  <si>
    <t>Core i7-6700</t>
  </si>
  <si>
    <t>Pentium G4400</t>
  </si>
  <si>
    <t>HD Graphics 510</t>
  </si>
  <si>
    <t>Pentium G4500</t>
  </si>
  <si>
    <t>Pentium G4520</t>
  </si>
  <si>
    <t>Celeron G3900</t>
  </si>
  <si>
    <t>Celeron G3920</t>
  </si>
  <si>
    <t>A6-7400K</t>
  </si>
  <si>
    <t>Steamroller</t>
  </si>
  <si>
    <t>Kaveri</t>
  </si>
  <si>
    <t>Radeon R7(4CU)</t>
  </si>
  <si>
    <t>A8-7670K</t>
  </si>
  <si>
    <t>Radeon R7(6CU)</t>
  </si>
  <si>
    <t>A8-7650K</t>
  </si>
  <si>
    <t>A8-7600</t>
  </si>
  <si>
    <t>A10-7870K</t>
  </si>
  <si>
    <t>Radeon R7(8CU)</t>
  </si>
  <si>
    <t>A10-7850K</t>
  </si>
  <si>
    <t>A10-7800</t>
  </si>
  <si>
    <t>A10-7700K</t>
  </si>
  <si>
    <t>A10-7670K</t>
  </si>
  <si>
    <t>A10-7650K</t>
  </si>
  <si>
    <t>A8-6600K</t>
  </si>
  <si>
    <t>Piledriver</t>
  </si>
  <si>
    <t>Richland</t>
  </si>
  <si>
    <t>FM2</t>
  </si>
  <si>
    <t>Radeon HD 8570D</t>
  </si>
  <si>
    <t>A8-6500</t>
  </si>
  <si>
    <t>A6-6420K</t>
  </si>
  <si>
    <t>Radeon HD 8470D</t>
  </si>
  <si>
    <t>A6-6400K</t>
  </si>
  <si>
    <t>A4-7300</t>
  </si>
  <si>
    <t>Radeon HD 8370D</t>
  </si>
  <si>
    <t>A4-6320</t>
  </si>
  <si>
    <t>A4-6300</t>
  </si>
  <si>
    <t>A4-4000</t>
  </si>
  <si>
    <t>A10-6800K</t>
  </si>
  <si>
    <t>A10-6790K</t>
  </si>
  <si>
    <t>A10-6700</t>
  </si>
  <si>
    <t>A8-5600K</t>
  </si>
  <si>
    <t>Radeon HD 7560D</t>
  </si>
  <si>
    <t>A8-5500</t>
  </si>
  <si>
    <t>A6-5400K</t>
  </si>
  <si>
    <t>Radeon HD 7540D</t>
  </si>
  <si>
    <t>A4-5300</t>
  </si>
  <si>
    <t>A10-5800K</t>
  </si>
  <si>
    <t>Radeon HD 7660D</t>
  </si>
  <si>
    <t>A10-5700</t>
  </si>
  <si>
    <t>FX-9590</t>
  </si>
  <si>
    <t>Vishera</t>
  </si>
  <si>
    <t>FX-9370</t>
  </si>
  <si>
    <t>FX-8370E</t>
  </si>
  <si>
    <t>FX-8370</t>
  </si>
  <si>
    <t>FX-8350</t>
  </si>
  <si>
    <t>FX-8320E</t>
  </si>
  <si>
    <t>FX-8320</t>
  </si>
  <si>
    <t>FX-8300</t>
  </si>
  <si>
    <t>FX-6350</t>
  </si>
  <si>
    <t>FX-6300</t>
  </si>
  <si>
    <t>FX-4350</t>
  </si>
  <si>
    <t>FX-4320</t>
  </si>
  <si>
    <t>FX-8170</t>
  </si>
  <si>
    <t>Buldozer</t>
  </si>
  <si>
    <t>Zambezi</t>
  </si>
  <si>
    <t>FX-8150</t>
  </si>
  <si>
    <t>FX-8140</t>
  </si>
  <si>
    <t>FX-8120</t>
  </si>
  <si>
    <t>FX-8100</t>
  </si>
  <si>
    <t>FX-6200</t>
  </si>
  <si>
    <t>FX-6130</t>
  </si>
  <si>
    <t>FX-6120</t>
  </si>
  <si>
    <t>FX-6100</t>
  </si>
  <si>
    <t>FX-4170</t>
  </si>
  <si>
    <t>FX-4150</t>
  </si>
  <si>
    <t>FX-4130</t>
  </si>
  <si>
    <t>FX-4120</t>
  </si>
  <si>
    <t>FX-4100</t>
  </si>
  <si>
    <t>Product Name</t>
  </si>
  <si>
    <t>Architecture</t>
  </si>
  <si>
    <t>GPU Chip</t>
  </si>
  <si>
    <t>GeForce GTX TITAN Z</t>
  </si>
  <si>
    <t>KEPLER</t>
  </si>
  <si>
    <t>GK110B</t>
  </si>
  <si>
    <t>GeForce GTX TITAN X</t>
  </si>
  <si>
    <t>MAXWELL</t>
  </si>
  <si>
    <t>GM200</t>
  </si>
  <si>
    <t>GeForce GTX TITAN BLACK</t>
  </si>
  <si>
    <t>GeForce GTX TITAN</t>
  </si>
  <si>
    <t>GK110</t>
  </si>
  <si>
    <t>GeForce GTX 980 Ti</t>
  </si>
  <si>
    <t>GeForce GTX 980</t>
  </si>
  <si>
    <t>GM204</t>
  </si>
  <si>
    <t>GeForce GTX 960</t>
  </si>
  <si>
    <t>GM206</t>
  </si>
  <si>
    <t>GeForce GTX 950</t>
  </si>
  <si>
    <t>GeForce GTX 780 Ti</t>
  </si>
  <si>
    <t>GeForce GTX 780</t>
  </si>
  <si>
    <t>GeForce GTX 770</t>
  </si>
  <si>
    <t>GK104</t>
  </si>
  <si>
    <t>GeForce GTX 760</t>
  </si>
  <si>
    <t>GeForce GTX 750 Ti</t>
  </si>
  <si>
    <t>GM107</t>
  </si>
  <si>
    <t>GeForce GTX 750</t>
  </si>
  <si>
    <t>GeForce GTX 690</t>
  </si>
  <si>
    <t>GeForce GTX 680</t>
  </si>
  <si>
    <t>GeForce GTX 670</t>
  </si>
  <si>
    <t>GeForce GTX 660 Ti</t>
  </si>
  <si>
    <t>GeForce GTX 660</t>
  </si>
  <si>
    <t>GK106</t>
  </si>
  <si>
    <t>GeForce GTX 650 Ti Boost</t>
  </si>
  <si>
    <t>GeForce GTX 650 Ti</t>
  </si>
  <si>
    <t>GeForce GTX 650</t>
  </si>
  <si>
    <t>GK107</t>
  </si>
  <si>
    <t>GeForce GT 740</t>
  </si>
  <si>
    <t>GeForce GT 730</t>
  </si>
  <si>
    <t>GK208</t>
  </si>
  <si>
    <t>GF108</t>
  </si>
  <si>
    <t>GeForce GT 640</t>
  </si>
  <si>
    <t>GeForce GT 630</t>
  </si>
  <si>
    <t>Radeon R9 Nano</t>
  </si>
  <si>
    <t>GCN1.2</t>
  </si>
  <si>
    <t>Fiji</t>
  </si>
  <si>
    <t>Radeon R9 FURY</t>
  </si>
  <si>
    <t>Radeon R9 390X</t>
  </si>
  <si>
    <t>GCN1.1</t>
  </si>
  <si>
    <t>Grenada</t>
  </si>
  <si>
    <t>Radeon R9 390 X2</t>
  </si>
  <si>
    <t>Radeon R9 390</t>
  </si>
  <si>
    <t>Antigua</t>
  </si>
  <si>
    <t>Radeon R9 370X</t>
  </si>
  <si>
    <t>GCN1.0</t>
  </si>
  <si>
    <t>Trinidad</t>
  </si>
  <si>
    <t>Radeon R9 295X2</t>
  </si>
  <si>
    <t>Vesuvius</t>
  </si>
  <si>
    <t>Radeon R9 290X2</t>
  </si>
  <si>
    <t>Hawaii</t>
  </si>
  <si>
    <t>Radeon R9 290X</t>
  </si>
  <si>
    <t>Radeon R9 290</t>
  </si>
  <si>
    <t>Radeon R9 285</t>
  </si>
  <si>
    <t>Tonga</t>
  </si>
  <si>
    <t>Radeon R9 280X</t>
  </si>
  <si>
    <t>Tahiti</t>
  </si>
  <si>
    <t>Radeon R9 280</t>
  </si>
  <si>
    <t>Radeon R9 270X</t>
  </si>
  <si>
    <t>Curacao</t>
  </si>
  <si>
    <t>Radeon R7 360</t>
  </si>
  <si>
    <t>Tobago</t>
  </si>
  <si>
    <t>Radeon R7 265</t>
  </si>
  <si>
    <t>Pitcairn</t>
  </si>
  <si>
    <t>Radeon R7 260X</t>
  </si>
  <si>
    <t>Bonaire</t>
  </si>
  <si>
    <t>Radeon R7 260</t>
  </si>
  <si>
    <t>Radeon R7 250X</t>
  </si>
  <si>
    <t>Cape Verde</t>
  </si>
  <si>
    <t>Radeon R7 250</t>
  </si>
  <si>
    <t>Oland</t>
  </si>
  <si>
    <t>Radeon R7 240</t>
  </si>
  <si>
    <t>Radeon R5 230</t>
  </si>
  <si>
    <t>Caicos</t>
  </si>
  <si>
    <t>Radeon HD 7990</t>
  </si>
  <si>
    <t>Malta</t>
  </si>
  <si>
    <t>Radeon HD 7970 GHz Edition</t>
  </si>
  <si>
    <t>Radeon HD 7970</t>
  </si>
  <si>
    <t>Radeon HD 7950 Boost</t>
  </si>
  <si>
    <t>Radeon HD 7950</t>
  </si>
  <si>
    <t>Radeon HD 7870 XT</t>
  </si>
  <si>
    <t>Radeon HD 7850</t>
  </si>
  <si>
    <t>Radeon HD 7790</t>
  </si>
  <si>
    <t>Radeon HD 7770 GHz Edition</t>
  </si>
  <si>
    <t>Radeon HD 7750</t>
  </si>
  <si>
    <t>Radeon HD 7730</t>
  </si>
  <si>
    <t>Radeon HD 6990</t>
  </si>
  <si>
    <t>Antilles</t>
  </si>
  <si>
    <t>Radeon HD 6970</t>
  </si>
  <si>
    <t>Cayman</t>
  </si>
  <si>
    <t>Radeon HD 6950</t>
  </si>
  <si>
    <t>Barts</t>
  </si>
  <si>
    <t>Radeon HD 6870</t>
  </si>
  <si>
    <t>Radeon HD 6850</t>
  </si>
  <si>
    <t>Radeon HD 6790</t>
  </si>
  <si>
    <t>Radeon HD 6770</t>
  </si>
  <si>
    <t>Juniper</t>
  </si>
  <si>
    <t>Radeon HD 6750</t>
  </si>
  <si>
    <t>Radeon HD 6670</t>
  </si>
  <si>
    <t>Turks</t>
  </si>
  <si>
    <t>Radeon HD 6570</t>
  </si>
  <si>
    <t>Boost</t>
    <phoneticPr fontId="4" type="noConversion"/>
  </si>
  <si>
    <t>Codename</t>
    <phoneticPr fontId="4" type="noConversion"/>
  </si>
  <si>
    <t>Architecture</t>
    <phoneticPr fontId="4" type="noConversion"/>
  </si>
  <si>
    <t>L1</t>
    <phoneticPr fontId="4" type="noConversion"/>
  </si>
  <si>
    <t>L2</t>
    <phoneticPr fontId="4" type="noConversion"/>
  </si>
  <si>
    <t>L3</t>
    <phoneticPr fontId="4" type="noConversion"/>
  </si>
  <si>
    <t>isHT</t>
    <phoneticPr fontId="4" type="noConversion"/>
  </si>
  <si>
    <t>L3vs</t>
    <phoneticPr fontId="4" type="noConversion"/>
  </si>
  <si>
    <t>성능배수</t>
    <phoneticPr fontId="4" type="noConversion"/>
  </si>
  <si>
    <t>1코어</t>
    <phoneticPr fontId="4" type="noConversion"/>
  </si>
  <si>
    <t>2코어</t>
    <phoneticPr fontId="4" type="noConversion"/>
  </si>
  <si>
    <t>4코어</t>
    <phoneticPr fontId="4" type="noConversion"/>
  </si>
  <si>
    <t>8코어</t>
    <phoneticPr fontId="4" type="noConversion"/>
  </si>
  <si>
    <t>모든코어</t>
    <phoneticPr fontId="4" type="noConversion"/>
  </si>
  <si>
    <t>Core</t>
    <phoneticPr fontId="4" type="noConversion"/>
  </si>
  <si>
    <t>TMU</t>
    <phoneticPr fontId="4" type="noConversion"/>
  </si>
  <si>
    <t>ROP</t>
    <phoneticPr fontId="4" type="noConversion"/>
  </si>
  <si>
    <t>Core Clock</t>
    <phoneticPr fontId="4" type="noConversion"/>
  </si>
  <si>
    <t>Memory Clock</t>
    <phoneticPr fontId="4" type="noConversion"/>
  </si>
  <si>
    <t>Memory Bit</t>
    <phoneticPr fontId="4" type="noConversion"/>
  </si>
  <si>
    <t>Memory Type</t>
    <phoneticPr fontId="4" type="noConversion"/>
  </si>
  <si>
    <t>is2C</t>
    <phoneticPr fontId="4" type="noConversion"/>
  </si>
  <si>
    <t>GDDR5</t>
    <phoneticPr fontId="4" type="noConversion"/>
  </si>
  <si>
    <t>DDR3</t>
    <phoneticPr fontId="4" type="noConversion"/>
  </si>
  <si>
    <t>HBM1</t>
    <phoneticPr fontId="4" type="noConversion"/>
  </si>
  <si>
    <t>Skylake</t>
    <phoneticPr fontId="4" type="noConversion"/>
  </si>
  <si>
    <t>O</t>
    <phoneticPr fontId="4" type="noConversion"/>
  </si>
  <si>
    <t>Terascale2</t>
    <phoneticPr fontId="4" type="noConversion"/>
  </si>
  <si>
    <t>Terascale3</t>
    <phoneticPr fontId="4" type="noConversion"/>
  </si>
  <si>
    <t>Radeon HD 7480D</t>
    <phoneticPr fontId="4" type="noConversion"/>
  </si>
  <si>
    <t>Intel 9th</t>
    <phoneticPr fontId="4" type="noConversion"/>
  </si>
  <si>
    <t>DDR4</t>
    <phoneticPr fontId="4" type="noConversion"/>
  </si>
  <si>
    <t>Boost Clock</t>
    <phoneticPr fontId="4" type="noConversion"/>
  </si>
  <si>
    <t>Intel 6th</t>
    <phoneticPr fontId="4" type="noConversion"/>
  </si>
  <si>
    <t>Intel 6th</t>
    <phoneticPr fontId="4" type="noConversion"/>
  </si>
  <si>
    <t>Intel 7th</t>
    <phoneticPr fontId="4" type="noConversion"/>
  </si>
  <si>
    <t>Intel 8th</t>
    <phoneticPr fontId="4" type="noConversion"/>
  </si>
  <si>
    <t>L4Cache</t>
    <phoneticPr fontId="4" type="noConversion"/>
  </si>
  <si>
    <t>S</t>
    <phoneticPr fontId="4" type="noConversion"/>
  </si>
  <si>
    <t>T</t>
    <phoneticPr fontId="4" type="noConversion"/>
  </si>
  <si>
    <t>R</t>
    <phoneticPr fontId="4" type="noConversion"/>
  </si>
  <si>
    <t>GPU내부</t>
    <phoneticPr fontId="4" type="noConversion"/>
  </si>
  <si>
    <t>GPU외부</t>
    <phoneticPr fontId="4" type="noConversion"/>
  </si>
  <si>
    <t>중간결과물</t>
    <phoneticPr fontId="4" type="noConversion"/>
  </si>
  <si>
    <t>Thread</t>
    <phoneticPr fontId="4" type="noConversion"/>
  </si>
  <si>
    <t>O</t>
    <phoneticPr fontId="4" type="noConversion"/>
  </si>
  <si>
    <t>HT</t>
    <phoneticPr fontId="4" type="noConversion"/>
  </si>
  <si>
    <t>Company</t>
    <phoneticPr fontId="4" type="noConversion"/>
  </si>
  <si>
    <t>AMD</t>
    <phoneticPr fontId="4" type="noConversion"/>
  </si>
  <si>
    <t>INTEL</t>
    <phoneticPr fontId="4" type="noConversion"/>
  </si>
  <si>
    <t>MClk</t>
    <phoneticPr fontId="4" type="noConversion"/>
  </si>
  <si>
    <t>Radeon HD 8670D</t>
    <phoneticPr fontId="4" type="noConversion"/>
  </si>
  <si>
    <t>PASCAL</t>
    <phoneticPr fontId="4" type="noConversion"/>
  </si>
  <si>
    <t>NVIDIA TITAN X</t>
    <phoneticPr fontId="4" type="noConversion"/>
  </si>
  <si>
    <t>GP102</t>
    <phoneticPr fontId="4" type="noConversion"/>
  </si>
  <si>
    <t>GDDR5X</t>
    <phoneticPr fontId="4" type="noConversion"/>
  </si>
  <si>
    <t>GeForce GTX 1080</t>
    <phoneticPr fontId="4" type="noConversion"/>
  </si>
  <si>
    <t>GeForce GTX 1070</t>
    <phoneticPr fontId="4" type="noConversion"/>
  </si>
  <si>
    <t>GP104</t>
    <phoneticPr fontId="4" type="noConversion"/>
  </si>
  <si>
    <t>GP106</t>
    <phoneticPr fontId="4" type="noConversion"/>
  </si>
  <si>
    <t>DDR3(G)</t>
    <phoneticPr fontId="4" type="noConversion"/>
  </si>
  <si>
    <t>Radeon Pro Duo</t>
    <phoneticPr fontId="4" type="noConversion"/>
  </si>
  <si>
    <t>GCN1.2</t>
    <phoneticPr fontId="4" type="noConversion"/>
  </si>
  <si>
    <t>Fiji</t>
    <phoneticPr fontId="4" type="noConversion"/>
  </si>
  <si>
    <t>Radeon RX 480</t>
    <phoneticPr fontId="4" type="noConversion"/>
  </si>
  <si>
    <t>Radeon RX 470</t>
    <phoneticPr fontId="4" type="noConversion"/>
  </si>
  <si>
    <t>Radeon RX 460</t>
    <phoneticPr fontId="4" type="noConversion"/>
  </si>
  <si>
    <t>Polaris</t>
    <phoneticPr fontId="4" type="noConversion"/>
  </si>
  <si>
    <t>Polaris 10</t>
    <phoneticPr fontId="4" type="noConversion"/>
  </si>
  <si>
    <t>Polaris 11</t>
    <phoneticPr fontId="4" type="noConversion"/>
  </si>
  <si>
    <t>최종결과물</t>
    <phoneticPr fontId="4" type="noConversion"/>
  </si>
  <si>
    <t>아키텍처</t>
  </si>
  <si>
    <t>GPU</t>
  </si>
  <si>
    <t>GClk</t>
  </si>
  <si>
    <t>OC</t>
  </si>
  <si>
    <t>i7 6700K</t>
  </si>
  <si>
    <t>INTEL</t>
  </si>
  <si>
    <t>0.35~1.15</t>
  </si>
  <si>
    <t>i7 6700</t>
  </si>
  <si>
    <t>i5 6600K</t>
  </si>
  <si>
    <t>i5 6600</t>
  </si>
  <si>
    <t>i5 6500</t>
  </si>
  <si>
    <t>0.35~1.05</t>
  </si>
  <si>
    <t>i3 6320</t>
  </si>
  <si>
    <t>-</t>
  </si>
  <si>
    <t>i3 6300</t>
  </si>
  <si>
    <t>i3 6100</t>
  </si>
  <si>
    <t>펜티엄 G4520</t>
  </si>
  <si>
    <t>펜티엄 G4500</t>
  </si>
  <si>
    <t>0.35~1.1</t>
  </si>
  <si>
    <t>i7 5960X</t>
  </si>
  <si>
    <t>i7 5820k</t>
  </si>
  <si>
    <t>i7 4790k</t>
  </si>
  <si>
    <t>0.35~1.25</t>
  </si>
  <si>
    <t>i7 4790</t>
  </si>
  <si>
    <t>0.35~1.2</t>
  </si>
  <si>
    <t>i7 4770</t>
  </si>
  <si>
    <t>i5 4690</t>
  </si>
  <si>
    <t>i5 4590</t>
  </si>
  <si>
    <t>i5 4460</t>
  </si>
  <si>
    <t>i3 4370</t>
  </si>
  <si>
    <t>i3 4170</t>
  </si>
  <si>
    <t>i3 4160</t>
  </si>
  <si>
    <t>i3 4150</t>
  </si>
  <si>
    <t>펜티엄 G3460</t>
  </si>
  <si>
    <t>펜티엄 G3450</t>
  </si>
  <si>
    <t>펜티엄 G3260</t>
  </si>
  <si>
    <t>펜티엄 G3258</t>
  </si>
  <si>
    <t>셀러론 G1850</t>
  </si>
  <si>
    <t>셀러론 G1840</t>
  </si>
  <si>
    <t>A10 7870K</t>
  </si>
  <si>
    <t>AMD</t>
  </si>
  <si>
    <t>A10 7850K</t>
  </si>
  <si>
    <t>A8 7650K</t>
  </si>
  <si>
    <t>A8 7600</t>
  </si>
  <si>
    <t>FX 8370E</t>
  </si>
  <si>
    <t>FX 8370</t>
  </si>
  <si>
    <t>FX 8320E</t>
  </si>
  <si>
    <t>FX 8300</t>
  </si>
  <si>
    <t>GeForce GTX 580</t>
    <phoneticPr fontId="4" type="noConversion"/>
  </si>
  <si>
    <t>GeForce GTX 590</t>
    <phoneticPr fontId="4" type="noConversion"/>
  </si>
  <si>
    <t>GeForce GTX 570</t>
    <phoneticPr fontId="4" type="noConversion"/>
  </si>
  <si>
    <t>GeForce GTX 560 Ti</t>
    <phoneticPr fontId="4" type="noConversion"/>
  </si>
  <si>
    <t>GeForce GTX 560</t>
    <phoneticPr fontId="4" type="noConversion"/>
  </si>
  <si>
    <t>GeForce GTX 560 SE</t>
    <phoneticPr fontId="4" type="noConversion"/>
  </si>
  <si>
    <t>GeForce GTX 470</t>
    <phoneticPr fontId="4" type="noConversion"/>
  </si>
  <si>
    <t>GeForce GTX 480</t>
    <phoneticPr fontId="4" type="noConversion"/>
  </si>
  <si>
    <t>GeForce GTX 465</t>
    <phoneticPr fontId="4" type="noConversion"/>
  </si>
  <si>
    <t>GeForce GTX 460</t>
    <phoneticPr fontId="4" type="noConversion"/>
  </si>
  <si>
    <t>GeForce GTX 460 SE</t>
    <phoneticPr fontId="4" type="noConversion"/>
  </si>
  <si>
    <t>GeForce GTS 450</t>
    <phoneticPr fontId="4" type="noConversion"/>
  </si>
  <si>
    <t>GeForce GT 440</t>
    <phoneticPr fontId="4" type="noConversion"/>
  </si>
  <si>
    <t>GeForce GT 430</t>
    <phoneticPr fontId="4" type="noConversion"/>
  </si>
  <si>
    <t>FERMI</t>
    <phoneticPr fontId="4" type="noConversion"/>
  </si>
  <si>
    <t>GF100</t>
    <phoneticPr fontId="4" type="noConversion"/>
  </si>
  <si>
    <t>GF104</t>
    <phoneticPr fontId="4" type="noConversion"/>
  </si>
  <si>
    <t>GF106</t>
    <phoneticPr fontId="4" type="noConversion"/>
  </si>
  <si>
    <t>GDDR5</t>
    <phoneticPr fontId="4" type="noConversion"/>
  </si>
  <si>
    <t>GF108</t>
    <phoneticPr fontId="4" type="noConversion"/>
  </si>
  <si>
    <t>DDR3(G)</t>
    <phoneticPr fontId="4" type="noConversion"/>
  </si>
  <si>
    <t>GF116</t>
    <phoneticPr fontId="4" type="noConversion"/>
  </si>
  <si>
    <t>GF114</t>
    <phoneticPr fontId="4" type="noConversion"/>
  </si>
  <si>
    <t>GF110</t>
    <phoneticPr fontId="4" type="noConversion"/>
  </si>
  <si>
    <t>O</t>
    <phoneticPr fontId="4" type="noConversion"/>
  </si>
  <si>
    <t>Radeon HD 5970</t>
    <phoneticPr fontId="4" type="noConversion"/>
  </si>
  <si>
    <t>Radeon HD 5870</t>
    <phoneticPr fontId="4" type="noConversion"/>
  </si>
  <si>
    <t>Radeon HD 5850</t>
    <phoneticPr fontId="4" type="noConversion"/>
  </si>
  <si>
    <t>Radeon HD 5830</t>
    <phoneticPr fontId="4" type="noConversion"/>
  </si>
  <si>
    <t>Radeon HD 5770</t>
    <phoneticPr fontId="4" type="noConversion"/>
  </si>
  <si>
    <t>Radeon HD 5750</t>
    <phoneticPr fontId="4" type="noConversion"/>
  </si>
  <si>
    <t>Radeon HD 5670</t>
    <phoneticPr fontId="4" type="noConversion"/>
  </si>
  <si>
    <t>Radeon HD 5570</t>
    <phoneticPr fontId="4" type="noConversion"/>
  </si>
  <si>
    <t>Radeon HD 5550</t>
    <phoneticPr fontId="4" type="noConversion"/>
  </si>
  <si>
    <t>Radeon HD 5450</t>
    <phoneticPr fontId="4" type="noConversion"/>
  </si>
  <si>
    <t>Hemlock</t>
    <phoneticPr fontId="4" type="noConversion"/>
  </si>
  <si>
    <t>Cypress</t>
    <phoneticPr fontId="4" type="noConversion"/>
  </si>
  <si>
    <t>Juniper</t>
    <phoneticPr fontId="4" type="noConversion"/>
  </si>
  <si>
    <t>Redwood</t>
    <phoneticPr fontId="4" type="noConversion"/>
  </si>
  <si>
    <t>Cedar</t>
    <phoneticPr fontId="4" type="noConversion"/>
  </si>
  <si>
    <t>Iris Pro 580</t>
    <phoneticPr fontId="4" type="noConversion"/>
  </si>
  <si>
    <t>Intel 9th</t>
    <phoneticPr fontId="4" type="noConversion"/>
  </si>
  <si>
    <t>Iris Pro 5200</t>
    <phoneticPr fontId="4" type="noConversion"/>
  </si>
  <si>
    <t>Intel 7th</t>
    <phoneticPr fontId="4" type="noConversion"/>
  </si>
  <si>
    <t>Company</t>
    <phoneticPr fontId="4" type="noConversion"/>
  </si>
  <si>
    <t>NVIDIA</t>
    <phoneticPr fontId="4" type="noConversion"/>
  </si>
  <si>
    <t>AMD</t>
    <phoneticPr fontId="4" type="noConversion"/>
  </si>
  <si>
    <t>INTEL</t>
    <phoneticPr fontId="4" type="noConversion"/>
  </si>
  <si>
    <t>품목</t>
    <phoneticPr fontId="4" type="noConversion"/>
  </si>
  <si>
    <t>CPU</t>
    <phoneticPr fontId="4" type="noConversion"/>
  </si>
  <si>
    <t>메인보드</t>
    <phoneticPr fontId="4" type="noConversion"/>
  </si>
  <si>
    <t>RAM</t>
    <phoneticPr fontId="4" type="noConversion"/>
  </si>
  <si>
    <t>그래픽카드</t>
    <phoneticPr fontId="4" type="noConversion"/>
  </si>
  <si>
    <t>ODD</t>
    <phoneticPr fontId="4" type="noConversion"/>
  </si>
  <si>
    <t>SSD</t>
    <phoneticPr fontId="4" type="noConversion"/>
  </si>
  <si>
    <t>파워</t>
    <phoneticPr fontId="4" type="noConversion"/>
  </si>
  <si>
    <t>케이스</t>
    <phoneticPr fontId="4" type="noConversion"/>
  </si>
  <si>
    <t>CPU쿨러</t>
    <phoneticPr fontId="4" type="noConversion"/>
  </si>
  <si>
    <t>본체 가격</t>
    <phoneticPr fontId="4" type="noConversion"/>
  </si>
  <si>
    <t>모니터</t>
    <phoneticPr fontId="4" type="noConversion"/>
  </si>
  <si>
    <t>키보드</t>
    <phoneticPr fontId="4" type="noConversion"/>
  </si>
  <si>
    <t>마우스</t>
    <phoneticPr fontId="4" type="noConversion"/>
  </si>
  <si>
    <t>헤드셋</t>
    <phoneticPr fontId="4" type="noConversion"/>
  </si>
  <si>
    <t>총 가격</t>
    <phoneticPr fontId="4" type="noConversion"/>
  </si>
  <si>
    <t>단가</t>
    <phoneticPr fontId="4" type="noConversion"/>
  </si>
  <si>
    <t>수량</t>
    <phoneticPr fontId="4" type="noConversion"/>
  </si>
  <si>
    <t>가격</t>
    <phoneticPr fontId="4" type="noConversion"/>
  </si>
  <si>
    <t>중상</t>
    <phoneticPr fontId="4" type="noConversion"/>
  </si>
  <si>
    <t>풀옵</t>
    <phoneticPr fontId="4" type="noConversion"/>
  </si>
  <si>
    <t>메모리</t>
    <phoneticPr fontId="4" type="noConversion"/>
  </si>
  <si>
    <t>HDD</t>
    <phoneticPr fontId="4" type="noConversion"/>
  </si>
  <si>
    <t>파워서플라이</t>
    <phoneticPr fontId="4" type="noConversion"/>
  </si>
  <si>
    <t>기타</t>
    <phoneticPr fontId="4" type="noConversion"/>
  </si>
  <si>
    <t>ADMIN PANEL</t>
    <phoneticPr fontId="4" type="noConversion"/>
  </si>
  <si>
    <t>FLAG PANEL</t>
    <phoneticPr fontId="4" type="noConversion"/>
  </si>
  <si>
    <t>PRODUCT PANEL</t>
    <phoneticPr fontId="4" type="noConversion"/>
  </si>
  <si>
    <t>-</t>
    <phoneticPr fontId="4" type="noConversion"/>
  </si>
  <si>
    <t>-</t>
    <phoneticPr fontId="4" type="noConversion"/>
  </si>
  <si>
    <t>-</t>
    <phoneticPr fontId="4" type="noConversion"/>
  </si>
  <si>
    <t>-</t>
    <phoneticPr fontId="4" type="noConversion"/>
  </si>
  <si>
    <t>&lt;600~699W&gt;</t>
  </si>
  <si>
    <t>Antec VPF 650 80PLUS 브론즈</t>
  </si>
  <si>
    <t>Antec EDGE650 GOLD LED 풀모듈러</t>
  </si>
  <si>
    <t>FSP HYPER 600W</t>
  </si>
  <si>
    <t>FSP FSP600-50HPN 85+</t>
  </si>
  <si>
    <t>FSP AURUM PT-650M</t>
  </si>
  <si>
    <t>SuperFlower SF-600R14SE Silver Green FX</t>
  </si>
  <si>
    <t>SuperFlower SF-600P14XE Golden Green HX</t>
  </si>
  <si>
    <t xml:space="preserve">SuperFlower SF-650F14MG II LEADEX GOLD </t>
  </si>
  <si>
    <t>XFX TS 650W BRONZE</t>
  </si>
  <si>
    <t>XFX TS 650W GOLD</t>
  </si>
  <si>
    <t>XFX XTR 650W GOLD</t>
  </si>
  <si>
    <t>마이크로닉스 New Performance 600W 80Plus Bronze Change-up</t>
  </si>
  <si>
    <t>마이크로닉스 New Performance 600W 80Plus Bronze 프리볼트</t>
  </si>
  <si>
    <t>마이크로닉스 ASTRO GD 650W 80PLUS GOLD</t>
  </si>
  <si>
    <t>시소닉 S12II-620 80PLUS 브론즈</t>
  </si>
  <si>
    <t>시소닉 M12II-620 EVO 80PLUS 브론즈</t>
  </si>
  <si>
    <t>&lt;700~799W&gt;</t>
  </si>
  <si>
    <t>Antec TP-750C 80PLUS GOLD</t>
  </si>
  <si>
    <t>FSP HYPER 700W</t>
  </si>
  <si>
    <t>SuperFlower SF-750F14MG II LEADEX GOLD </t>
  </si>
  <si>
    <t>XFX TS 750W GOLD</t>
  </si>
  <si>
    <t>XFX XTR 750W GOLD</t>
  </si>
  <si>
    <t>마이크로닉스 New Performance 700W 80Plus Bronze Change-up</t>
  </si>
  <si>
    <t>마이크로닉스 New Performance 700W 80Plus Bronze 프리볼트</t>
  </si>
  <si>
    <t>마이크로닉스 ASTRO GD 750W 80PLUS GOLD</t>
  </si>
  <si>
    <t>시소닉 X-750 80PLUS GOLD (3세대)</t>
  </si>
  <si>
    <t>Antec HCG-850M LED 모듈러 80PLUS 브론즈</t>
  </si>
  <si>
    <t>FSP AURUM PRO AU-850PRO</t>
  </si>
  <si>
    <t>FSP AURUM PT850W</t>
  </si>
  <si>
    <t>XFX TS 850W BRONZE</t>
  </si>
  <si>
    <t>XFX PRO 850W GOLD</t>
  </si>
  <si>
    <t>마이크로닉스 Performance II HV 850W Bronze</t>
  </si>
  <si>
    <t>시소닉 X-850 80PLUS GOLD (3세대)</t>
  </si>
  <si>
    <t>&lt;1000W이상&gt;</t>
  </si>
  <si>
    <t>Antec HCP-1000 Platinum</t>
  </si>
  <si>
    <t>Antec HCP-1300 PLATINUM</t>
  </si>
  <si>
    <t>CORSAIR HX1000i 80PLUS PLATINUM</t>
  </si>
  <si>
    <t>CORSAIR HX1200i 80PLUS PLATINUM</t>
  </si>
  <si>
    <t>CORSAIR PROFESSIONAL SERIES AX1200i PLATINUM</t>
  </si>
  <si>
    <t xml:space="preserve">CORSAIR PROFESSIONAL SERIES AX1500i 80PLUS TITANIUM </t>
  </si>
  <si>
    <t>FSP AURUM PRO AU-1000PRO</t>
  </si>
  <si>
    <t>FSP AURUM PRO AU-1200PRO</t>
  </si>
  <si>
    <t>FSP AURUM PT1000W</t>
  </si>
  <si>
    <t>FSP AURUM PT1200W</t>
  </si>
  <si>
    <t>SuperFlower SF-1000F14MG LEADEX GOLD</t>
  </si>
  <si>
    <t xml:space="preserve">SuperFlower SF-1000F14MP LEADEX PLATINUM </t>
  </si>
  <si>
    <t xml:space="preserve">SuperFlower SF-1300F14MG LEADEX GOLD </t>
  </si>
  <si>
    <t>CD/DVD</t>
  </si>
  <si>
    <t>BlueRay</t>
  </si>
  <si>
    <t>LG</t>
  </si>
  <si>
    <t xml:space="preserve">삼성 </t>
  </si>
  <si>
    <t>점수</t>
    <phoneticPr fontId="4" type="noConversion"/>
  </si>
  <si>
    <t>Athlon X4 750K</t>
    <phoneticPr fontId="4" type="noConversion"/>
  </si>
  <si>
    <t>Athlon X4 740</t>
    <phoneticPr fontId="4" type="noConversion"/>
  </si>
  <si>
    <t>Athlon X2 340</t>
    <phoneticPr fontId="4" type="noConversion"/>
  </si>
  <si>
    <t>Athlon X4 750</t>
    <phoneticPr fontId="4" type="noConversion"/>
  </si>
  <si>
    <t>Athlon X2 370K</t>
    <phoneticPr fontId="4" type="noConversion"/>
  </si>
  <si>
    <t>Athlon X2 350</t>
    <phoneticPr fontId="4" type="noConversion"/>
  </si>
  <si>
    <t>Athlon X4 860K</t>
  </si>
  <si>
    <t>Athlon X4 860K</t>
    <phoneticPr fontId="4" type="noConversion"/>
  </si>
  <si>
    <t>Athlon X4 840</t>
    <phoneticPr fontId="4" type="noConversion"/>
  </si>
  <si>
    <t>Athlon X2 450</t>
    <phoneticPr fontId="4" type="noConversion"/>
  </si>
  <si>
    <t>A10-7890K</t>
    <phoneticPr fontId="4" type="noConversion"/>
  </si>
  <si>
    <t>Steamroller</t>
    <phoneticPr fontId="4" type="noConversion"/>
  </si>
  <si>
    <t>Godavari</t>
    <phoneticPr fontId="4" type="noConversion"/>
  </si>
  <si>
    <t>Athlon X4 850</t>
    <phoneticPr fontId="4" type="noConversion"/>
  </si>
  <si>
    <t>Athlon X4 870K</t>
    <phoneticPr fontId="4" type="noConversion"/>
  </si>
  <si>
    <t>Athlon X4 880K</t>
    <phoneticPr fontId="4" type="noConversion"/>
  </si>
  <si>
    <t>Excavator</t>
    <phoneticPr fontId="4" type="noConversion"/>
  </si>
  <si>
    <t>Carrizo</t>
    <phoneticPr fontId="4" type="noConversion"/>
  </si>
  <si>
    <t>Athlon X4 845</t>
  </si>
  <si>
    <t>Athlon X4 845</t>
    <phoneticPr fontId="4" type="noConversion"/>
  </si>
  <si>
    <t>A10-7860K</t>
    <phoneticPr fontId="4" type="noConversion"/>
  </si>
  <si>
    <t>A6-7470K</t>
    <phoneticPr fontId="4" type="noConversion"/>
  </si>
  <si>
    <t>Athlon X4 835</t>
    <phoneticPr fontId="4" type="noConversion"/>
  </si>
  <si>
    <t>AM1</t>
    <phoneticPr fontId="4" type="noConversion"/>
  </si>
  <si>
    <t>Athlon 5370</t>
    <phoneticPr fontId="4" type="noConversion"/>
  </si>
  <si>
    <t>Athlon 5350</t>
  </si>
  <si>
    <t>Athlon 5350</t>
    <phoneticPr fontId="4" type="noConversion"/>
  </si>
  <si>
    <t>Athlon 5150</t>
  </si>
  <si>
    <t>Athlon 5150</t>
    <phoneticPr fontId="4" type="noConversion"/>
  </si>
  <si>
    <t>Sempron 2650</t>
    <phoneticPr fontId="4" type="noConversion"/>
  </si>
  <si>
    <t>Jaguar</t>
    <phoneticPr fontId="4" type="noConversion"/>
  </si>
  <si>
    <t>Kabini</t>
    <phoneticPr fontId="4" type="noConversion"/>
  </si>
  <si>
    <t>Radeon R3(HD 8240)</t>
    <phoneticPr fontId="4" type="noConversion"/>
  </si>
  <si>
    <t>Radeon R3(HD 8280)</t>
    <phoneticPr fontId="4" type="noConversion"/>
  </si>
  <si>
    <t>Radeon R3(HD 8400)</t>
  </si>
  <si>
    <t>Radeon R3(HD 8400)</t>
    <phoneticPr fontId="4" type="noConversion"/>
  </si>
  <si>
    <t>Graphics</t>
    <phoneticPr fontId="4" type="noConversion"/>
  </si>
  <si>
    <t>External GPU</t>
    <phoneticPr fontId="4" type="noConversion"/>
  </si>
  <si>
    <t>Integrated GPUP</t>
    <phoneticPr fontId="4" type="noConversion"/>
  </si>
  <si>
    <t>Model</t>
    <phoneticPr fontId="4" type="noConversion"/>
  </si>
  <si>
    <t>MClk</t>
    <phoneticPr fontId="4" type="noConversion"/>
  </si>
  <si>
    <t>소켓</t>
    <phoneticPr fontId="4" type="noConversion"/>
  </si>
  <si>
    <t>DDR</t>
    <phoneticPr fontId="4" type="noConversion"/>
  </si>
  <si>
    <t>개수</t>
    <phoneticPr fontId="4" type="noConversion"/>
  </si>
  <si>
    <t>그래픽길이</t>
    <phoneticPr fontId="4" type="noConversion"/>
  </si>
  <si>
    <t>쿨러높이</t>
    <phoneticPr fontId="4" type="noConversion"/>
  </si>
  <si>
    <t>SATA PSU갯수</t>
    <phoneticPr fontId="4" type="noConversion"/>
  </si>
  <si>
    <t>SATA 포트 개수</t>
    <phoneticPr fontId="4" type="noConversion"/>
  </si>
  <si>
    <t>Watt소모</t>
    <phoneticPr fontId="4" type="noConversion"/>
  </si>
  <si>
    <t>&lt;</t>
    <phoneticPr fontId="4" type="noConversion"/>
  </si>
  <si>
    <t>=</t>
    <phoneticPr fontId="4" type="noConversion"/>
  </si>
  <si>
    <t>=&gt;</t>
    <phoneticPr fontId="4" type="noConversion"/>
  </si>
  <si>
    <t>Watt량</t>
    <phoneticPr fontId="4" type="noConversion"/>
  </si>
  <si>
    <t>여유분</t>
    <phoneticPr fontId="4" type="noConversion"/>
  </si>
  <si>
    <t>Watt총량 =&gt;</t>
    <phoneticPr fontId="4" type="noConversion"/>
  </si>
  <si>
    <t>목록</t>
    <phoneticPr fontId="4" type="noConversion"/>
  </si>
  <si>
    <t>Core</t>
    <phoneticPr fontId="4" type="noConversion"/>
  </si>
  <si>
    <t>오버워치</t>
  </si>
  <si>
    <t>오버워치</t>
    <phoneticPr fontId="4" type="noConversion"/>
  </si>
  <si>
    <t>리그 오브 레전드</t>
  </si>
  <si>
    <t>리그 오브 레전드</t>
    <phoneticPr fontId="4" type="noConversion"/>
  </si>
  <si>
    <t>피파온라인3</t>
  </si>
  <si>
    <t>피파온라인3</t>
    <phoneticPr fontId="4" type="noConversion"/>
  </si>
  <si>
    <t>스타크래프트2</t>
  </si>
  <si>
    <t>스타크래프트2</t>
    <phoneticPr fontId="4" type="noConversion"/>
  </si>
  <si>
    <t>디아블로3</t>
  </si>
  <si>
    <t>디아블로3</t>
    <phoneticPr fontId="4" type="noConversion"/>
  </si>
  <si>
    <t>블레이드 &amp; 소울</t>
  </si>
  <si>
    <t>블레이드 &amp; 소울</t>
    <phoneticPr fontId="4" type="noConversion"/>
  </si>
  <si>
    <t>아이온</t>
  </si>
  <si>
    <t>아이온</t>
    <phoneticPr fontId="4" type="noConversion"/>
  </si>
  <si>
    <t>온라인 게임</t>
    <phoneticPr fontId="4" type="noConversion"/>
  </si>
  <si>
    <t>패키지 게임</t>
    <phoneticPr fontId="4" type="noConversion"/>
  </si>
  <si>
    <t>FPS</t>
    <phoneticPr fontId="4" type="noConversion"/>
  </si>
  <si>
    <t>검은사막</t>
  </si>
  <si>
    <t>검은사막</t>
    <phoneticPr fontId="4" type="noConversion"/>
  </si>
  <si>
    <t>사이퍼즈</t>
  </si>
  <si>
    <t>테라</t>
  </si>
  <si>
    <t>테라</t>
    <phoneticPr fontId="4" type="noConversion"/>
  </si>
  <si>
    <t>그래픽 좋은 RPG</t>
    <phoneticPr fontId="4" type="noConversion"/>
  </si>
  <si>
    <t>파이널판타지14</t>
  </si>
  <si>
    <t>파이널판타지14</t>
    <phoneticPr fontId="4" type="noConversion"/>
  </si>
  <si>
    <t>마비노기영웅전</t>
  </si>
  <si>
    <t>마비노기영웅전</t>
    <phoneticPr fontId="4" type="noConversion"/>
  </si>
  <si>
    <t>사이퍼즈</t>
    <phoneticPr fontId="4" type="noConversion"/>
  </si>
  <si>
    <t>AOS</t>
    <phoneticPr fontId="4" type="noConversion"/>
  </si>
  <si>
    <t>중</t>
    <phoneticPr fontId="4" type="noConversion"/>
  </si>
  <si>
    <t>B I N I  M A R K
1920x1080(FHD) 기준</t>
    <phoneticPr fontId="4" type="noConversion"/>
  </si>
  <si>
    <t>CPU</t>
  </si>
  <si>
    <t>CPU</t>
    <phoneticPr fontId="4" type="noConversion"/>
  </si>
  <si>
    <t>VGA</t>
    <phoneticPr fontId="4" type="noConversion"/>
  </si>
  <si>
    <t>배율 테이블</t>
    <phoneticPr fontId="4" type="noConversion"/>
  </si>
  <si>
    <t>CPU(BillDVANCE)</t>
    <phoneticPr fontId="4" type="noConversion"/>
  </si>
  <si>
    <t>VGA(BillDVANCE)</t>
    <phoneticPr fontId="4" type="noConversion"/>
  </si>
  <si>
    <t>=&gt;</t>
    <phoneticPr fontId="4" type="noConversion"/>
  </si>
  <si>
    <t>정규화</t>
    <phoneticPr fontId="4" type="noConversion"/>
  </si>
  <si>
    <t>VGA 개수</t>
    <phoneticPr fontId="4" type="noConversion"/>
  </si>
  <si>
    <t>엘더스크롤:스카이림</t>
  </si>
  <si>
    <t>엘더스크롤:스카이림</t>
    <phoneticPr fontId="4" type="noConversion"/>
  </si>
  <si>
    <t>토탈워 : 아틸라</t>
    <phoneticPr fontId="4" type="noConversion"/>
  </si>
  <si>
    <t>폴아웃4</t>
  </si>
  <si>
    <t>폴아웃4</t>
    <phoneticPr fontId="4" type="noConversion"/>
  </si>
  <si>
    <t>COD 블랙옵스3</t>
  </si>
  <si>
    <t>COD 블랙옵스3</t>
    <phoneticPr fontId="4" type="noConversion"/>
  </si>
  <si>
    <t>파크라이4:프라이멀</t>
  </si>
  <si>
    <t>파크라이4:프라이멀</t>
    <phoneticPr fontId="4" type="noConversion"/>
  </si>
  <si>
    <t>COD 어드밴스드 워페어</t>
  </si>
  <si>
    <t>COD 어드밴스드 워페어</t>
    <phoneticPr fontId="4" type="noConversion"/>
  </si>
  <si>
    <t>GTA5</t>
  </si>
  <si>
    <t>GTA5</t>
    <phoneticPr fontId="4" type="noConversion"/>
  </si>
  <si>
    <t>더 디비전</t>
  </si>
  <si>
    <t>더 디비전</t>
    <phoneticPr fontId="4" type="noConversion"/>
  </si>
  <si>
    <t>컴퍼니 오브 히어로즈 2</t>
  </si>
  <si>
    <t>컴퍼니 오브 히어로즈 2</t>
    <phoneticPr fontId="4" type="noConversion"/>
  </si>
  <si>
    <t>문명5:비욘드 어스</t>
  </si>
  <si>
    <t>문명5:비욘드 어스</t>
    <phoneticPr fontId="4" type="noConversion"/>
  </si>
  <si>
    <t>어쌔신크리드:신디케이트</t>
  </si>
  <si>
    <t>어쌔신크리드:신디케이트</t>
    <phoneticPr fontId="4" type="noConversion"/>
  </si>
  <si>
    <t>아키에이지</t>
  </si>
  <si>
    <t>아키에이지</t>
    <phoneticPr fontId="4" type="noConversion"/>
  </si>
  <si>
    <t>트리오브세이비어</t>
  </si>
  <si>
    <t>트리오브세이비어</t>
    <phoneticPr fontId="4" type="noConversion"/>
  </si>
  <si>
    <t>히어로즈 오브 더 스톰스톰…</t>
    <phoneticPr fontId="4" type="noConversion"/>
  </si>
  <si>
    <t>더 위처3</t>
  </si>
  <si>
    <t>더 위처3</t>
    <phoneticPr fontId="4" type="noConversion"/>
  </si>
  <si>
    <t>2C</t>
    <phoneticPr fontId="4" type="noConversion"/>
  </si>
  <si>
    <t>4C</t>
    <phoneticPr fontId="4" type="noConversion"/>
  </si>
  <si>
    <t>8C</t>
    <phoneticPr fontId="4" type="noConversion"/>
  </si>
  <si>
    <t>메모리 클럭</t>
    <phoneticPr fontId="4" type="noConversion"/>
  </si>
  <si>
    <t>*</t>
    <phoneticPr fontId="4" type="noConversion"/>
  </si>
  <si>
    <t>계산시 Boost Clock 기준으로 잡음</t>
    <phoneticPr fontId="4" type="noConversion"/>
  </si>
  <si>
    <t>견적 저장</t>
    <phoneticPr fontId="4" type="noConversion"/>
  </si>
  <si>
    <t>메인보드</t>
  </si>
  <si>
    <t>RAM</t>
  </si>
  <si>
    <t>그래픽카드</t>
  </si>
  <si>
    <t>ODD</t>
  </si>
  <si>
    <t>SSD</t>
  </si>
  <si>
    <t>파워</t>
  </si>
  <si>
    <t>케이스</t>
  </si>
  <si>
    <t>CPU쿨러</t>
  </si>
  <si>
    <t>본체 가격</t>
  </si>
  <si>
    <t>모니터</t>
  </si>
  <si>
    <t>키보드</t>
  </si>
  <si>
    <t>마우스</t>
  </si>
  <si>
    <t>헤드셋</t>
  </si>
  <si>
    <t>총 가격</t>
  </si>
  <si>
    <r>
      <rPr>
        <sz val="10"/>
        <color theme="3" tint="0.59999389629810485"/>
        <rFont val="맑은 고딕"/>
        <family val="3"/>
        <charset val="129"/>
        <scheme val="minor"/>
      </rPr>
      <t xml:space="preserve">히어로즈 </t>
    </r>
    <r>
      <rPr>
        <sz val="10"/>
        <color theme="0"/>
        <rFont val="맑은 고딕"/>
        <family val="3"/>
        <charset val="129"/>
        <scheme val="minor"/>
      </rPr>
      <t xml:space="preserve">오브 </t>
    </r>
    <r>
      <rPr>
        <sz val="10"/>
        <color theme="3" tint="0.59999389629810485"/>
        <rFont val="맑은 고딕"/>
        <family val="3"/>
        <charset val="129"/>
        <scheme val="minor"/>
      </rPr>
      <t>더</t>
    </r>
    <r>
      <rPr>
        <sz val="10"/>
        <color theme="0"/>
        <rFont val="맑은 고딕"/>
        <family val="3"/>
        <charset val="129"/>
        <scheme val="minor"/>
      </rPr>
      <t xml:space="preserve"> 스</t>
    </r>
    <r>
      <rPr>
        <sz val="10"/>
        <color theme="3" tint="0.59999389629810485"/>
        <rFont val="맑은 고딕"/>
        <family val="3"/>
        <charset val="129"/>
        <scheme val="minor"/>
      </rPr>
      <t>톰</t>
    </r>
    <r>
      <rPr>
        <sz val="10"/>
        <color theme="0"/>
        <rFont val="맑은 고딕"/>
        <family val="3"/>
        <charset val="129"/>
        <scheme val="minor"/>
      </rPr>
      <t>스</t>
    </r>
    <r>
      <rPr>
        <sz val="10"/>
        <color theme="3" tint="0.59999389629810485"/>
        <rFont val="맑은 고딕"/>
        <family val="3"/>
        <charset val="129"/>
        <scheme val="minor"/>
      </rPr>
      <t>톰</t>
    </r>
    <r>
      <rPr>
        <sz val="10"/>
        <color theme="0"/>
        <rFont val="맑은 고딕"/>
        <family val="3"/>
        <charset val="129"/>
        <scheme val="minor"/>
      </rPr>
      <t>…</t>
    </r>
    <phoneticPr fontId="4" type="noConversion"/>
  </si>
  <si>
    <t>하프라이프3</t>
    <phoneticPr fontId="4" type="noConversion"/>
  </si>
  <si>
    <t>포탈3</t>
    <phoneticPr fontId="4" type="noConversion"/>
  </si>
  <si>
    <t>팀포트리스3</t>
    <phoneticPr fontId="4" type="noConversion"/>
  </si>
  <si>
    <t>클럭</t>
  </si>
  <si>
    <t>램타이밍</t>
  </si>
  <si>
    <t>세트</t>
  </si>
  <si>
    <t>-</t>
    <phoneticPr fontId="4" type="noConversion"/>
  </si>
  <si>
    <t>최상</t>
    <phoneticPr fontId="4" type="noConversion"/>
  </si>
  <si>
    <t>애슬론APU 5150</t>
    <phoneticPr fontId="4" type="noConversion"/>
  </si>
  <si>
    <t>애슬론APU 5350</t>
    <phoneticPr fontId="4" type="noConversion"/>
  </si>
  <si>
    <t>AMD</t>
    <phoneticPr fontId="4" type="noConversion"/>
  </si>
  <si>
    <t>AM1</t>
    <phoneticPr fontId="4" type="noConversion"/>
  </si>
  <si>
    <t>스카이레이크</t>
    <phoneticPr fontId="4" type="noConversion"/>
  </si>
  <si>
    <t>하스웰-E</t>
    <phoneticPr fontId="4" type="noConversion"/>
  </si>
  <si>
    <t>하스웰</t>
    <phoneticPr fontId="4" type="noConversion"/>
  </si>
  <si>
    <t>카베리</t>
    <phoneticPr fontId="4" type="noConversion"/>
  </si>
  <si>
    <t>카비니</t>
    <phoneticPr fontId="4" type="noConversion"/>
  </si>
  <si>
    <t>비셰라</t>
    <phoneticPr fontId="4" type="noConversion"/>
  </si>
  <si>
    <t>For Calculation</t>
    <phoneticPr fontId="4" type="noConversion"/>
  </si>
  <si>
    <t>코어</t>
    <phoneticPr fontId="4" type="noConversion"/>
  </si>
  <si>
    <t>쓰레드</t>
    <phoneticPr fontId="4" type="noConversion"/>
  </si>
  <si>
    <t>클럭</t>
    <phoneticPr fontId="4" type="noConversion"/>
  </si>
  <si>
    <t>부스트</t>
    <phoneticPr fontId="4" type="noConversion"/>
  </si>
  <si>
    <t>L3캐시</t>
    <phoneticPr fontId="4" type="noConversion"/>
  </si>
  <si>
    <t>Max Mem Support</t>
    <phoneticPr fontId="4" type="noConversion"/>
  </si>
  <si>
    <t>Model Name</t>
    <phoneticPr fontId="4" type="noConversion"/>
  </si>
  <si>
    <t>Athlon 5350</t>
    <phoneticPr fontId="4" type="noConversion"/>
  </si>
  <si>
    <t>Athlon 5150</t>
    <phoneticPr fontId="4" type="noConversion"/>
  </si>
  <si>
    <t>애슬론 X4 860K</t>
    <phoneticPr fontId="4" type="noConversion"/>
  </si>
  <si>
    <t>애슬론 X4 845</t>
    <phoneticPr fontId="4" type="noConversion"/>
  </si>
  <si>
    <t>FM2+</t>
    <phoneticPr fontId="4" type="noConversion"/>
  </si>
  <si>
    <t>카리조</t>
    <phoneticPr fontId="4" type="noConversion"/>
  </si>
  <si>
    <t>Athlon X4 845</t>
    <phoneticPr fontId="4" type="noConversion"/>
  </si>
  <si>
    <t>Athlon X4 860K</t>
    <phoneticPr fontId="4" type="noConversion"/>
  </si>
  <si>
    <t>A10 7870K</t>
    <phoneticPr fontId="4" type="noConversion"/>
  </si>
  <si>
    <t>A10 7890K</t>
  </si>
  <si>
    <t>A10 7890K</t>
    <phoneticPr fontId="4" type="noConversion"/>
  </si>
  <si>
    <t>고다바리</t>
    <phoneticPr fontId="4" type="noConversion"/>
  </si>
  <si>
    <t>A10 7850K</t>
    <phoneticPr fontId="4" type="noConversion"/>
  </si>
  <si>
    <t>A8 7670K</t>
  </si>
  <si>
    <t>A8 7670K</t>
    <phoneticPr fontId="4" type="noConversion"/>
  </si>
  <si>
    <t>O</t>
    <phoneticPr fontId="4" type="noConversion"/>
  </si>
  <si>
    <t>A8 7650K</t>
    <phoneticPr fontId="4" type="noConversion"/>
  </si>
  <si>
    <t>A8 7600</t>
    <phoneticPr fontId="4" type="noConversion"/>
  </si>
  <si>
    <t>FX 8370E</t>
    <phoneticPr fontId="4" type="noConversion"/>
  </si>
  <si>
    <t>FX 8370</t>
    <phoneticPr fontId="4" type="noConversion"/>
  </si>
  <si>
    <t>FX 8320E</t>
    <phoneticPr fontId="4" type="noConversion"/>
  </si>
  <si>
    <t>FX 8300</t>
    <phoneticPr fontId="4" type="noConversion"/>
  </si>
  <si>
    <t>Pentium G3470</t>
  </si>
  <si>
    <t>Pentium G3470</t>
    <phoneticPr fontId="4" type="noConversion"/>
  </si>
  <si>
    <t>셀러론 G3920</t>
    <phoneticPr fontId="4" type="noConversion"/>
  </si>
  <si>
    <t>셀러론 G3900</t>
    <phoneticPr fontId="4" type="noConversion"/>
  </si>
  <si>
    <t>0.35~0.95</t>
    <phoneticPr fontId="4" type="noConversion"/>
  </si>
  <si>
    <t>Pentium G4520</t>
    <phoneticPr fontId="4" type="noConversion"/>
  </si>
  <si>
    <t>Pentium G4500</t>
    <phoneticPr fontId="4" type="noConversion"/>
  </si>
  <si>
    <t>Celeron G3920</t>
    <phoneticPr fontId="4" type="noConversion"/>
  </si>
  <si>
    <t>Celeron G3900</t>
    <phoneticPr fontId="4" type="noConversion"/>
  </si>
  <si>
    <t>Pentium G3460</t>
    <phoneticPr fontId="4" type="noConversion"/>
  </si>
  <si>
    <t>Pentium G3450</t>
    <phoneticPr fontId="4" type="noConversion"/>
  </si>
  <si>
    <t>Pentium G3260</t>
    <phoneticPr fontId="4" type="noConversion"/>
  </si>
  <si>
    <t>Pentium G3258</t>
    <phoneticPr fontId="4" type="noConversion"/>
  </si>
  <si>
    <t>Celeron G1850</t>
    <phoneticPr fontId="4" type="noConversion"/>
  </si>
  <si>
    <t>Celeron G1840</t>
    <phoneticPr fontId="4" type="noConversion"/>
  </si>
  <si>
    <t>Core i3-4170</t>
    <phoneticPr fontId="4" type="noConversion"/>
  </si>
  <si>
    <t>NO GPU</t>
    <phoneticPr fontId="4" type="noConversion"/>
  </si>
  <si>
    <t>2코어</t>
    <phoneticPr fontId="4" type="noConversion"/>
  </si>
  <si>
    <t>결과</t>
    <phoneticPr fontId="4" type="noConversion"/>
  </si>
  <si>
    <t>4코어</t>
    <phoneticPr fontId="4" type="noConversion"/>
  </si>
  <si>
    <t>8코어</t>
    <phoneticPr fontId="4" type="noConversion"/>
  </si>
  <si>
    <t>내장 그래픽</t>
    <phoneticPr fontId="4" type="noConversion"/>
  </si>
  <si>
    <t>최대 메모리 클럭</t>
    <phoneticPr fontId="4" type="noConversion"/>
  </si>
  <si>
    <t>모델명</t>
    <phoneticPr fontId="4" type="noConversion"/>
  </si>
  <si>
    <t>6pin</t>
    <phoneticPr fontId="4" type="noConversion"/>
  </si>
  <si>
    <t>8pin</t>
    <phoneticPr fontId="4" type="noConversion"/>
  </si>
  <si>
    <t>SLI</t>
    <phoneticPr fontId="4" type="noConversion"/>
  </si>
  <si>
    <t>CF</t>
    <phoneticPr fontId="4" type="noConversion"/>
  </si>
  <si>
    <t>추가하지 않음</t>
    <phoneticPr fontId="4" type="noConversion"/>
  </si>
  <si>
    <t>-</t>
    <phoneticPr fontId="4" type="noConversion"/>
  </si>
  <si>
    <t>&lt;&lt; AMD &gt;&gt;</t>
    <phoneticPr fontId="4" type="noConversion"/>
  </si>
  <si>
    <t>&lt;&lt; 인텔 &gt;&gt;</t>
    <phoneticPr fontId="4" type="noConversion"/>
  </si>
  <si>
    <t>내장그래픽</t>
    <phoneticPr fontId="4" type="noConversion"/>
  </si>
  <si>
    <t>-</t>
    <phoneticPr fontId="4" type="noConversion"/>
  </si>
  <si>
    <t>기본 쿨러</t>
    <phoneticPr fontId="4" type="noConversion"/>
  </si>
  <si>
    <t>추가하지 않음</t>
    <phoneticPr fontId="4" type="noConversion"/>
  </si>
  <si>
    <t>제품</t>
    <phoneticPr fontId="4" type="noConversion"/>
  </si>
  <si>
    <t>추가하지 않음</t>
    <phoneticPr fontId="4" type="noConversion"/>
  </si>
  <si>
    <t>추가하지 않음</t>
    <phoneticPr fontId="4" type="noConversion"/>
  </si>
  <si>
    <t>-</t>
    <phoneticPr fontId="4" type="noConversion"/>
  </si>
  <si>
    <t>추가하지 않음</t>
    <phoneticPr fontId="4" type="noConversion"/>
  </si>
  <si>
    <t>추가하지 않음</t>
    <phoneticPr fontId="4" type="noConversion"/>
  </si>
  <si>
    <t>추가하지 않음</t>
    <phoneticPr fontId="4" type="noConversion"/>
  </si>
  <si>
    <t>Control Panel</t>
    <phoneticPr fontId="4" type="noConversion"/>
  </si>
  <si>
    <t>USB</t>
    <phoneticPr fontId="4" type="noConversion"/>
  </si>
  <si>
    <t>C</t>
    <phoneticPr fontId="4" type="noConversion"/>
  </si>
  <si>
    <t>SATA</t>
    <phoneticPr fontId="4" type="noConversion"/>
  </si>
  <si>
    <t>1(키보드)</t>
    <phoneticPr fontId="4" type="noConversion"/>
  </si>
  <si>
    <t>개당용량</t>
    <phoneticPr fontId="4" type="noConversion"/>
  </si>
  <si>
    <t>총 용량</t>
    <phoneticPr fontId="4" type="noConversion"/>
  </si>
  <si>
    <t>HDD</t>
    <phoneticPr fontId="4" type="noConversion"/>
  </si>
  <si>
    <t>ODD</t>
    <phoneticPr fontId="4" type="noConversion"/>
  </si>
  <si>
    <t>X</t>
    <phoneticPr fontId="4" type="noConversion"/>
  </si>
  <si>
    <t>오버클럭</t>
    <phoneticPr fontId="4" type="noConversion"/>
  </si>
  <si>
    <t>오버클럭 가능여부</t>
    <phoneticPr fontId="4" type="noConversion"/>
  </si>
  <si>
    <t>토탈워 : 아틸라</t>
  </si>
  <si>
    <t>최하</t>
    <phoneticPr fontId="4" type="noConversion"/>
  </si>
  <si>
    <t>풀옵</t>
    <phoneticPr fontId="4" type="noConversion"/>
  </si>
  <si>
    <t>하</t>
    <phoneticPr fontId="4" type="noConversion"/>
  </si>
  <si>
    <t>중하</t>
    <phoneticPr fontId="4" type="noConversion"/>
  </si>
  <si>
    <t>중</t>
    <phoneticPr fontId="4" type="noConversion"/>
  </si>
  <si>
    <t>중상</t>
    <phoneticPr fontId="4" type="noConversion"/>
  </si>
  <si>
    <t>상</t>
    <phoneticPr fontId="4" type="noConversion"/>
  </si>
  <si>
    <t>최상</t>
    <phoneticPr fontId="4" type="noConversion"/>
  </si>
  <si>
    <t>OC to</t>
    <phoneticPr fontId="4" type="noConversion"/>
  </si>
  <si>
    <t>OC_able</t>
    <phoneticPr fontId="4" type="noConversion"/>
  </si>
  <si>
    <t>기본 클럭</t>
    <phoneticPr fontId="4" type="noConversion"/>
  </si>
  <si>
    <t>=</t>
    <phoneticPr fontId="4" type="noConversion"/>
  </si>
  <si>
    <t>&gt;</t>
    <phoneticPr fontId="4" type="noConversion"/>
  </si>
  <si>
    <t>&lt;</t>
    <phoneticPr fontId="4" type="noConversion"/>
  </si>
  <si>
    <t>☆</t>
    <phoneticPr fontId="4" type="noConversion"/>
  </si>
  <si>
    <t>CF</t>
    <phoneticPr fontId="4" type="noConversion"/>
  </si>
  <si>
    <t>SLI</t>
    <phoneticPr fontId="4" type="noConversion"/>
  </si>
  <si>
    <t>CF/SLI 테이블</t>
    <phoneticPr fontId="4" type="noConversion"/>
  </si>
  <si>
    <t>CPU 최종 Score</t>
    <phoneticPr fontId="4" type="noConversion"/>
  </si>
  <si>
    <t>VGA 내장 Score</t>
    <phoneticPr fontId="4" type="noConversion"/>
  </si>
  <si>
    <t>VGA 외장 Score</t>
    <phoneticPr fontId="4" type="noConversion"/>
  </si>
  <si>
    <t>VGA 최종 Score</t>
    <phoneticPr fontId="4" type="noConversion"/>
  </si>
  <si>
    <t>=&gt;</t>
    <phoneticPr fontId="4" type="noConversion"/>
  </si>
  <si>
    <t xml:space="preserve">  2C</t>
    <phoneticPr fontId="4" type="noConversion"/>
  </si>
  <si>
    <t xml:space="preserve">  4C</t>
    <phoneticPr fontId="4" type="noConversion"/>
  </si>
  <si>
    <t xml:space="preserve">  8C</t>
    <phoneticPr fontId="4" type="noConversion"/>
  </si>
  <si>
    <t>Clk</t>
    <phoneticPr fontId="4" type="noConversion"/>
  </si>
  <si>
    <t>Buffering</t>
    <phoneticPr fontId="4" type="noConversion"/>
  </si>
  <si>
    <t>GT740</t>
    <phoneticPr fontId="4" type="noConversion"/>
  </si>
  <si>
    <t>GTX750</t>
    <phoneticPr fontId="4" type="noConversion"/>
  </si>
  <si>
    <t>GTX750Ti</t>
    <phoneticPr fontId="4" type="noConversion"/>
  </si>
  <si>
    <t>GTX950</t>
    <phoneticPr fontId="4" type="noConversion"/>
  </si>
  <si>
    <t>R7 360</t>
    <phoneticPr fontId="4" type="noConversion"/>
  </si>
  <si>
    <t>R7 370</t>
    <phoneticPr fontId="4" type="noConversion"/>
  </si>
  <si>
    <t>R9 370X</t>
    <phoneticPr fontId="4" type="noConversion"/>
  </si>
  <si>
    <t>GTX970</t>
    <phoneticPr fontId="4" type="noConversion"/>
  </si>
  <si>
    <t>GTX980Ti</t>
    <phoneticPr fontId="4" type="noConversion"/>
  </si>
  <si>
    <t>R9 FURY X</t>
    <phoneticPr fontId="4" type="noConversion"/>
  </si>
  <si>
    <t>&lt;= From 그래픽카드 List</t>
    <phoneticPr fontId="4" type="noConversion"/>
  </si>
  <si>
    <t>&lt;= From GPU DB(Reference)</t>
    <phoneticPr fontId="4" type="noConversion"/>
  </si>
  <si>
    <t>배율</t>
    <phoneticPr fontId="4" type="noConversion"/>
  </si>
  <si>
    <t>-</t>
    <phoneticPr fontId="4" type="noConversion"/>
  </si>
  <si>
    <t>Text Panel</t>
    <phoneticPr fontId="4" type="noConversion"/>
  </si>
  <si>
    <t>그래픽 없음</t>
    <phoneticPr fontId="4" type="noConversion"/>
  </si>
  <si>
    <t>내장그래픽</t>
    <phoneticPr fontId="4" type="noConversion"/>
  </si>
  <si>
    <t>-</t>
    <phoneticPr fontId="4" type="noConversion"/>
  </si>
  <si>
    <t>-</t>
    <phoneticPr fontId="4" type="noConversion"/>
  </si>
  <si>
    <t>최하</t>
    <phoneticPr fontId="4" type="noConversion"/>
  </si>
  <si>
    <t>하</t>
    <phoneticPr fontId="4" type="noConversion"/>
  </si>
  <si>
    <t>중하</t>
    <phoneticPr fontId="4" type="noConversion"/>
  </si>
  <si>
    <t>최하</t>
    <phoneticPr fontId="4" type="noConversion"/>
  </si>
  <si>
    <t>하</t>
    <phoneticPr fontId="4" type="noConversion"/>
  </si>
  <si>
    <t>중하</t>
    <phoneticPr fontId="4" type="noConversion"/>
  </si>
  <si>
    <t>중</t>
    <phoneticPr fontId="4" type="noConversion"/>
  </si>
  <si>
    <t>중상</t>
    <phoneticPr fontId="4" type="noConversion"/>
  </si>
  <si>
    <t>상</t>
    <phoneticPr fontId="4" type="noConversion"/>
  </si>
  <si>
    <t>4xMSAA ifdef</t>
    <phoneticPr fontId="4" type="noConversion"/>
  </si>
  <si>
    <t>NoAA ifdef</t>
    <phoneticPr fontId="4" type="noConversion"/>
  </si>
  <si>
    <t>하</t>
    <phoneticPr fontId="4" type="noConversion"/>
  </si>
  <si>
    <t>중</t>
    <phoneticPr fontId="4" type="noConversion"/>
  </si>
  <si>
    <t>상</t>
    <phoneticPr fontId="4" type="noConversion"/>
  </si>
  <si>
    <t>풀</t>
    <phoneticPr fontId="4" type="noConversion"/>
  </si>
  <si>
    <t>하</t>
    <phoneticPr fontId="4" type="noConversion"/>
  </si>
  <si>
    <t>중</t>
    <phoneticPr fontId="4" type="noConversion"/>
  </si>
  <si>
    <t>상</t>
    <phoneticPr fontId="4" type="noConversion"/>
  </si>
  <si>
    <t>풀</t>
    <phoneticPr fontId="4" type="noConversion"/>
  </si>
  <si>
    <t>Pentium G4400</t>
    <phoneticPr fontId="32" type="noConversion"/>
  </si>
  <si>
    <t>i5 6400</t>
    <phoneticPr fontId="32" type="noConversion"/>
  </si>
  <si>
    <t>i5 6400</t>
    <phoneticPr fontId="32" type="noConversion"/>
  </si>
  <si>
    <t>Iris Pro 580</t>
  </si>
  <si>
    <t>월드오브탱크</t>
    <phoneticPr fontId="4" type="noConversion"/>
  </si>
  <si>
    <t>월드오브워쉽</t>
    <phoneticPr fontId="4" type="noConversion"/>
  </si>
  <si>
    <t>CF</t>
    <phoneticPr fontId="4" type="noConversion"/>
  </si>
  <si>
    <t>회사</t>
    <phoneticPr fontId="4" type="noConversion"/>
  </si>
  <si>
    <t>NVIDIA</t>
    <phoneticPr fontId="4" type="noConversion"/>
  </si>
  <si>
    <t>AMD</t>
    <phoneticPr fontId="4" type="noConversion"/>
  </si>
  <si>
    <t>|</t>
    <phoneticPr fontId="4" type="noConversion"/>
  </si>
  <si>
    <t>|</t>
    <phoneticPr fontId="4" type="noConversion"/>
  </si>
  <si>
    <t>|</t>
    <phoneticPr fontId="4" type="noConversion"/>
  </si>
  <si>
    <t>|</t>
    <phoneticPr fontId="4" type="noConversion"/>
  </si>
  <si>
    <t>^</t>
    <phoneticPr fontId="4" type="noConversion"/>
  </si>
  <si>
    <t>6pin/8pin[계산에 미사용/확인용]</t>
    <phoneticPr fontId="4" type="noConversion"/>
  </si>
  <si>
    <t>8pin 150W, 6pin 75W</t>
    <phoneticPr fontId="4" type="noConversion"/>
  </si>
  <si>
    <t>*Mollex는 60W-&gt;SATA변환에만 적용</t>
    <phoneticPr fontId="4" type="noConversion"/>
  </si>
  <si>
    <t>USB</t>
    <phoneticPr fontId="4" type="noConversion"/>
  </si>
  <si>
    <t/>
  </si>
  <si>
    <t>&lt;=SUM</t>
    <phoneticPr fontId="4" type="noConversion"/>
  </si>
  <si>
    <t>[불가능]</t>
    <phoneticPr fontId="4" type="noConversion"/>
  </si>
  <si>
    <t>[위험]</t>
    <phoneticPr fontId="4" type="noConversion"/>
  </si>
  <si>
    <t>|</t>
    <phoneticPr fontId="4" type="noConversion"/>
  </si>
  <si>
    <t>RES</t>
    <phoneticPr fontId="4" type="noConversion"/>
  </si>
  <si>
    <t>m-ITX</t>
    <phoneticPr fontId="4" type="noConversion"/>
  </si>
  <si>
    <t>m-ATX</t>
    <phoneticPr fontId="4" type="noConversion"/>
  </si>
  <si>
    <t>ATX</t>
    <phoneticPr fontId="4" type="noConversion"/>
  </si>
  <si>
    <t>E-ATX</t>
    <phoneticPr fontId="4" type="noConversion"/>
  </si>
  <si>
    <t>내장그래픽</t>
  </si>
  <si>
    <t>추가하지 않음</t>
  </si>
  <si>
    <t>추가하지 않음</t>
    <phoneticPr fontId="4" type="noConversion"/>
  </si>
  <si>
    <t>추가하지 않음</t>
    <phoneticPr fontId="4" type="noConversion"/>
  </si>
  <si>
    <t>기본 쿨러</t>
  </si>
  <si>
    <t>랜덤문구</t>
    <phoneticPr fontId="4" type="noConversion"/>
  </si>
  <si>
    <t>GeForce GTX 1060 [6]</t>
    <phoneticPr fontId="4" type="noConversion"/>
  </si>
  <si>
    <t>GeForce GTX 1060 [3]</t>
    <phoneticPr fontId="4" type="noConversion"/>
  </si>
  <si>
    <t>GIGABYTE GA-H110M-H 듀러블에디션</t>
    <phoneticPr fontId="4" type="noConversion"/>
  </si>
  <si>
    <t>GIGABYTE GA-H110M-HD2 듀러블에디션</t>
    <phoneticPr fontId="4" type="noConversion"/>
  </si>
  <si>
    <t>m-ITX</t>
    <phoneticPr fontId="4" type="noConversion"/>
  </si>
  <si>
    <t>DDR4</t>
    <phoneticPr fontId="4" type="noConversion"/>
  </si>
  <si>
    <t>DDR3</t>
    <phoneticPr fontId="4" type="noConversion"/>
  </si>
  <si>
    <t>DDR4</t>
    <phoneticPr fontId="4" type="noConversion"/>
  </si>
  <si>
    <t>DDR4</t>
    <phoneticPr fontId="4" type="noConversion"/>
  </si>
  <si>
    <t>DDR3</t>
    <phoneticPr fontId="4" type="noConversion"/>
  </si>
  <si>
    <t>&lt; DDR4 &gt;</t>
    <phoneticPr fontId="4" type="noConversion"/>
  </si>
  <si>
    <t>&lt; DDR3 &gt;</t>
    <phoneticPr fontId="4" type="noConversion"/>
  </si>
  <si>
    <t>&lt;&lt; 일반규격 RAM &gt;&gt;</t>
    <phoneticPr fontId="4" type="noConversion"/>
  </si>
  <si>
    <t>ASUS H110M-A/M.2</t>
    <phoneticPr fontId="4" type="noConversion"/>
  </si>
  <si>
    <t>MSI H110M PRO-VD PLUS</t>
    <phoneticPr fontId="4" type="noConversion"/>
  </si>
  <si>
    <t>GIGABYTE GA-B150M-D2V 듀러블에디션</t>
    <phoneticPr fontId="4" type="noConversion"/>
  </si>
  <si>
    <t>GIGABYTE GA-B150M-HD3 듀러블에디션</t>
    <phoneticPr fontId="4" type="noConversion"/>
  </si>
  <si>
    <t xml:space="preserve">ASUS B150M-A/M.2 </t>
    <phoneticPr fontId="4" type="noConversion"/>
  </si>
  <si>
    <t>ASUS B150M PRO GAMING</t>
    <phoneticPr fontId="4" type="noConversion"/>
  </si>
  <si>
    <t>ASUS</t>
    <phoneticPr fontId="4" type="noConversion"/>
  </si>
  <si>
    <t>O</t>
    <phoneticPr fontId="4" type="noConversion"/>
  </si>
  <si>
    <t>ASRock B150M PRO4/HYPER</t>
    <phoneticPr fontId="4" type="noConversion"/>
  </si>
  <si>
    <t xml:space="preserve">ASRock B150M PRO4V </t>
    <phoneticPr fontId="4" type="noConversion"/>
  </si>
  <si>
    <t>ASRock H170 PERFORMANCE/HYPER</t>
    <phoneticPr fontId="4" type="noConversion"/>
  </si>
  <si>
    <t>ASUS H170I-PRO</t>
    <phoneticPr fontId="4" type="noConversion"/>
  </si>
  <si>
    <t>m-ITX</t>
    <phoneticPr fontId="4" type="noConversion"/>
  </si>
  <si>
    <t>GIGABYTE GA-H170M-DS3H 듀러블에디션</t>
    <phoneticPr fontId="4" type="noConversion"/>
  </si>
  <si>
    <t>m-ATX</t>
    <phoneticPr fontId="4" type="noConversion"/>
  </si>
  <si>
    <t>GIGABYTE GA-H170-Designare 듀러블에디션</t>
    <phoneticPr fontId="4" type="noConversion"/>
  </si>
  <si>
    <t>m-DP</t>
    <phoneticPr fontId="4" type="noConversion"/>
  </si>
  <si>
    <t>MSI H170A PC 메이트</t>
    <phoneticPr fontId="4" type="noConversion"/>
  </si>
  <si>
    <t>MSI Z170A SLI PLUS</t>
    <phoneticPr fontId="4" type="noConversion"/>
  </si>
  <si>
    <t>MSI Z170A 크레이트 게이밍 3X</t>
    <phoneticPr fontId="4" type="noConversion"/>
  </si>
  <si>
    <t>GIGABYTE GA-Z170X-UD3 Ultra 듀러블에디션</t>
    <phoneticPr fontId="4" type="noConversion"/>
  </si>
  <si>
    <t>GIGABYTE GA-Z170X-Ultra Gaming 게이밍에디션</t>
    <phoneticPr fontId="4" type="noConversion"/>
  </si>
  <si>
    <t>GIGABYTE GA-Z170X-Designare 듀러블에디션</t>
    <phoneticPr fontId="4" type="noConversion"/>
  </si>
  <si>
    <t>ASUS MAXIMUS VIII EXTREME/ASSEMBLY</t>
    <phoneticPr fontId="4" type="noConversion"/>
  </si>
  <si>
    <t>ASUS MAXIMUS VIII FORMULA</t>
    <phoneticPr fontId="4" type="noConversion"/>
  </si>
  <si>
    <t>ASUS Z170-WS</t>
    <phoneticPr fontId="4" type="noConversion"/>
  </si>
  <si>
    <t>ASUS MAXIMUS VIII HERO/ALPHA</t>
    <phoneticPr fontId="4" type="noConversion"/>
  </si>
  <si>
    <t>ASUS SABERTOOTH Z170 S</t>
    <phoneticPr fontId="4" type="noConversion"/>
  </si>
  <si>
    <t xml:space="preserve">ASRock Z170 Gaming K4 </t>
    <phoneticPr fontId="4" type="noConversion"/>
  </si>
  <si>
    <t>&lt;AM1&gt;</t>
    <phoneticPr fontId="4" type="noConversion"/>
  </si>
  <si>
    <t>-</t>
    <phoneticPr fontId="4" type="noConversion"/>
  </si>
  <si>
    <t>MSI</t>
    <phoneticPr fontId="4" type="noConversion"/>
  </si>
  <si>
    <t>AM1</t>
    <phoneticPr fontId="4" type="noConversion"/>
  </si>
  <si>
    <t>m-ITX</t>
    <phoneticPr fontId="4" type="noConversion"/>
  </si>
  <si>
    <t>MSI AM1I</t>
    <phoneticPr fontId="4" type="noConversion"/>
  </si>
  <si>
    <t>ASRock FM2A88M Pro3+</t>
    <phoneticPr fontId="4" type="noConversion"/>
  </si>
  <si>
    <t>ASRock FM2A88M-HD+R3.0</t>
    <phoneticPr fontId="4" type="noConversion"/>
  </si>
  <si>
    <t>GIGABYTE GA-F2A88XN-WIFI</t>
    <phoneticPr fontId="4" type="noConversion"/>
  </si>
  <si>
    <t>GIGABYTE GA-F2A88XM-D3H</t>
    <phoneticPr fontId="4" type="noConversion"/>
  </si>
  <si>
    <t>GIGABYTE GA-990FX-GAMING 게이밍에디션</t>
    <phoneticPr fontId="4" type="noConversion"/>
  </si>
  <si>
    <t>ASRock 970 PRO3 R2.0</t>
    <phoneticPr fontId="4" type="noConversion"/>
  </si>
  <si>
    <t>ASUS M5A97 LE R2.0</t>
    <phoneticPr fontId="4" type="noConversion"/>
  </si>
  <si>
    <t>ASUS M5A97 R2.0</t>
    <phoneticPr fontId="4" type="noConversion"/>
  </si>
  <si>
    <t>&lt;970&gt;</t>
    <phoneticPr fontId="4" type="noConversion"/>
  </si>
  <si>
    <t>ASRock 970A-G/3.1</t>
    <phoneticPr fontId="4" type="noConversion"/>
  </si>
  <si>
    <t>MSI 970A-G43</t>
    <phoneticPr fontId="4" type="noConversion"/>
  </si>
  <si>
    <t>GIGABYTE GA-970A DS3P 듀러블에디션</t>
    <phoneticPr fontId="4" type="noConversion"/>
  </si>
  <si>
    <t>GIGABYTE GA-970A-D3P 듀러블에디션</t>
    <phoneticPr fontId="4" type="noConversion"/>
  </si>
  <si>
    <t>MSI H81M-P33</t>
    <phoneticPr fontId="4" type="noConversion"/>
  </si>
  <si>
    <t>MSI H81M-E34</t>
    <phoneticPr fontId="4" type="noConversion"/>
  </si>
  <si>
    <t>ASUS H81M-P</t>
    <phoneticPr fontId="4" type="noConversion"/>
  </si>
  <si>
    <t>ASUS H81M-D PLUS</t>
    <phoneticPr fontId="4" type="noConversion"/>
  </si>
  <si>
    <t>ASUS H81I-PLUS</t>
    <phoneticPr fontId="4" type="noConversion"/>
  </si>
  <si>
    <t>ASRock H81M-VG4 R2.0</t>
    <phoneticPr fontId="4" type="noConversion"/>
  </si>
  <si>
    <t>ASRock H81M-DG4</t>
    <phoneticPr fontId="4" type="noConversion"/>
  </si>
  <si>
    <t>ASRock</t>
    <phoneticPr fontId="4" type="noConversion"/>
  </si>
  <si>
    <t>ASRock B85M PRO4</t>
    <phoneticPr fontId="4" type="noConversion"/>
  </si>
  <si>
    <t>ASRock B85M-HDS</t>
    <phoneticPr fontId="4" type="noConversion"/>
  </si>
  <si>
    <t>ASRock B85M-DGS</t>
    <phoneticPr fontId="4" type="noConversion"/>
  </si>
  <si>
    <t>ASUS B85M-G</t>
    <phoneticPr fontId="4" type="noConversion"/>
  </si>
  <si>
    <t>ASUS B85-PLUS</t>
    <phoneticPr fontId="4" type="noConversion"/>
  </si>
  <si>
    <t>MSI B85M-E45</t>
    <phoneticPr fontId="4" type="noConversion"/>
  </si>
  <si>
    <t>GIGABYTE GA-B85M-DS3H-A</t>
    <phoneticPr fontId="4" type="noConversion"/>
  </si>
  <si>
    <t xml:space="preserve">GIGABYTE GA-B85-HD3-A </t>
    <phoneticPr fontId="4" type="noConversion"/>
  </si>
  <si>
    <t>SLI</t>
    <phoneticPr fontId="4" type="noConversion"/>
  </si>
  <si>
    <t>8+6pin</t>
    <phoneticPr fontId="4" type="noConversion"/>
  </si>
  <si>
    <t>8pin</t>
    <phoneticPr fontId="4" type="noConversion"/>
  </si>
  <si>
    <t>2pin</t>
    <phoneticPr fontId="4" type="noConversion"/>
  </si>
  <si>
    <t>isGPUAmountOver</t>
    <phoneticPr fontId="4" type="noConversion"/>
  </si>
  <si>
    <t>MSI H97M-G43</t>
    <phoneticPr fontId="4" type="noConversion"/>
  </si>
  <si>
    <t>ASRock H97 Performance</t>
    <phoneticPr fontId="4" type="noConversion"/>
  </si>
  <si>
    <t>ASUS Z97-A</t>
    <phoneticPr fontId="4" type="noConversion"/>
  </si>
  <si>
    <t>GIGABYTE GA-Z97X-SOC Force OC에디션</t>
    <phoneticPr fontId="4" type="noConversion"/>
  </si>
  <si>
    <t>GIGABYTE GA-X99-Designare EX 듀러블에디션</t>
    <phoneticPr fontId="4" type="noConversion"/>
  </si>
  <si>
    <t>Gigabyte</t>
    <phoneticPr fontId="4" type="noConversion"/>
  </si>
  <si>
    <t>X99</t>
    <phoneticPr fontId="4" type="noConversion"/>
  </si>
  <si>
    <t>2011-V3</t>
    <phoneticPr fontId="4" type="noConversion"/>
  </si>
  <si>
    <t>E-ATX</t>
    <phoneticPr fontId="4" type="noConversion"/>
  </si>
  <si>
    <t>ATX</t>
    <phoneticPr fontId="4" type="noConversion"/>
  </si>
  <si>
    <t>DDR4</t>
    <phoneticPr fontId="4" type="noConversion"/>
  </si>
  <si>
    <t>GIGABYTE GA-X99-Ultra Gaming 게이밍에디션</t>
    <phoneticPr fontId="4" type="noConversion"/>
  </si>
  <si>
    <t>Gigabyte</t>
    <phoneticPr fontId="4" type="noConversion"/>
  </si>
  <si>
    <t>X99</t>
    <phoneticPr fontId="4" type="noConversion"/>
  </si>
  <si>
    <t>DDR4</t>
    <phoneticPr fontId="4" type="noConversion"/>
  </si>
  <si>
    <t>GIGABYTE GA-X99-Phoenix SLI 게이밍에디션</t>
    <phoneticPr fontId="4" type="noConversion"/>
  </si>
  <si>
    <t>GIGABYTE GA-F2A88XM-HD3P</t>
    <phoneticPr fontId="4" type="noConversion"/>
  </si>
  <si>
    <t>GIGABYTE GA-X99P-SLI 듀러블에디션 썬더볼트</t>
    <phoneticPr fontId="4" type="noConversion"/>
  </si>
  <si>
    <t>ATX</t>
    <phoneticPr fontId="4" type="noConversion"/>
  </si>
  <si>
    <t xml:space="preserve">MSI X99A SLI KRAIT EDITION </t>
    <phoneticPr fontId="4" type="noConversion"/>
  </si>
  <si>
    <t xml:space="preserve">MSI X99A GODLIKE 게이밍 카본 </t>
    <phoneticPr fontId="4" type="noConversion"/>
  </si>
  <si>
    <t xml:space="preserve">MSI X99A 게이밍 프로 카본 </t>
    <phoneticPr fontId="4" type="noConversion"/>
  </si>
  <si>
    <t>MSI X99A SLI PLUS/M6e M.2 256GB</t>
    <phoneticPr fontId="4" type="noConversion"/>
  </si>
  <si>
    <t>MSI X99A XPOWER 게이밍 티타늄</t>
    <phoneticPr fontId="4" type="noConversion"/>
  </si>
  <si>
    <t>MSI X99A 토마호크</t>
    <phoneticPr fontId="4" type="noConversion"/>
  </si>
  <si>
    <t>ATX</t>
    <phoneticPr fontId="4" type="noConversion"/>
  </si>
  <si>
    <t>ATX</t>
    <phoneticPr fontId="4" type="noConversion"/>
  </si>
  <si>
    <t>DDR4</t>
    <phoneticPr fontId="4" type="noConversion"/>
  </si>
  <si>
    <t>DDR4</t>
    <phoneticPr fontId="4" type="noConversion"/>
  </si>
  <si>
    <t>DDR4</t>
    <phoneticPr fontId="4" type="noConversion"/>
  </si>
  <si>
    <t>E-ATX</t>
    <phoneticPr fontId="4" type="noConversion"/>
  </si>
  <si>
    <t>DDR4</t>
    <phoneticPr fontId="4" type="noConversion"/>
  </si>
  <si>
    <t>ASUS</t>
    <phoneticPr fontId="4" type="noConversion"/>
  </si>
  <si>
    <t>x99</t>
    <phoneticPr fontId="4" type="noConversion"/>
  </si>
  <si>
    <t>ASUS X99-A II</t>
    <phoneticPr fontId="4" type="noConversion"/>
  </si>
  <si>
    <t>ASUS X99-DELUXE II</t>
    <phoneticPr fontId="4" type="noConversion"/>
  </si>
  <si>
    <t>ATX</t>
    <phoneticPr fontId="4" type="noConversion"/>
  </si>
  <si>
    <t>ASUS RAMPAGE V EDITION 10</t>
    <phoneticPr fontId="4" type="noConversion"/>
  </si>
  <si>
    <t>ASRock X99 Taichi</t>
    <phoneticPr fontId="4" type="noConversion"/>
  </si>
  <si>
    <t>ASRock X99 Gaming i7</t>
    <phoneticPr fontId="4" type="noConversion"/>
  </si>
  <si>
    <t>삼성전자</t>
    <phoneticPr fontId="4" type="noConversion"/>
  </si>
  <si>
    <t>삼성전자 DDR4 16G PC4-17000</t>
    <phoneticPr fontId="4" type="noConversion"/>
  </si>
  <si>
    <t>삼성전자 DDR4 4G PC4-17000</t>
    <phoneticPr fontId="4" type="noConversion"/>
  </si>
  <si>
    <t>ASUS H110T</t>
    <phoneticPr fontId="4" type="noConversion"/>
  </si>
  <si>
    <r>
      <t>DDR</t>
    </r>
    <r>
      <rPr>
        <sz val="9"/>
        <color theme="1"/>
        <rFont val="맑은 고딕"/>
        <family val="2"/>
        <scheme val="minor"/>
      </rPr>
      <t>4(</t>
    </r>
    <r>
      <rPr>
        <sz val="6"/>
        <color theme="1"/>
        <rFont val="맑은 고딕"/>
        <family val="2"/>
        <scheme val="minor"/>
      </rPr>
      <t>so</t>
    </r>
    <r>
      <rPr>
        <sz val="6"/>
        <color theme="1"/>
        <rFont val="맑은 고딕"/>
        <family val="3"/>
        <charset val="129"/>
        <scheme val="minor"/>
      </rPr>
      <t>)</t>
    </r>
    <phoneticPr fontId="4" type="noConversion"/>
  </si>
  <si>
    <r>
      <t>DDR</t>
    </r>
    <r>
      <rPr>
        <sz val="9"/>
        <color theme="1"/>
        <rFont val="맑은 고딕"/>
        <family val="2"/>
        <scheme val="minor"/>
      </rPr>
      <t>4</t>
    </r>
    <r>
      <rPr>
        <sz val="8"/>
        <color theme="1"/>
        <rFont val="맑은 고딕"/>
        <family val="3"/>
        <charset val="129"/>
        <scheme val="minor"/>
      </rPr>
      <t>(so)</t>
    </r>
    <phoneticPr fontId="4" type="noConversion"/>
  </si>
  <si>
    <r>
      <t>DDR3</t>
    </r>
    <r>
      <rPr>
        <sz val="6"/>
        <color theme="1"/>
        <rFont val="맑은 고딕"/>
        <family val="3"/>
        <charset val="129"/>
        <scheme val="minor"/>
      </rPr>
      <t>(so)</t>
    </r>
    <phoneticPr fontId="4" type="noConversion"/>
  </si>
  <si>
    <t>&lt;&lt; SO-dimm[m-ITX(일부)/노트북] RAM &gt;&gt;</t>
    <phoneticPr fontId="4" type="noConversion"/>
  </si>
  <si>
    <t>삼성전자 노트북 DDR4 8G PC4-17000</t>
    <phoneticPr fontId="4" type="noConversion"/>
  </si>
  <si>
    <t>삼성전자 노트북 DDR4 16G PC4-17000</t>
    <phoneticPr fontId="4" type="noConversion"/>
  </si>
  <si>
    <t>삼성전자 노트북 DDR4 4G PC4-17000</t>
    <phoneticPr fontId="4" type="noConversion"/>
  </si>
  <si>
    <t>삼성전자 노트북 DDR3 4G PC3-12800 1.35V</t>
    <phoneticPr fontId="4" type="noConversion"/>
  </si>
  <si>
    <t>삼성전자 노트북 DDR3 8G PC3-12800 1.35V</t>
    <phoneticPr fontId="4" type="noConversion"/>
  </si>
  <si>
    <t>삼성전자 노트북 DDR3 4G PC3-12800 [1.5V(구형)]</t>
    <phoneticPr fontId="4" type="noConversion"/>
  </si>
  <si>
    <t>삼성전자 노트북 DDR3 8G PC3-12800 [1.5V(구형)]</t>
    <phoneticPr fontId="4" type="noConversion"/>
  </si>
  <si>
    <t>-</t>
    <phoneticPr fontId="4" type="noConversion"/>
  </si>
  <si>
    <t>삼성전자 DDR3 4G PC3-12800</t>
    <phoneticPr fontId="4" type="noConversion"/>
  </si>
  <si>
    <t>삼성전자 DDR3 8G PC3-12800</t>
    <phoneticPr fontId="4" type="noConversion"/>
  </si>
  <si>
    <t>11-11-11-30</t>
    <phoneticPr fontId="4" type="noConversion"/>
  </si>
  <si>
    <t xml:space="preserve">ESSENCORE KLEVV DDR4 16G PC4-24000 CL16 CRAS WHITE (4Gx4) </t>
    <phoneticPr fontId="4" type="noConversion"/>
  </si>
  <si>
    <t>ESSENCORE</t>
  </si>
  <si>
    <t>DDR4</t>
    <phoneticPr fontId="4" type="noConversion"/>
  </si>
  <si>
    <t>램 색상</t>
    <phoneticPr fontId="4" type="noConversion"/>
  </si>
  <si>
    <t>LED색상</t>
    <phoneticPr fontId="4" type="noConversion"/>
  </si>
  <si>
    <t>청</t>
    <phoneticPr fontId="4" type="noConversion"/>
  </si>
  <si>
    <t>ESSENCORE KLEVV DDR4 16G PC4-17000 CL15 CRAS RED (4Gx4)</t>
    <phoneticPr fontId="4" type="noConversion"/>
  </si>
  <si>
    <t>단가</t>
    <phoneticPr fontId="4" type="noConversion"/>
  </si>
  <si>
    <t>가격</t>
    <phoneticPr fontId="4" type="noConversion"/>
  </si>
  <si>
    <t>적</t>
    <phoneticPr fontId="4" type="noConversion"/>
  </si>
  <si>
    <t>ESSENCORE KLEVV DDR4 16G PC4-24000 CL16 CRAS RED (4Gx4)</t>
    <phoneticPr fontId="4" type="noConversion"/>
  </si>
  <si>
    <t>15-15-15</t>
    <phoneticPr fontId="4" type="noConversion"/>
  </si>
  <si>
    <t>16-18-18</t>
    <phoneticPr fontId="4" type="noConversion"/>
  </si>
  <si>
    <t>16-18-18</t>
    <phoneticPr fontId="4" type="noConversion"/>
  </si>
  <si>
    <t xml:space="preserve">ESSENCORE KLEVV DDR3 4G PC3-12800 CL9 (4Gx1) </t>
    <phoneticPr fontId="4" type="noConversion"/>
  </si>
  <si>
    <t>9-9-9</t>
    <phoneticPr fontId="4" type="noConversion"/>
  </si>
  <si>
    <t>녹</t>
    <phoneticPr fontId="4" type="noConversion"/>
  </si>
  <si>
    <t>녹</t>
    <phoneticPr fontId="4" type="noConversion"/>
  </si>
  <si>
    <t xml:space="preserve">ESSENCORE KLEVV DDR3 8G PC3-12800 CL9 (8Gx1) </t>
    <phoneticPr fontId="4" type="noConversion"/>
  </si>
  <si>
    <t>9-9-9</t>
    <phoneticPr fontId="4" type="noConversion"/>
  </si>
  <si>
    <t>ESSENCORE KLEVV DDR3 16G PC3-14900 CL9 URBANE (8Gx2)</t>
    <phoneticPr fontId="4" type="noConversion"/>
  </si>
  <si>
    <t>9-10-9</t>
    <phoneticPr fontId="4" type="noConversion"/>
  </si>
  <si>
    <t>ESSENCORE KLEVV DDR3 8G PC3-22400 CL12 URBANE (4Gx2)</t>
    <phoneticPr fontId="4" type="noConversion"/>
  </si>
  <si>
    <t>12-14-14</t>
    <phoneticPr fontId="4" type="noConversion"/>
  </si>
  <si>
    <t>TeamGroup</t>
    <phoneticPr fontId="4" type="noConversion"/>
  </si>
  <si>
    <t xml:space="preserve">TeamGroup DDR3 4G PC3-12800 </t>
    <phoneticPr fontId="4" type="noConversion"/>
  </si>
  <si>
    <t xml:space="preserve">TeamGroup DDR3 8G PC3-12800 </t>
    <phoneticPr fontId="4" type="noConversion"/>
  </si>
  <si>
    <t>11-11-11-28</t>
    <phoneticPr fontId="4" type="noConversion"/>
  </si>
  <si>
    <t>TeamGroup DDR4 16G PC4-19200 Elite</t>
    <phoneticPr fontId="4" type="noConversion"/>
  </si>
  <si>
    <t>16-16-16-39</t>
    <phoneticPr fontId="4" type="noConversion"/>
  </si>
  <si>
    <t xml:space="preserve">TeamGroup DDR4 16G PC4-19200 Elite Plus Black Gold </t>
    <phoneticPr fontId="4" type="noConversion"/>
  </si>
  <si>
    <t>방열판 색상</t>
    <phoneticPr fontId="4" type="noConversion"/>
  </si>
  <si>
    <t>TeamGroup DDR4 4G PC4-19200 Elite Plus Red Gold</t>
    <phoneticPr fontId="4" type="noConversion"/>
  </si>
  <si>
    <t>ESSENCORE KLEVV DDR3 8G PC3-14900 CL10 FIT (4Gx2)</t>
    <phoneticPr fontId="4" type="noConversion"/>
  </si>
  <si>
    <t>10-11-11</t>
    <phoneticPr fontId="4" type="noConversion"/>
  </si>
  <si>
    <t>회</t>
    <phoneticPr fontId="4" type="noConversion"/>
  </si>
  <si>
    <t>은</t>
    <phoneticPr fontId="4" type="noConversion"/>
  </si>
  <si>
    <t>TeamGroup DDR4 4G PC4-19200 Elite Plus White Gold</t>
    <phoneticPr fontId="4" type="noConversion"/>
  </si>
  <si>
    <t>흑</t>
    <phoneticPr fontId="4" type="noConversion"/>
  </si>
  <si>
    <t>흑</t>
    <phoneticPr fontId="4" type="noConversion"/>
  </si>
  <si>
    <t>적 &amp; 금</t>
    <phoneticPr fontId="4" type="noConversion"/>
  </si>
  <si>
    <t>흑 &amp; 금</t>
    <phoneticPr fontId="4" type="noConversion"/>
  </si>
  <si>
    <t>G.SKILL DDR3 8G PC3-19200 CL11 RIPJAWS XM (4Gx2)</t>
    <phoneticPr fontId="4" type="noConversion"/>
  </si>
  <si>
    <t>11-13-13-31</t>
    <phoneticPr fontId="4" type="noConversion"/>
  </si>
  <si>
    <t xml:space="preserve">CORSAIR DDR3 4G PC3-12800 CL9 VENGEANCE 블루 (2Gx2) </t>
    <phoneticPr fontId="4" type="noConversion"/>
  </si>
  <si>
    <t>G.SKILL</t>
    <phoneticPr fontId="4" type="noConversion"/>
  </si>
  <si>
    <t>9-9-9-24</t>
    <phoneticPr fontId="4" type="noConversion"/>
  </si>
  <si>
    <t>백 &amp; 금</t>
    <phoneticPr fontId="4" type="noConversion"/>
  </si>
  <si>
    <t>CORSAIR DDR4 32G PC4-28800 CL16 Dominator Platinum (8Gx4)</t>
    <phoneticPr fontId="4" type="noConversion"/>
  </si>
  <si>
    <t>16-18-18-36</t>
    <phoneticPr fontId="4" type="noConversion"/>
  </si>
  <si>
    <t>흑 &amp; 강철</t>
    <phoneticPr fontId="4" type="noConversion"/>
  </si>
  <si>
    <t>흑 &amp;  강철</t>
    <phoneticPr fontId="4" type="noConversion"/>
  </si>
  <si>
    <t>흑 &amp;  강철</t>
    <phoneticPr fontId="4" type="noConversion"/>
  </si>
  <si>
    <t>CORSAIR DDR4 32G PC4-22400 CL16 Dominator Platinum (16Gx2)</t>
    <phoneticPr fontId="4" type="noConversion"/>
  </si>
  <si>
    <t>16-18-18-36</t>
    <phoneticPr fontId="4" type="noConversion"/>
  </si>
  <si>
    <t>청 / 흰[커스텀]</t>
    <phoneticPr fontId="4" type="noConversion"/>
  </si>
  <si>
    <t>CORSAIR DDR4 16G PC4-24000 CL15 VENGEANCE LPX 레드 (8Gx2)</t>
    <phoneticPr fontId="4" type="noConversion"/>
  </si>
  <si>
    <t>CORSAIR DDR4 32G PC4-25600 CL16 VENGEANCE LPX 레드 (16Gx2)</t>
    <phoneticPr fontId="4" type="noConversion"/>
  </si>
  <si>
    <t>적 &amp; 흑</t>
    <phoneticPr fontId="4" type="noConversion"/>
  </si>
  <si>
    <t>15-18-18-35</t>
    <phoneticPr fontId="4" type="noConversion"/>
  </si>
  <si>
    <t>16-16-16-31</t>
    <phoneticPr fontId="4" type="noConversion"/>
  </si>
  <si>
    <t xml:space="preserve">G.SKILL DDR4 8G PC4-24000 CL15 TRIDENT Z (4Gx2) </t>
    <phoneticPr fontId="4" type="noConversion"/>
  </si>
  <si>
    <t xml:space="preserve">G.SKILL DDR4 8G PC4-24000 CL15 RIPJAWS VR (4Gx2) </t>
    <phoneticPr fontId="4" type="noConversion"/>
  </si>
  <si>
    <t>15-15-15-35</t>
    <phoneticPr fontId="4" type="noConversion"/>
  </si>
  <si>
    <t>15-16-16-35</t>
    <phoneticPr fontId="4" type="noConversion"/>
  </si>
  <si>
    <t>G.SKILL DDR4 16G PC4-21300 RIPJAWS VR (16Gx1)</t>
    <phoneticPr fontId="4" type="noConversion"/>
  </si>
  <si>
    <t>15-15-15-35</t>
    <phoneticPr fontId="4" type="noConversion"/>
  </si>
  <si>
    <t>G.SKILL DDR4 4G PC4-19200 CL15 AEGIS (4Gx1)</t>
    <phoneticPr fontId="4" type="noConversion"/>
  </si>
  <si>
    <t>15-15-15-35</t>
    <phoneticPr fontId="4" type="noConversion"/>
  </si>
  <si>
    <t>G.SKILL DDR4 8G PC4-21300 RIPJAWS VK (8Gx1)</t>
    <phoneticPr fontId="4" type="noConversion"/>
  </si>
  <si>
    <t>흑 &amp; 적</t>
    <phoneticPr fontId="4" type="noConversion"/>
  </si>
  <si>
    <t>제품</t>
    <phoneticPr fontId="4" type="noConversion"/>
  </si>
  <si>
    <t>2011-3</t>
    <phoneticPr fontId="4" type="noConversion"/>
  </si>
  <si>
    <t>O</t>
    <phoneticPr fontId="4" type="noConversion"/>
  </si>
  <si>
    <t>115</t>
    <phoneticPr fontId="4" type="noConversion"/>
  </si>
  <si>
    <t>AM</t>
    <phoneticPr fontId="4" type="noConversion"/>
  </si>
  <si>
    <t>FM</t>
    <phoneticPr fontId="4" type="noConversion"/>
  </si>
  <si>
    <t>-&gt;</t>
    <phoneticPr fontId="4" type="noConversion"/>
  </si>
  <si>
    <t>쿨러마스터 Hyper 103</t>
    <phoneticPr fontId="4" type="noConversion"/>
  </si>
  <si>
    <t>AM1</t>
    <phoneticPr fontId="4" type="noConversion"/>
  </si>
  <si>
    <t>AM1</t>
    <phoneticPr fontId="4" type="noConversion"/>
  </si>
  <si>
    <t>AMx/FMx</t>
    <phoneticPr fontId="4" type="noConversion"/>
  </si>
  <si>
    <t>수냉</t>
    <phoneticPr fontId="4" type="noConversion"/>
  </si>
  <si>
    <t>O</t>
    <phoneticPr fontId="4" type="noConversion"/>
  </si>
  <si>
    <t>잘만 CNPS7X LED+</t>
    <phoneticPr fontId="4" type="noConversion"/>
  </si>
  <si>
    <t>써모랩 BADA2010</t>
    <phoneticPr fontId="4" type="noConversion"/>
  </si>
  <si>
    <t>팬LED</t>
    <phoneticPr fontId="4" type="noConversion"/>
  </si>
  <si>
    <t>NoCooler</t>
    <phoneticPr fontId="4" type="noConversion"/>
  </si>
  <si>
    <t>hasNOCooler</t>
    <phoneticPr fontId="4" type="noConversion"/>
  </si>
  <si>
    <t>Thermalright Silver Arrow ITX</t>
    <phoneticPr fontId="4" type="noConversion"/>
  </si>
  <si>
    <t xml:space="preserve">Thermalright Silver Arrow IB-E Extreme </t>
    <phoneticPr fontId="4" type="noConversion"/>
  </si>
  <si>
    <t xml:space="preserve">Thermalright Macho Zero </t>
    <phoneticPr fontId="4" type="noConversion"/>
  </si>
  <si>
    <t>Thermalright Macho Rev.B</t>
    <phoneticPr fontId="4" type="noConversion"/>
  </si>
  <si>
    <t>권장 없을시 5mm추가</t>
    <phoneticPr fontId="4" type="noConversion"/>
  </si>
  <si>
    <t>Thermalright AXP-200</t>
    <phoneticPr fontId="4" type="noConversion"/>
  </si>
  <si>
    <t xml:space="preserve">Thermalright AXP-100 Muscle </t>
    <phoneticPr fontId="4" type="noConversion"/>
  </si>
  <si>
    <t>X</t>
    <phoneticPr fontId="4" type="noConversion"/>
  </si>
  <si>
    <t>X</t>
    <phoneticPr fontId="4" type="noConversion"/>
  </si>
  <si>
    <t>써모랩 LP53</t>
    <phoneticPr fontId="4" type="noConversion"/>
  </si>
  <si>
    <t>써모랩 ITX30</t>
    <phoneticPr fontId="4" type="noConversion"/>
  </si>
  <si>
    <t>쿨러마스터</t>
    <phoneticPr fontId="4" type="noConversion"/>
  </si>
  <si>
    <t>쿨러마스터 Seidon 120V PLUS</t>
    <phoneticPr fontId="4" type="noConversion"/>
  </si>
  <si>
    <t xml:space="preserve">쿨러마스터 V8 GTS </t>
    <phoneticPr fontId="4" type="noConversion"/>
  </si>
  <si>
    <t>잘만 CNPS9900 MAX 블루</t>
    <phoneticPr fontId="4" type="noConversion"/>
  </si>
  <si>
    <t>잘만 CNPS9900 MAX DF</t>
    <phoneticPr fontId="4" type="noConversion"/>
  </si>
  <si>
    <t>잘만 CNPS9900 MAX 레드</t>
    <phoneticPr fontId="4" type="noConversion"/>
  </si>
  <si>
    <t>120x2</t>
    <phoneticPr fontId="4" type="noConversion"/>
  </si>
  <si>
    <t>쿨러마스터 Nepton 240M</t>
    <phoneticPr fontId="4" type="noConversion"/>
  </si>
  <si>
    <t>쿨러마스터 Seidon 120V V3 PLUS</t>
    <phoneticPr fontId="4" type="noConversion"/>
  </si>
  <si>
    <t>120x2</t>
    <phoneticPr fontId="4" type="noConversion"/>
  </si>
  <si>
    <t xml:space="preserve">DEEPCOOL GAMER STORM CAPTAIN 240EX WHITE BRAVOTEC </t>
    <phoneticPr fontId="4" type="noConversion"/>
  </si>
  <si>
    <t xml:space="preserve">DEEPCOOL GAMMAXX 400 For Intel BRAVOTEC </t>
    <phoneticPr fontId="4" type="noConversion"/>
  </si>
  <si>
    <t xml:space="preserve">DEEPCOOL FROSTWIN LED 2016 BRAVOTEC </t>
    <phoneticPr fontId="4" type="noConversion"/>
  </si>
  <si>
    <t>92x2</t>
    <phoneticPr fontId="4" type="noConversion"/>
  </si>
  <si>
    <t>쿨러마스터 MASTERLIQUID PRO 240</t>
    <phoneticPr fontId="4" type="noConversion"/>
  </si>
  <si>
    <t>120x2</t>
    <phoneticPr fontId="4" type="noConversion"/>
  </si>
  <si>
    <t>커세어</t>
    <phoneticPr fontId="4" type="noConversion"/>
  </si>
  <si>
    <t>CORSAIR HYDRO SERIES H80i v2</t>
    <phoneticPr fontId="4" type="noConversion"/>
  </si>
  <si>
    <t>CORSAIR HYDRO SERIES H100i v2</t>
    <phoneticPr fontId="4" type="noConversion"/>
  </si>
  <si>
    <t>120x2</t>
    <phoneticPr fontId="4" type="noConversion"/>
  </si>
  <si>
    <t>CORSAIR HYDRO SERIES H115i</t>
    <phoneticPr fontId="4" type="noConversion"/>
  </si>
  <si>
    <t>140x2</t>
    <phoneticPr fontId="4" type="noConversion"/>
  </si>
  <si>
    <t>NOCTUA NH-D15</t>
    <phoneticPr fontId="4" type="noConversion"/>
  </si>
  <si>
    <t>녹투아</t>
    <phoneticPr fontId="4" type="noConversion"/>
  </si>
  <si>
    <t>HGST 3TB Deskstar NAS HDN724030ALE640 패키지</t>
    <phoneticPr fontId="4" type="noConversion"/>
  </si>
  <si>
    <t>HGST 4TB Deskstar NAS HDN724040ALE640 패키지</t>
    <phoneticPr fontId="4" type="noConversion"/>
  </si>
  <si>
    <t>HGST 6TB DeskStar NAS HDN726060ALE610 패키지</t>
    <phoneticPr fontId="4" type="noConversion"/>
  </si>
  <si>
    <t>용량</t>
    <phoneticPr fontId="4" type="noConversion"/>
  </si>
  <si>
    <t>64M</t>
    <phoneticPr fontId="4" type="noConversion"/>
  </si>
  <si>
    <t>HGST 4TB Deskstar HDS724040ALE640 패키지</t>
    <phoneticPr fontId="4" type="noConversion"/>
  </si>
  <si>
    <t>HGST 5TB DeskStar NAS HDN726050ALE610 패키지</t>
    <phoneticPr fontId="4" type="noConversion"/>
  </si>
  <si>
    <t>TB당 가격</t>
    <phoneticPr fontId="4" type="noConversion"/>
  </si>
  <si>
    <t>HGST 6TB Ultrastar 7K6000 HUS726060ALE610</t>
    <phoneticPr fontId="4" type="noConversion"/>
  </si>
  <si>
    <t>256M</t>
    <phoneticPr fontId="4" type="noConversion"/>
  </si>
  <si>
    <t>HGST 8TB Ultrastar He8 HUH728080ALE600</t>
    <phoneticPr fontId="4" type="noConversion"/>
  </si>
  <si>
    <t>HGST 2TB Ultrastar 7K4000 HUS724020ALA640</t>
    <phoneticPr fontId="4" type="noConversion"/>
  </si>
  <si>
    <t>HGST 4TB Ultrastar 7K4000 HUS724040ALA640</t>
    <phoneticPr fontId="4" type="noConversion"/>
  </si>
  <si>
    <t>HGST 6TB Ultrastar He8 HUH728060ALE600</t>
    <phoneticPr fontId="4" type="noConversion"/>
  </si>
  <si>
    <t>HGST 3TB Ultrastar 7K4000 HUS724030ALA640</t>
    <phoneticPr fontId="4" type="noConversion"/>
  </si>
  <si>
    <t>HGST 5TB Ultrastar 7K6000 HUS726050ALE614</t>
    <phoneticPr fontId="4" type="noConversion"/>
  </si>
  <si>
    <t>HGST 10TB Ultrastar He10 HUH721010ALE600</t>
    <phoneticPr fontId="4" type="noConversion"/>
  </si>
  <si>
    <t>?(800)</t>
    <phoneticPr fontId="4" type="noConversion"/>
  </si>
  <si>
    <t>?(1)</t>
    <phoneticPr fontId="4" type="noConversion"/>
  </si>
  <si>
    <t>?(1)</t>
    <phoneticPr fontId="4" type="noConversion"/>
  </si>
  <si>
    <t>Seagate 10TB IronWolf ST10000VN0004</t>
    <phoneticPr fontId="4" type="noConversion"/>
  </si>
  <si>
    <t>Seagate 10TB SkyHawk HDD ST10000VX0004</t>
    <phoneticPr fontId="4" type="noConversion"/>
  </si>
  <si>
    <t>Seagate 3TB Barracuda ST3000DM008</t>
    <phoneticPr fontId="4" type="noConversion"/>
  </si>
  <si>
    <t>Seagate 2TB Barracuda ST2000DM006</t>
    <phoneticPr fontId="4" type="noConversion"/>
  </si>
  <si>
    <t>Seagate 10TB Barracuda Pro ST10000DM0004</t>
    <phoneticPr fontId="4" type="noConversion"/>
  </si>
  <si>
    <t>Seagate 1TB Barracuda ST1000DM003</t>
    <phoneticPr fontId="4" type="noConversion"/>
  </si>
  <si>
    <t>Seagate 4TB Surveillance HDD+Rescue ST4000VX002</t>
    <phoneticPr fontId="4" type="noConversion"/>
  </si>
  <si>
    <t>Seagate 2TB Surveillance HDD+Rescue ST2000VX005</t>
  </si>
  <si>
    <t>Seagate 5TB Surveillance HDD+Rescue ST5000VX0011</t>
    <phoneticPr fontId="4" type="noConversion"/>
  </si>
  <si>
    <t>Seagate 3TB Surveillance HDD+Rescue ST3000VX005</t>
    <phoneticPr fontId="4" type="noConversion"/>
  </si>
  <si>
    <t>Seagate 6TB Surveillance HDD+Rescue ST6000VX0011</t>
    <phoneticPr fontId="4" type="noConversion"/>
  </si>
  <si>
    <t>Seagate 1TB Surveillance HDD ST1000VX001</t>
    <phoneticPr fontId="4" type="noConversion"/>
  </si>
  <si>
    <t>Toshiba 1TB DT01ACA100</t>
    <phoneticPr fontId="4" type="noConversion"/>
  </si>
  <si>
    <t>Toshiba 2TB DT01ACA200</t>
    <phoneticPr fontId="4" type="noConversion"/>
  </si>
  <si>
    <t>Toshiba 3TB DT01ACA300</t>
    <phoneticPr fontId="4" type="noConversion"/>
  </si>
  <si>
    <t>Toshiba 4TB MC04ACA400</t>
    <phoneticPr fontId="4" type="noConversion"/>
  </si>
  <si>
    <t>Toshiba 2TB MC04ACA200</t>
    <phoneticPr fontId="4" type="noConversion"/>
  </si>
  <si>
    <t>Toshiba 500GB DT01ACA050</t>
    <phoneticPr fontId="4" type="noConversion"/>
  </si>
  <si>
    <t>Toshiba 6TB MC04ACA600</t>
    <phoneticPr fontId="4" type="noConversion"/>
  </si>
  <si>
    <t>Toshiba 4TB MG04ACA400 Enterprise</t>
    <phoneticPr fontId="4" type="noConversion"/>
  </si>
  <si>
    <t>Toshiba 6TB MG04ACA600 Enterprise</t>
    <phoneticPr fontId="4" type="noConversion"/>
  </si>
  <si>
    <t>Toshiba 5TB MC04ACA500</t>
    <phoneticPr fontId="4" type="noConversion"/>
  </si>
  <si>
    <t>Toshiba 3TB MC04ACA300</t>
    <phoneticPr fontId="4" type="noConversion"/>
  </si>
  <si>
    <t>WD 4TB Red WD40EFRX</t>
    <phoneticPr fontId="4" type="noConversion"/>
  </si>
  <si>
    <t>WD 2TB BLUE WD20EZRZ</t>
    <phoneticPr fontId="4" type="noConversion"/>
  </si>
  <si>
    <t>WD 4TB BLUE WD40EZRZ</t>
    <phoneticPr fontId="4" type="noConversion"/>
  </si>
  <si>
    <t>WD 2TB GREEN WD20EZRX</t>
    <phoneticPr fontId="4" type="noConversion"/>
  </si>
  <si>
    <t>WD 3TB BLUE WD30EZRZ</t>
    <phoneticPr fontId="4" type="noConversion"/>
  </si>
  <si>
    <t>WD 3TB Red WD30EFRX</t>
    <phoneticPr fontId="4" type="noConversion"/>
  </si>
  <si>
    <t>WD 2TB BLACK WD2003FZEX</t>
    <phoneticPr fontId="4" type="noConversion"/>
  </si>
  <si>
    <t>WD 6TB Red WD60EFRX</t>
    <phoneticPr fontId="4" type="noConversion"/>
  </si>
  <si>
    <t>WD 6TB BLUE WD60EZRZ</t>
    <phoneticPr fontId="4" type="noConversion"/>
  </si>
  <si>
    <t>WD 500GB WD5000AZLX</t>
    <phoneticPr fontId="4" type="noConversion"/>
  </si>
  <si>
    <t>32M</t>
    <phoneticPr fontId="4" type="noConversion"/>
  </si>
  <si>
    <t>WD 1TB BLACK WD1003FZEX</t>
    <phoneticPr fontId="4" type="noConversion"/>
  </si>
  <si>
    <t>WD 5TB Red WD50EFRX</t>
    <phoneticPr fontId="4" type="noConversion"/>
  </si>
  <si>
    <t>WD 4TB GREEN WD40EZRX</t>
    <phoneticPr fontId="4" type="noConversion"/>
  </si>
  <si>
    <t>WD 3TB GREEN WD30EZRX</t>
    <phoneticPr fontId="4" type="noConversion"/>
  </si>
  <si>
    <t>WD 5TB BLUE WD50EZRZ</t>
    <phoneticPr fontId="4" type="noConversion"/>
  </si>
  <si>
    <t>WD 2TB Red WD20EFRX</t>
    <phoneticPr fontId="4" type="noConversion"/>
  </si>
  <si>
    <t>LG전자 Super-Multi GH24NS96</t>
    <phoneticPr fontId="4" type="noConversion"/>
  </si>
  <si>
    <t>LG전자 BH16NS55</t>
    <phoneticPr fontId="4" type="noConversion"/>
  </si>
  <si>
    <t>삼성전자 Super-WriteMaster SH-224FB</t>
    <phoneticPr fontId="4" type="noConversion"/>
  </si>
  <si>
    <t>GIGABYTE 지포스 GT740 UD2 OC D5 1GB WING-100</t>
    <phoneticPr fontId="4" type="noConversion"/>
  </si>
  <si>
    <t>&lt;메인스트림&gt;</t>
    <phoneticPr fontId="4" type="noConversion"/>
  </si>
  <si>
    <t>RX 470</t>
    <phoneticPr fontId="4" type="noConversion"/>
  </si>
  <si>
    <t>RX 460</t>
    <phoneticPr fontId="4" type="noConversion"/>
  </si>
  <si>
    <t>GTX1060[6]</t>
    <phoneticPr fontId="4" type="noConversion"/>
  </si>
  <si>
    <t>GTX1060[3]</t>
    <phoneticPr fontId="4" type="noConversion"/>
  </si>
  <si>
    <t>GTX1060[3]</t>
    <phoneticPr fontId="4" type="noConversion"/>
  </si>
  <si>
    <t>RX 480</t>
    <phoneticPr fontId="4" type="noConversion"/>
  </si>
  <si>
    <t>R9 390</t>
    <phoneticPr fontId="4" type="noConversion"/>
  </si>
  <si>
    <t>R9 390X</t>
    <phoneticPr fontId="4" type="noConversion"/>
  </si>
  <si>
    <t>Pro Duo</t>
    <phoneticPr fontId="4" type="noConversion"/>
  </si>
  <si>
    <t>GIGABYTE 라데온 R7 360 UD2 OC D5 2GB 미니미</t>
    <phoneticPr fontId="4" type="noConversion"/>
  </si>
  <si>
    <t>MSI 라데온 R7 360 OC D5 2GB 블랙아머</t>
    <phoneticPr fontId="4" type="noConversion"/>
  </si>
  <si>
    <t>PowerColor 라데온 R7 360 OC D5 2GB Dual Fan</t>
    <phoneticPr fontId="4" type="noConversion"/>
  </si>
  <si>
    <t>이엠텍 XENON 지포스 GTX750 Ti STORM X Dual OC D5 2GB</t>
    <phoneticPr fontId="4" type="noConversion"/>
  </si>
  <si>
    <t>ZOTAC 지포스 GTX750 Ti D5 2GB</t>
    <phoneticPr fontId="4" type="noConversion"/>
  </si>
  <si>
    <t>GIGABYTE 지포스 GTX750 Ti UD2 OC D5 2GB UltraHD</t>
    <phoneticPr fontId="4" type="noConversion"/>
  </si>
  <si>
    <t>이엠텍 XENON 지포스 GTX750 STORM X OC D5 1GB HDMI 2.0</t>
    <phoneticPr fontId="4" type="noConversion"/>
  </si>
  <si>
    <t>GIGABYTE 지포스 GTX750 Ti UD2 OC D5 1GB UltraHD</t>
    <phoneticPr fontId="4" type="noConversion"/>
  </si>
  <si>
    <t>ZOTAC 지포스 GTX750 Ti D5 1GB</t>
    <phoneticPr fontId="4" type="noConversion"/>
  </si>
  <si>
    <t>갤럭시 GALAX 지포스 GTX750 Ti OC 개간지 D5 2GB</t>
    <phoneticPr fontId="4" type="noConversion"/>
  </si>
  <si>
    <t>이엠텍 HV 지포스 GTX750 Ti OverClock Edition D5 2GB</t>
    <phoneticPr fontId="4" type="noConversion"/>
  </si>
  <si>
    <t>Colorful 지포스 GTX750 Ti REVENGE D5 2GB</t>
    <phoneticPr fontId="4" type="noConversion"/>
  </si>
  <si>
    <t>GIGABYTE 지포스 GTX750 Ti UD2 OC D5 2GB 미니미</t>
    <phoneticPr fontId="4" type="noConversion"/>
  </si>
  <si>
    <t>Colorful</t>
    <phoneticPr fontId="4" type="noConversion"/>
  </si>
  <si>
    <t>GIGABYTE</t>
    <phoneticPr fontId="4" type="noConversion"/>
  </si>
  <si>
    <t>ZOTAC 지포스 GTX750 Ti D5 2GB DUAL SILENCER</t>
    <phoneticPr fontId="4" type="noConversion"/>
  </si>
  <si>
    <t>MSI 지포스 GTX750 Ti OC 블랙 아머 D5 2GB V1</t>
    <phoneticPr fontId="4" type="noConversion"/>
  </si>
  <si>
    <t>MANLI 지포스 GTX750 Ti Black Knight D5 1GB</t>
    <phoneticPr fontId="4" type="noConversion"/>
  </si>
  <si>
    <t>ASUS 지포스 GTX750 Ti OC D5 2GB</t>
    <phoneticPr fontId="4" type="noConversion"/>
  </si>
  <si>
    <t>갤럭시 GALAX 지포스 GTX750 OC 개간지 D5 1GB</t>
    <phoneticPr fontId="4" type="noConversion"/>
  </si>
  <si>
    <t>이엠텍 HV 지포스 GTX750 OverClock Edition D5 1GB</t>
    <phoneticPr fontId="4" type="noConversion"/>
  </si>
  <si>
    <t>MANLI 지포스 GTX750 Black Knight D5 1GB</t>
    <phoneticPr fontId="4" type="noConversion"/>
  </si>
  <si>
    <t>ASUS STRIX 지포스 GTX750 Ti OC D5 2GB</t>
    <phoneticPr fontId="4" type="noConversion"/>
  </si>
  <si>
    <t>이엠텍 XENON 지포스 GTX950 OC JETSTREAM WHITE EDITION D5 2GB</t>
    <phoneticPr fontId="4" type="noConversion"/>
  </si>
  <si>
    <t>Colorful 지포스 GTX950 REVENGE OC D5 2GB</t>
    <phoneticPr fontId="4" type="noConversion"/>
  </si>
  <si>
    <t>갤럭시 GALAX 지포스 GTX950 OC HONEY D5 2GB</t>
    <phoneticPr fontId="4" type="noConversion"/>
  </si>
  <si>
    <t>갤럭시 GALAX 지포스 GTX950 OC BLACK D5 2GB</t>
    <phoneticPr fontId="4" type="noConversion"/>
  </si>
  <si>
    <t>ZOTAC 지포스 GTX950 AMP! Edition D5 2GB</t>
    <phoneticPr fontId="4" type="noConversion"/>
  </si>
  <si>
    <t>이엠텍 HV 지포스 GTX950 OverClock Edition D5 2GB</t>
    <phoneticPr fontId="4" type="noConversion"/>
  </si>
  <si>
    <t>GIGABYTE 지포스 GTX950 UD2 OC D5 2GB 윈드포스</t>
    <phoneticPr fontId="4" type="noConversion"/>
  </si>
  <si>
    <t>ASUS STRIX 지포스 GTX950 DC2 OC D5 2GB GAMING</t>
    <phoneticPr fontId="4" type="noConversion"/>
  </si>
  <si>
    <t>GIGABYTE 지포스 GTX950 UD2 OC D5 2GB 미니미</t>
    <phoneticPr fontId="4" type="noConversion"/>
  </si>
  <si>
    <t>이엠텍 XENON 지포스 GTX950 OC Super JETSTREAM D5 2GB</t>
    <phoneticPr fontId="4" type="noConversion"/>
  </si>
  <si>
    <t>GIGABYTE 라데온 R7 370 UD2 OC D5 2GB 윈드포스</t>
    <phoneticPr fontId="4" type="noConversion"/>
  </si>
  <si>
    <t>MSI 라데온 R7 370 OC 블랙 아머 2X D5 2GB</t>
    <phoneticPr fontId="4" type="noConversion"/>
  </si>
  <si>
    <t>SAPPHIRE 라데온 R9 370X OC D5 4GB Vapor-X</t>
    <phoneticPr fontId="4" type="noConversion"/>
  </si>
  <si>
    <t>XFX 라데온 RX 460 BLACK Wolf OC D5 4GB</t>
    <phoneticPr fontId="4" type="noConversion"/>
  </si>
  <si>
    <t>XFX</t>
    <phoneticPr fontId="4" type="noConversion"/>
  </si>
  <si>
    <t>HIS 라데온 RX 460 iCooler OC D5 2GB</t>
    <phoneticPr fontId="4" type="noConversion"/>
  </si>
  <si>
    <t>HIS</t>
    <phoneticPr fontId="4" type="noConversion"/>
  </si>
  <si>
    <t>GIGABYTE 라데온 RX 460 UDV D5 2GB 윈드포스</t>
    <phoneticPr fontId="4" type="noConversion"/>
  </si>
  <si>
    <t>GIGABYTE 라데온 RX 460 UDV D5 4GB 윈드포스</t>
    <phoneticPr fontId="4" type="noConversion"/>
  </si>
  <si>
    <t xml:space="preserve">XFX 라데온 RX 460 BLACK Wolf OC D5 2GB </t>
    <phoneticPr fontId="4" type="noConversion"/>
  </si>
  <si>
    <t>ASUS ROG STRIX 라데온 RX 460 O4G GAMING 4GB</t>
    <phoneticPr fontId="4" type="noConversion"/>
  </si>
  <si>
    <t>HIS 라데온 RX 470 IceQ X2 Turbo D5 4GB</t>
    <phoneticPr fontId="4" type="noConversion"/>
  </si>
  <si>
    <t>MSI 라데온 RX 470 게이밍 X 8GB 트윈프로져6</t>
    <phoneticPr fontId="4" type="noConversion"/>
  </si>
  <si>
    <t>GIGABYTE 라데온 RX 470 G1.Gaming D5 4GB</t>
    <phoneticPr fontId="4" type="noConversion"/>
  </si>
  <si>
    <t>SAPPHIRE 라데온 RX 470 OC D5 4GB</t>
    <phoneticPr fontId="4" type="noConversion"/>
  </si>
  <si>
    <t>MSI 라데온 RX 470 게이밍 X 4GB 트윈프로져6</t>
    <phoneticPr fontId="4" type="noConversion"/>
  </si>
  <si>
    <t>XFX 라데온 RX 470 BLACK Wolf Super OC D5 4GB</t>
    <phoneticPr fontId="4" type="noConversion"/>
  </si>
  <si>
    <t>XFX 라데온 RX 470 BLACK Wolf OC D5 4GB</t>
    <phoneticPr fontId="4" type="noConversion"/>
  </si>
  <si>
    <t>XFX</t>
    <phoneticPr fontId="4" type="noConversion"/>
  </si>
  <si>
    <t>MSI</t>
    <phoneticPr fontId="4" type="noConversion"/>
  </si>
  <si>
    <t>HIS</t>
    <phoneticPr fontId="4" type="noConversion"/>
  </si>
  <si>
    <t>GIGABYTE</t>
    <phoneticPr fontId="4" type="noConversion"/>
  </si>
  <si>
    <t>ASUS</t>
    <phoneticPr fontId="4" type="noConversion"/>
  </si>
  <si>
    <t>SAPPHIRE 라데온 RX 460 OC D5 2GB</t>
    <phoneticPr fontId="4" type="noConversion"/>
  </si>
  <si>
    <t>ASUS ROG STRIX 라데온 RX 470 O4G GAMING 4GB</t>
    <phoneticPr fontId="4" type="noConversion"/>
  </si>
  <si>
    <t>GIGABYTE 지포스 GTX970 Xtreme D5 4GB</t>
    <phoneticPr fontId="4" type="noConversion"/>
  </si>
  <si>
    <t>ASUS STRIX 지포스 GTX970 DC2 OC D5 4GB</t>
    <phoneticPr fontId="4" type="noConversion"/>
  </si>
  <si>
    <t>갤럭시 GALAX 지포스 GTX970 EXOC D5 4GB BLACK LABEL Face Lift</t>
    <phoneticPr fontId="4" type="noConversion"/>
  </si>
  <si>
    <t>갤럭시 GALAX 지포스 GTX970 GAMER OC D5 4GB BLACK LABEL</t>
    <phoneticPr fontId="4" type="noConversion"/>
  </si>
  <si>
    <t>갤럭시 GALAX 지포스 GTX970 EX OC D5 4GB BLACK LABEL</t>
    <phoneticPr fontId="4" type="noConversion"/>
  </si>
  <si>
    <t>갤럭시 GALAX 지포스 GTX970 Hall Of Fame D5 4GB</t>
    <phoneticPr fontId="4" type="noConversion"/>
  </si>
  <si>
    <t>ASUS 지포스 GTX970 DC Mini OC D5 4GB</t>
    <phoneticPr fontId="4" type="noConversion"/>
  </si>
  <si>
    <t>이엠텍 HV 지포스 GTX970 D5 4GB GAMESOUL</t>
    <phoneticPr fontId="4" type="noConversion"/>
  </si>
  <si>
    <t>이엠텍 XENON 지포스 GTX1060 STORM X Dual D5 3GB</t>
    <phoneticPr fontId="4" type="noConversion"/>
  </si>
  <si>
    <t>이엠텍 XENON 지포스 GTX1060 Super JETSTREAM D5 6GB</t>
    <phoneticPr fontId="4" type="noConversion"/>
  </si>
  <si>
    <t>ZOTAC 지포스 GTX1060 MINi D5 3GB</t>
    <phoneticPr fontId="4" type="noConversion"/>
  </si>
  <si>
    <t>ZOTAC</t>
    <phoneticPr fontId="4" type="noConversion"/>
  </si>
  <si>
    <t>MSI 지포스 GTX1060 게이밍 X D5 6GB 트윈프로져6</t>
    <phoneticPr fontId="4" type="noConversion"/>
  </si>
  <si>
    <t>MSI</t>
    <phoneticPr fontId="4" type="noConversion"/>
  </si>
  <si>
    <t>Colorful 지포스 GTX1060 iGame X-TOP D5 6GB SUPER OC</t>
    <phoneticPr fontId="4" type="noConversion"/>
  </si>
  <si>
    <t>갤럭시 GALAX 지포스 GTX1060 EXOC 개간지 D5 6GB</t>
    <phoneticPr fontId="4" type="noConversion"/>
  </si>
  <si>
    <t>NVIDIA</t>
    <phoneticPr fontId="4" type="noConversion"/>
  </si>
  <si>
    <t>갤럭시</t>
    <phoneticPr fontId="4" type="noConversion"/>
  </si>
  <si>
    <t>GTX1060[6]</t>
    <phoneticPr fontId="4" type="noConversion"/>
  </si>
  <si>
    <t>Colorful 지포스 GTX1060 iGame U-TOP D5 6GB</t>
    <phoneticPr fontId="4" type="noConversion"/>
  </si>
  <si>
    <t>ZOTAC 지포스 GTX1060 AMP! EDITION D5 6GB</t>
    <phoneticPr fontId="4" type="noConversion"/>
  </si>
  <si>
    <t>ZOTAC 지포스 GTX1060 MINi D5 6GB</t>
    <phoneticPr fontId="4" type="noConversion"/>
  </si>
  <si>
    <t>NVIDIA</t>
    <phoneticPr fontId="4" type="noConversion"/>
  </si>
  <si>
    <t>ZOTAC</t>
    <phoneticPr fontId="4" type="noConversion"/>
  </si>
  <si>
    <t>MANLI 지포스 GTX1060 Black Frame D5 6GB OC</t>
    <phoneticPr fontId="4" type="noConversion"/>
  </si>
  <si>
    <t>MANLI</t>
    <phoneticPr fontId="4" type="noConversion"/>
  </si>
  <si>
    <t>갤럭시 GALAX 지포스 GTX1060 EXOC D5 3GB G天命</t>
    <phoneticPr fontId="4" type="noConversion"/>
  </si>
  <si>
    <t>갤럭시</t>
    <phoneticPr fontId="4" type="noConversion"/>
  </si>
  <si>
    <t>갤럭시 GALAX 지포스 GTX1060 EXOC D5 6GB G天命</t>
    <phoneticPr fontId="4" type="noConversion"/>
  </si>
  <si>
    <t>갤럭시 GALAX 지포스 GTX1060 EXOC 개간지 D5 3GB</t>
    <phoneticPr fontId="4" type="noConversion"/>
  </si>
  <si>
    <t>갤럭시 GALAX 지포스 GTX1060 OC D5 3GB</t>
    <phoneticPr fontId="4" type="noConversion"/>
  </si>
  <si>
    <t>MSI 지포스 GTX1060 게이밍 X D5 3GB 트윈프로져6</t>
    <phoneticPr fontId="4" type="noConversion"/>
  </si>
  <si>
    <t xml:space="preserve">GIGABYTE 지포스 GTX1060 G1.Gaming D5 6GB </t>
    <phoneticPr fontId="4" type="noConversion"/>
  </si>
  <si>
    <t>MSI 지포스 GTX1060 아머 OC D5 6GB</t>
    <phoneticPr fontId="4" type="noConversion"/>
  </si>
  <si>
    <t>GIGABYTE 지포스 GTX1060 UDV D5 3GB 미니미</t>
    <phoneticPr fontId="4" type="noConversion"/>
  </si>
  <si>
    <t>Colorful 지포스 GTX1060 iGame U OC D5 6GB</t>
    <phoneticPr fontId="4" type="noConversion"/>
  </si>
  <si>
    <t>이엠텍 HV 지포스 GTX1060 GAMER Edition D5 6GB</t>
    <phoneticPr fontId="4" type="noConversion"/>
  </si>
  <si>
    <t>이엠텍 HV 지포스 GTX1060 GAMER Edition D5 3GB</t>
    <phoneticPr fontId="4" type="noConversion"/>
  </si>
  <si>
    <t>ASUS DUAL 지포스 GTX1060 O6G</t>
    <phoneticPr fontId="4" type="noConversion"/>
  </si>
  <si>
    <t>NVIDIA</t>
    <phoneticPr fontId="4" type="noConversion"/>
  </si>
  <si>
    <t>GIGABYTE 지포스 GTX1060 UDV D5 6GB 윈드포스</t>
    <phoneticPr fontId="4" type="noConversion"/>
  </si>
  <si>
    <t>GIGABYTE 지포스 GTX1060 Xtreme D5 6GB</t>
    <phoneticPr fontId="4" type="noConversion"/>
  </si>
  <si>
    <t>Colorful 지포스 GTX1060 iCafe D5 3GB</t>
    <phoneticPr fontId="4" type="noConversion"/>
  </si>
  <si>
    <t>GIGABYTE 지포스 GTX1060 G1.Gaming D5 3GB</t>
    <phoneticPr fontId="4" type="noConversion"/>
  </si>
  <si>
    <t>Colorful 지포스 GTX1060 iGame U-TOP D5 3GB OC</t>
    <phoneticPr fontId="4" type="noConversion"/>
  </si>
  <si>
    <t>GIGABYTE 지포스 GTX1060 UDV D5 6GB 미니미</t>
    <phoneticPr fontId="4" type="noConversion"/>
  </si>
  <si>
    <t>갤럭시 GALAX 지포스 GTX1060 OC D5 6GB</t>
    <phoneticPr fontId="4" type="noConversion"/>
  </si>
  <si>
    <t>Colorful 지포스 GTX1060 iCafe D5 6GB</t>
    <phoneticPr fontId="4" type="noConversion"/>
  </si>
  <si>
    <t>ASUS</t>
    <phoneticPr fontId="4" type="noConversion"/>
  </si>
  <si>
    <t>inno3D 지포스 GTX1060 X2 D5 6GB</t>
    <phoneticPr fontId="4" type="noConversion"/>
  </si>
  <si>
    <t>inno3D</t>
    <phoneticPr fontId="4" type="noConversion"/>
  </si>
  <si>
    <t>Colorful 지포스 GTX1060 REVENGE D5 3GB</t>
    <phoneticPr fontId="4" type="noConversion"/>
  </si>
  <si>
    <t>이엠텍 XENON 지포스 GTX1060 JETSTREAM D5 6GB</t>
    <phoneticPr fontId="4" type="noConversion"/>
  </si>
  <si>
    <t>inno3D iChiLL 지포스 GTX1060 D5 6GB X3</t>
    <phoneticPr fontId="4" type="noConversion"/>
  </si>
  <si>
    <t>이엠텍 HV 지포스 GTX1060 OC D5 3GB</t>
    <phoneticPr fontId="4" type="noConversion"/>
  </si>
  <si>
    <t>ASUS DUAL 지포스 GTX1060 O3G D5 3GB</t>
    <phoneticPr fontId="4" type="noConversion"/>
  </si>
  <si>
    <t>inno3D 지포스 GTX1060 Twin D5 6GB</t>
    <phoneticPr fontId="4" type="noConversion"/>
  </si>
  <si>
    <t>GIGABYTE 라데온 R9 390 SOC D5 8GB G1게이밍</t>
    <phoneticPr fontId="4" type="noConversion"/>
  </si>
  <si>
    <t>MSI 라데온 R9 390X OC D5 8GB 트윈 프로져 5 게이밍</t>
    <phoneticPr fontId="4" type="noConversion"/>
  </si>
  <si>
    <t>SAPPHIRE</t>
    <phoneticPr fontId="4" type="noConversion"/>
  </si>
  <si>
    <t>PowerColor 라데온 RX 480 D5 8GB 붉은악마</t>
    <phoneticPr fontId="4" type="noConversion"/>
  </si>
  <si>
    <t>PowerColor</t>
    <phoneticPr fontId="4" type="noConversion"/>
  </si>
  <si>
    <t>GIGABYTE 라데온 RX 480 G1.Gaming D5 8GB</t>
    <phoneticPr fontId="4" type="noConversion"/>
  </si>
  <si>
    <t>XFX 라데온 RX 480 BLACK Edition Super OC D5 8GB</t>
    <phoneticPr fontId="4" type="noConversion"/>
  </si>
  <si>
    <t>ASUS ROG STRIX 라데온 RX 480 O8G GAMING 8GB</t>
    <phoneticPr fontId="4" type="noConversion"/>
  </si>
  <si>
    <t>GIGABYTE 라데온 RX 480 D5 8GB</t>
    <phoneticPr fontId="4" type="noConversion"/>
  </si>
  <si>
    <t>MSI 라데온 RX 480 게이밍 X D5 4GB 트윈프로져6</t>
    <phoneticPr fontId="4" type="noConversion"/>
  </si>
  <si>
    <t>MSI 라데온 RX 480 게이밍 X D5 8GB 트윈프로져6</t>
    <phoneticPr fontId="4" type="noConversion"/>
  </si>
  <si>
    <t>XFX 라데온 RX 480 BLACK Wolf Super OC D5 8GB</t>
    <phoneticPr fontId="4" type="noConversion"/>
  </si>
  <si>
    <t>AMD</t>
    <phoneticPr fontId="4" type="noConversion"/>
  </si>
  <si>
    <t>GIGABYTE 라데온 RX 480 G1.Gaming D5 4GB</t>
    <phoneticPr fontId="4" type="noConversion"/>
  </si>
  <si>
    <t>SAPPHIRE 라데온 RX 480 D5 8GB Dual-X NITRO+</t>
    <phoneticPr fontId="4" type="noConversion"/>
  </si>
  <si>
    <t>XFX 라데온 RX 480 BLACK Wolf OC D5 8GB</t>
    <phoneticPr fontId="4" type="noConversion"/>
  </si>
  <si>
    <t>이엠텍 XENON 지포스 GTX980 Ti Super JETSTREAM D5 6GB</t>
    <phoneticPr fontId="4" type="noConversion"/>
  </si>
  <si>
    <t>갤럭시 GALAX 지포스 GTX980 Ti Hall Of Fame D5 6GB</t>
    <phoneticPr fontId="4" type="noConversion"/>
  </si>
  <si>
    <t>inno3D iChiLL 지포스 GTX980 Ti D5 6GB X3 Ultra</t>
    <phoneticPr fontId="4" type="noConversion"/>
  </si>
  <si>
    <t>ASUS STRIX 지포스 GTX980 Ti DC3 OC D5 6GB GAMING</t>
    <phoneticPr fontId="4" type="noConversion"/>
  </si>
  <si>
    <t>GIGABYTE 지포스 GTX980 Ti Xtreme D5 6GB 워터포스</t>
    <phoneticPr fontId="4" type="noConversion"/>
  </si>
  <si>
    <t>ZOTAC 지포스 GTX980 Ti AMP! Omega Edition D5 6GB</t>
    <phoneticPr fontId="4" type="noConversion"/>
  </si>
  <si>
    <t>ZOTAC 지포스 GTX1070 MINi D5 8GB</t>
    <phoneticPr fontId="4" type="noConversion"/>
  </si>
  <si>
    <t>ZOTAC</t>
    <phoneticPr fontId="4" type="noConversion"/>
  </si>
  <si>
    <t>갤럭시 GALAX 지포스 GTX1070 EXOC 개간지 D5 8GB</t>
    <phoneticPr fontId="4" type="noConversion"/>
  </si>
  <si>
    <t>갤럭시</t>
    <phoneticPr fontId="4" type="noConversion"/>
  </si>
  <si>
    <t>이엠텍</t>
    <phoneticPr fontId="4" type="noConversion"/>
  </si>
  <si>
    <t>MSI 지포스 GTX1070 게이밍 X D5 8GB 트윈프로져6</t>
    <phoneticPr fontId="4" type="noConversion"/>
  </si>
  <si>
    <t>MSI</t>
    <phoneticPr fontId="4" type="noConversion"/>
  </si>
  <si>
    <t>ZOTAC 지포스 GTX1070 AMP! EXTREME D5 8GB</t>
    <phoneticPr fontId="4" type="noConversion"/>
  </si>
  <si>
    <t>ZOTAC 지포스 GTX1070 AMP! EDITION D5 8GB</t>
    <phoneticPr fontId="4" type="noConversion"/>
  </si>
  <si>
    <t>GIGABYTE 지포스 GTX1070 Xtreme D5 8GB</t>
    <phoneticPr fontId="4" type="noConversion"/>
  </si>
  <si>
    <t>GIGABYTE</t>
    <phoneticPr fontId="4" type="noConversion"/>
  </si>
  <si>
    <t>MSI 지포스 GTX1070 아머 OC D5 8GB</t>
    <phoneticPr fontId="4" type="noConversion"/>
  </si>
  <si>
    <t>MSI</t>
    <phoneticPr fontId="4" type="noConversion"/>
  </si>
  <si>
    <t>Colorful 지포스 GTX1070 iGame U-TOP D5 8GB</t>
    <phoneticPr fontId="4" type="noConversion"/>
  </si>
  <si>
    <t>Colorful</t>
    <phoneticPr fontId="4" type="noConversion"/>
  </si>
  <si>
    <t>ASUS ROG STRIX 지포스 GTX1070 O8G GAMING D5 8GB</t>
    <phoneticPr fontId="4" type="noConversion"/>
  </si>
  <si>
    <t>inno3D iChiLL 지포스 GTX1070 D5 8GB X4</t>
    <phoneticPr fontId="4" type="noConversion"/>
  </si>
  <si>
    <t>inno3D</t>
    <phoneticPr fontId="4" type="noConversion"/>
  </si>
  <si>
    <t>Colorful 지포스 GTX1070 iGame X-TOP D5 8GB</t>
    <phoneticPr fontId="4" type="noConversion"/>
  </si>
  <si>
    <t>갤럭시 GALAX 지포스 GTX1070 Hall Of Fame D5 8GB</t>
    <phoneticPr fontId="4" type="noConversion"/>
  </si>
  <si>
    <t>이엠텍 XENON 지포스 GTX1070 JETSTREAM D5 8GB</t>
    <phoneticPr fontId="4" type="noConversion"/>
  </si>
  <si>
    <t>갤럭시 GALAX 지포스 GTX1070 EXOC D5 8GB G美</t>
    <phoneticPr fontId="4" type="noConversion"/>
  </si>
  <si>
    <t>MSI 지포스 GTX1070 게이밍 Z D5 8GB 트윈프로져6</t>
    <phoneticPr fontId="4" type="noConversion"/>
  </si>
  <si>
    <t>MSI</t>
    <phoneticPr fontId="4" type="noConversion"/>
  </si>
  <si>
    <t>GIGABYTE 지포스 GTX1070 UDV D5 8GB 미니미</t>
    <phoneticPr fontId="4" type="noConversion"/>
  </si>
  <si>
    <t>이엠텍 HV 지포스 GTX1070 GAMER Edition D5 8GB</t>
    <phoneticPr fontId="4" type="noConversion"/>
  </si>
  <si>
    <t>GIGABYTE 지포스 GTX1070 UDV D5 8GB 윈드포스</t>
    <phoneticPr fontId="4" type="noConversion"/>
  </si>
  <si>
    <t>MSI 지포스 GTX1070 시호크X D5 8GB</t>
    <phoneticPr fontId="4" type="noConversion"/>
  </si>
  <si>
    <t>MANLI 지포스 GTX1070 Twin Edition D5 8GB</t>
    <phoneticPr fontId="4" type="noConversion"/>
  </si>
  <si>
    <t>NVIDIA</t>
    <phoneticPr fontId="4" type="noConversion"/>
  </si>
  <si>
    <t>MANLI</t>
    <phoneticPr fontId="4" type="noConversion"/>
  </si>
  <si>
    <t>ASUS DUAL 지포스 GTX1070 O8G D5 8GB</t>
    <phoneticPr fontId="4" type="noConversion"/>
  </si>
  <si>
    <t>inno3D 지포스 GTX1070 D5 8GB X2 트윈쿨러</t>
    <phoneticPr fontId="4" type="noConversion"/>
  </si>
  <si>
    <t>inno3D iChiLL 지포스 GTX1070 D5 8GB X3</t>
    <phoneticPr fontId="4" type="noConversion"/>
  </si>
  <si>
    <t>이엠텍</t>
    <phoneticPr fontId="4" type="noConversion"/>
  </si>
  <si>
    <t>MSI 지포스 GTX1080 게이밍 X D5X 8GB 트윈프로져6</t>
    <phoneticPr fontId="4" type="noConversion"/>
  </si>
  <si>
    <t>ZOTAC 지포스 GTX1080 AMP! EXTREME D5X 8GB</t>
    <phoneticPr fontId="4" type="noConversion"/>
  </si>
  <si>
    <t>ZOTAC</t>
    <phoneticPr fontId="4" type="noConversion"/>
  </si>
  <si>
    <t>ASUS ROG STRIX 지포스 GTX1080 A8G GAMING D5X 8GB</t>
    <phoneticPr fontId="4" type="noConversion"/>
  </si>
  <si>
    <t>ZOTAC 지포스 GTX1080 AMP! EDITION D5X 8GB</t>
    <phoneticPr fontId="4" type="noConversion"/>
  </si>
  <si>
    <t>Colorful 지포스 GTX1080 iGame U-TOP D5X 8GB</t>
    <phoneticPr fontId="4" type="noConversion"/>
  </si>
  <si>
    <t>MSI 지포스 GTX1080 아머 OC D5X 8GB</t>
    <phoneticPr fontId="4" type="noConversion"/>
  </si>
  <si>
    <t>MSI</t>
    <phoneticPr fontId="4" type="noConversion"/>
  </si>
  <si>
    <t>갤럭시 GALAX 지포스 GTX1080 EXOC 개간지 D5X 8GB</t>
    <phoneticPr fontId="4" type="noConversion"/>
  </si>
  <si>
    <t>GIGABYTE</t>
    <phoneticPr fontId="4" type="noConversion"/>
  </si>
  <si>
    <t>MANLI 지포스 GTX1080 Twin Edition D5X 8GB</t>
    <phoneticPr fontId="4" type="noConversion"/>
  </si>
  <si>
    <t>갤럭시 GALAX 지포스 GTX1080 EXOC D5X 8GB G美</t>
    <phoneticPr fontId="4" type="noConversion"/>
  </si>
  <si>
    <t>갤럭시</t>
    <phoneticPr fontId="4" type="noConversion"/>
  </si>
  <si>
    <t>갤럭시 GALAX 지포스 GTX1080 Hall Of Fame D5X 8GB</t>
    <phoneticPr fontId="4" type="noConversion"/>
  </si>
  <si>
    <t>GIGABYTE 지포스 GTX1080 G1.Gaming D5X 8GB</t>
    <phoneticPr fontId="4" type="noConversion"/>
  </si>
  <si>
    <t>inno3D iChiLL 지포스 GTX1080 D5X 8GB X3</t>
    <phoneticPr fontId="4" type="noConversion"/>
  </si>
  <si>
    <t>inno3D</t>
    <phoneticPr fontId="4" type="noConversion"/>
  </si>
  <si>
    <t>이엠텍 XENON 지포스 GTX1080 JETSTREAM D5X 8GB</t>
    <phoneticPr fontId="4" type="noConversion"/>
  </si>
  <si>
    <t>inno3D iChiLL 지포스 GTX1080 D5X 8GB X4</t>
    <phoneticPr fontId="4" type="noConversion"/>
  </si>
  <si>
    <t>inno3D 지포스 GTX1080 D5X 8GB X2 트윈쿨러</t>
    <phoneticPr fontId="4" type="noConversion"/>
  </si>
  <si>
    <t>GIGABYTE 지포스 GTX1080 UDV D5X 8GB 윈드포스</t>
    <phoneticPr fontId="4" type="noConversion"/>
  </si>
  <si>
    <t xml:space="preserve">SAPPHIRE 라데온 Pro Duo HBM 8GB </t>
    <phoneticPr fontId="4" type="noConversion"/>
  </si>
  <si>
    <t>GIGABYTE 라데온 R9 FURY X HBM 4GB</t>
    <phoneticPr fontId="4" type="noConversion"/>
  </si>
  <si>
    <t>GIGABYTE</t>
    <phoneticPr fontId="4" type="noConversion"/>
  </si>
  <si>
    <t>FSP HEXA+ 500W</t>
    <phoneticPr fontId="4" type="noConversion"/>
  </si>
  <si>
    <t>FSP</t>
    <phoneticPr fontId="4" type="noConversion"/>
  </si>
  <si>
    <t>500W</t>
    <phoneticPr fontId="4" type="noConversion"/>
  </si>
  <si>
    <t>FSP Hydro 500W 80PLUS BRONZE 230V EU</t>
    <phoneticPr fontId="4" type="noConversion"/>
  </si>
  <si>
    <t>FSP HYPER K 500W 80PLUS Standard 230V EU</t>
    <phoneticPr fontId="4" type="noConversion"/>
  </si>
  <si>
    <t>마이크로닉스 ZERO POWER 500W</t>
    <phoneticPr fontId="4" type="noConversion"/>
  </si>
  <si>
    <t>마이크로닉스 CASLON 500W After Cooling 87+ FDB</t>
    <phoneticPr fontId="4" type="noConversion"/>
  </si>
  <si>
    <t>마이크로닉스 New Performance 500W 80Plus Bronze 프리볼트</t>
    <phoneticPr fontId="4" type="noConversion"/>
  </si>
  <si>
    <t>시소닉 HYDANCE HY-500CT Active PFC 80PLUS BRONZE</t>
    <phoneticPr fontId="4" type="noConversion"/>
  </si>
  <si>
    <t>시소닉 P-520 Fanless 80PLUS PLATINUM (2세대)</t>
    <phoneticPr fontId="4" type="noConversion"/>
  </si>
  <si>
    <t>Enermax NAXN Adv ETL650AWT</t>
    <phoneticPr fontId="4" type="noConversion"/>
  </si>
  <si>
    <t>Enermax MAXPRO EMP600AGT</t>
    <phoneticPr fontId="4" type="noConversion"/>
  </si>
  <si>
    <t>FSP HYPER K 600W 80PLUS Standard 230V EU</t>
    <phoneticPr fontId="4" type="noConversion"/>
  </si>
  <si>
    <t>FSP Hydro 600W 80PLUS BRONZE 230V EU</t>
    <phoneticPr fontId="4" type="noConversion"/>
  </si>
  <si>
    <t>FSP HYPER M 600W Modular 85+</t>
    <phoneticPr fontId="4" type="noConversion"/>
  </si>
  <si>
    <t>FSP Hydro G 650W</t>
    <phoneticPr fontId="4" type="noConversion"/>
  </si>
  <si>
    <t>SuperFlower SF-650F14MT LEADEX SILVER (WHITE)</t>
    <phoneticPr fontId="4" type="noConversion"/>
  </si>
  <si>
    <t>SuperFlower SF-650F14MT LEADEX SILVER</t>
    <phoneticPr fontId="4" type="noConversion"/>
  </si>
  <si>
    <t>SuperFlower SF-600R12A NOVA</t>
    <phoneticPr fontId="4" type="noConversion"/>
  </si>
  <si>
    <t>마이크로닉스 Classic II 600W +12V Single Rail 85+</t>
    <phoneticPr fontId="4" type="noConversion"/>
  </si>
  <si>
    <t>마이크로닉스 Cyclone II 600W +12V Single Rail 83+</t>
    <phoneticPr fontId="4" type="noConversion"/>
  </si>
  <si>
    <t>마이크로닉스 CASLON 600W After Cooling 87+ FDB</t>
    <phoneticPr fontId="4" type="noConversion"/>
  </si>
  <si>
    <t>마이크로닉스 ZERO POWER 600W</t>
    <phoneticPr fontId="4" type="noConversion"/>
  </si>
  <si>
    <t>시소닉 HYDANCE HY-600CT Active PFC 80PLUS BRONZE</t>
    <phoneticPr fontId="4" type="noConversion"/>
  </si>
  <si>
    <t>시소닉 X-650 80PLUS GOLD (3세대)</t>
    <phoneticPr fontId="4" type="noConversion"/>
  </si>
  <si>
    <t>시소닉 P-660 80PLUS PLATINUM (2세대)</t>
    <phoneticPr fontId="4" type="noConversion"/>
  </si>
  <si>
    <t>&lt;800~899W&gt;</t>
    <phoneticPr fontId="4" type="noConversion"/>
  </si>
  <si>
    <t>Enermax TRIATHLOR FC ETA700AWT-M</t>
    <phoneticPr fontId="4" type="noConversion"/>
  </si>
  <si>
    <t>FSP HYPER M 700W Modular 85+</t>
    <phoneticPr fontId="4" type="noConversion"/>
  </si>
  <si>
    <t>FSP FSP700-50HPN 85+</t>
    <phoneticPr fontId="4" type="noConversion"/>
  </si>
  <si>
    <t>FSP Hydro G 750W</t>
    <phoneticPr fontId="4" type="noConversion"/>
  </si>
  <si>
    <t>마이크로닉스 CASLON 700W After Cooling 87+ FDB</t>
    <phoneticPr fontId="4" type="noConversion"/>
  </si>
  <si>
    <t>마이크로닉스 Classic II 700W +12V Single Rail 85+</t>
    <phoneticPr fontId="4" type="noConversion"/>
  </si>
  <si>
    <t>FSP Hydro G 850W</t>
    <phoneticPr fontId="4" type="noConversion"/>
  </si>
  <si>
    <t>시소닉 X-1250 80PLUS GOLD (2세대)</t>
    <phoneticPr fontId="4" type="noConversion"/>
  </si>
  <si>
    <t>시소닉 P-1200 80PLUS PLATINUM</t>
    <phoneticPr fontId="4" type="noConversion"/>
  </si>
  <si>
    <t>XFX PRO 1250W GOLD 80 PLUS</t>
    <phoneticPr fontId="4" type="noConversion"/>
  </si>
  <si>
    <t>XFX PRO 1000W PLATINUM 80 PLUS</t>
    <phoneticPr fontId="4" type="noConversion"/>
  </si>
  <si>
    <t>XFX PRO 1050W GOLD 80 PLUS</t>
    <phoneticPr fontId="4" type="noConversion"/>
  </si>
  <si>
    <t>CORSAIR RM1000x 80PLUS GOLD</t>
    <phoneticPr fontId="4" type="noConversion"/>
  </si>
  <si>
    <t>CORSAIR RM1000i 80PLUS GOLD</t>
    <phoneticPr fontId="4" type="noConversion"/>
  </si>
  <si>
    <t>싱글</t>
    <phoneticPr fontId="4" type="noConversion"/>
  </si>
  <si>
    <t>싱글/다중</t>
    <phoneticPr fontId="4" type="noConversion"/>
  </si>
  <si>
    <t>SuperFlower SF-1600F14HT LEADEX TITANIUM</t>
    <phoneticPr fontId="4" type="noConversion"/>
  </si>
  <si>
    <t>Titanium</t>
    <phoneticPr fontId="4" type="noConversion"/>
  </si>
  <si>
    <t>&lt;미니 ITX(리틀밸리)&gt;</t>
    <phoneticPr fontId="4" type="noConversion"/>
  </si>
  <si>
    <t>&lt;미니타워(LP)&gt;</t>
    <phoneticPr fontId="4" type="noConversion"/>
  </si>
  <si>
    <t>&lt;- xATX/mITX</t>
    <phoneticPr fontId="4" type="noConversion"/>
  </si>
  <si>
    <t>GeForce GTX 1050 Ti</t>
    <phoneticPr fontId="4" type="noConversion"/>
  </si>
  <si>
    <t>GeForce GTX 1050</t>
    <phoneticPr fontId="4" type="noConversion"/>
  </si>
  <si>
    <t>GP107</t>
    <phoneticPr fontId="4" type="noConversion"/>
  </si>
  <si>
    <t>3RSYS L520</t>
    <phoneticPr fontId="4" type="noConversion"/>
  </si>
  <si>
    <t>3RSYS J210 해머</t>
    <phoneticPr fontId="4" type="noConversion"/>
  </si>
  <si>
    <t>3RSYS</t>
    <phoneticPr fontId="4" type="noConversion"/>
  </si>
  <si>
    <t>3RSYS R2</t>
    <phoneticPr fontId="4" type="noConversion"/>
  </si>
  <si>
    <t>3RSYS J210 해머 풀 강화아크릴 윈도우</t>
    <phoneticPr fontId="4" type="noConversion"/>
  </si>
  <si>
    <t>3RSYS</t>
    <phoneticPr fontId="4" type="noConversion"/>
  </si>
  <si>
    <t>3RSYS L920 Black &amp; White -White Chassis-</t>
    <phoneticPr fontId="4" type="noConversion"/>
  </si>
  <si>
    <t>3RSYS L1000 강화유리</t>
    <phoneticPr fontId="4" type="noConversion"/>
  </si>
  <si>
    <t>3RSYS</t>
    <phoneticPr fontId="4" type="noConversion"/>
  </si>
  <si>
    <t>3RSYS L900 USB3.0</t>
    <phoneticPr fontId="4" type="noConversion"/>
  </si>
  <si>
    <t>3RSYS L900 USB3.0 화이트</t>
    <phoneticPr fontId="4" type="noConversion"/>
  </si>
  <si>
    <t>깊이</t>
    <phoneticPr fontId="4" type="noConversion"/>
  </si>
  <si>
    <t>3RSYS L910 화이트 풀 윈도우 튜닝LED바</t>
    <phoneticPr fontId="4" type="noConversion"/>
  </si>
  <si>
    <t>3RSYS L700 이클립스</t>
    <phoneticPr fontId="4" type="noConversion"/>
  </si>
  <si>
    <t>3RSYS E-2 USB 3.0</t>
    <phoneticPr fontId="4" type="noConversion"/>
  </si>
  <si>
    <t>3RSYS L300 미르 USB3.0</t>
    <phoneticPr fontId="4" type="noConversion"/>
  </si>
  <si>
    <t>3RSYS J200 USB3.0</t>
    <phoneticPr fontId="4" type="noConversion"/>
  </si>
  <si>
    <t>BRAVOTEC RM2 Silver</t>
    <phoneticPr fontId="4" type="noConversion"/>
  </si>
  <si>
    <t>BRAVOTEC</t>
    <phoneticPr fontId="4" type="noConversion"/>
  </si>
  <si>
    <t>BRAVOTEC 트레저 530S 블랙</t>
    <phoneticPr fontId="4" type="noConversion"/>
  </si>
  <si>
    <t>BRAVOTEC W2 Black 강화유리</t>
    <phoneticPr fontId="4" type="noConversion"/>
  </si>
  <si>
    <t>BRAVOTEC UMX4 Silver 강화유리</t>
    <phoneticPr fontId="4" type="noConversion"/>
  </si>
  <si>
    <t>BRAVOTEC UMX4 Black 강화유리</t>
    <phoneticPr fontId="4" type="noConversion"/>
  </si>
  <si>
    <t>BRAVOTEC QT01 USB 3.0</t>
    <phoneticPr fontId="4" type="noConversion"/>
  </si>
  <si>
    <t>BRAVOTEC W2 Silver 강화유리</t>
    <phoneticPr fontId="4" type="noConversion"/>
  </si>
  <si>
    <t>BRAVOTEC UMX2 Black USB 3.0</t>
    <phoneticPr fontId="4" type="noConversion"/>
  </si>
  <si>
    <t>CORSAIR CARBIDE SERIES SPEC-ALPHA Black &amp; Yellow</t>
    <phoneticPr fontId="4" type="noConversion"/>
  </si>
  <si>
    <t>CORSAIR CARBIDE SERIES 100R Silent Edition</t>
    <phoneticPr fontId="4" type="noConversion"/>
  </si>
  <si>
    <t>CORSAIR CARBIDE SERIES QUIET 400Q</t>
    <phoneticPr fontId="4" type="noConversion"/>
  </si>
  <si>
    <t>CORSAIR CARBIDE SERIES CLEAR 400C White</t>
    <phoneticPr fontId="4" type="noConversion"/>
  </si>
  <si>
    <t>CORSAIR CARBIDE SERIES CLEAR 400C</t>
    <phoneticPr fontId="4" type="noConversion"/>
  </si>
  <si>
    <t>CORSAIR OBSIDIAN 450D</t>
    <phoneticPr fontId="4" type="noConversion"/>
  </si>
  <si>
    <t>CORSAIR CARBIDE SERIES AIR 540 White</t>
    <phoneticPr fontId="4" type="noConversion"/>
  </si>
  <si>
    <t>CORSAIR CARBIDE SERIES AIR 540 Silver</t>
    <phoneticPr fontId="4" type="noConversion"/>
  </si>
  <si>
    <t>CORSAIR CARBIDE SERIES AIR 540</t>
    <phoneticPr fontId="4" type="noConversion"/>
  </si>
  <si>
    <t>CORSAIR CARBIDE SERIES QUIET 600Q</t>
    <phoneticPr fontId="4" type="noConversion"/>
  </si>
  <si>
    <t>리안리 PC-7N 블랙</t>
    <phoneticPr fontId="4" type="noConversion"/>
  </si>
  <si>
    <t xml:space="preserve">리안리 PC-K69X 올블랙 </t>
    <phoneticPr fontId="4" type="noConversion"/>
  </si>
  <si>
    <t>리안리 PC-A56A 실버</t>
    <phoneticPr fontId="4" type="noConversion"/>
  </si>
  <si>
    <t>O</t>
    <phoneticPr fontId="4" type="noConversion"/>
  </si>
  <si>
    <t>리안리 PC-O8</t>
    <phoneticPr fontId="4" type="noConversion"/>
  </si>
  <si>
    <t>리안리 PC-T80X 올블랙</t>
    <phoneticPr fontId="4" type="noConversion"/>
  </si>
  <si>
    <t>리안리 PC-O7S 올블랙</t>
    <phoneticPr fontId="4" type="noConversion"/>
  </si>
  <si>
    <t>리안리 PC-A51WX 올블랙</t>
    <phoneticPr fontId="4" type="noConversion"/>
  </si>
  <si>
    <t>리안리 Cowry PC-U6</t>
    <phoneticPr fontId="4" type="noConversion"/>
  </si>
  <si>
    <t>리안리 PC-A55A 실버</t>
    <phoneticPr fontId="4" type="noConversion"/>
  </si>
  <si>
    <t>리안리 PC-8EA 실버</t>
    <phoneticPr fontId="4" type="noConversion"/>
  </si>
  <si>
    <t>ABKO NCORE 사파이어 3.0 풀아크릴 &amp; 강화유리</t>
    <phoneticPr fontId="4" type="noConversion"/>
  </si>
  <si>
    <t>ABKO NCORE 볼트론 USB 3.0</t>
    <phoneticPr fontId="4" type="noConversion"/>
  </si>
  <si>
    <t>ABKO NCORE 레인보우 S 튜닝 LED 컨트롤 블랙</t>
    <phoneticPr fontId="4" type="noConversion"/>
  </si>
  <si>
    <t>ABKO NCORE G200 타노스 USB3.0</t>
    <phoneticPr fontId="4" type="noConversion"/>
  </si>
  <si>
    <t>ABKO NCORE 넘버원</t>
    <phoneticPr fontId="4" type="noConversion"/>
  </si>
  <si>
    <t>ABKO NCORE 오로라 RGB 튜닝 LED 강화유리</t>
    <phoneticPr fontId="4" type="noConversion"/>
  </si>
  <si>
    <t>O</t>
    <phoneticPr fontId="4" type="noConversion"/>
  </si>
  <si>
    <t>ABKO NCORE 팝</t>
    <phoneticPr fontId="4" type="noConversion"/>
  </si>
  <si>
    <t>ABKO</t>
    <phoneticPr fontId="4" type="noConversion"/>
  </si>
  <si>
    <t>ABKO SUITMASTER 501S RGB 컨트롤 블랙</t>
    <phoneticPr fontId="4" type="noConversion"/>
  </si>
  <si>
    <t>ABKO</t>
    <phoneticPr fontId="4" type="noConversion"/>
  </si>
  <si>
    <t>ABKO NCORE 이카루스 USB3.0 블랙</t>
    <phoneticPr fontId="4" type="noConversion"/>
  </si>
  <si>
    <t>ABKO NCORE 벤투스 USB3.0</t>
    <phoneticPr fontId="4" type="noConversion"/>
  </si>
  <si>
    <t>ABKO Alu-400i USB 3.0</t>
    <phoneticPr fontId="4" type="noConversion"/>
  </si>
  <si>
    <t>3RSYS TRUE100 쿨엔조이 스페셜 에디션 USB3.0 레드</t>
    <phoneticPr fontId="4" type="noConversion"/>
  </si>
  <si>
    <t>3RSYS</t>
    <phoneticPr fontId="4" type="noConversion"/>
  </si>
  <si>
    <t>BRAVOTEC C2 Silver</t>
    <phoneticPr fontId="4" type="noConversion"/>
  </si>
  <si>
    <t>BRAVOTEC VR1 Silver 강화유리</t>
    <phoneticPr fontId="4" type="noConversion"/>
  </si>
  <si>
    <t>BRAVOTEC UMX1 PLUS Silver 강화유리</t>
    <phoneticPr fontId="4" type="noConversion"/>
  </si>
  <si>
    <t>BRAVOTEC</t>
    <phoneticPr fontId="4" type="noConversion"/>
  </si>
  <si>
    <t>CORSAIR GRAPHITE 380T BLACK</t>
    <phoneticPr fontId="4" type="noConversion"/>
  </si>
  <si>
    <t>CORSAIR</t>
    <phoneticPr fontId="4" type="noConversion"/>
  </si>
  <si>
    <t>리안리 PC-Q27B 블랙</t>
    <phoneticPr fontId="4" type="noConversion"/>
  </si>
  <si>
    <t>리안리 PC-Q33B 블랙</t>
    <phoneticPr fontId="4" type="noConversion"/>
  </si>
  <si>
    <t>리안리 PC-Q19B 블랙</t>
    <phoneticPr fontId="4" type="noConversion"/>
  </si>
  <si>
    <t>리안리 PC-Q36WRX 블랙&amp;레드</t>
    <phoneticPr fontId="4" type="noConversion"/>
  </si>
  <si>
    <t>리안리 PC-TU100 블랙</t>
    <phoneticPr fontId="4" type="noConversion"/>
  </si>
  <si>
    <t>리안리</t>
    <phoneticPr fontId="4" type="noConversion"/>
  </si>
  <si>
    <t>리안리 PC-A41B 블랙</t>
    <phoneticPr fontId="4" type="noConversion"/>
  </si>
  <si>
    <t>리안리</t>
    <phoneticPr fontId="4" type="noConversion"/>
  </si>
  <si>
    <t>리안리 PC-V358A 실버</t>
    <phoneticPr fontId="4" type="noConversion"/>
  </si>
  <si>
    <t>리안리 PC-V359WX 올블랙</t>
    <phoneticPr fontId="4" type="noConversion"/>
  </si>
  <si>
    <t>리안리 Computer Desk DK-03X</t>
    <phoneticPr fontId="4" type="noConversion"/>
  </si>
  <si>
    <t>4/2</t>
    <phoneticPr fontId="4" type="noConversion"/>
  </si>
  <si>
    <t>리안리 PC-V2130B 블랙</t>
    <phoneticPr fontId="4" type="noConversion"/>
  </si>
  <si>
    <t>리안리 PC-D666WRX 레드&amp;블랙 투톤</t>
    <phoneticPr fontId="4" type="noConversion"/>
  </si>
  <si>
    <t>리안리 PC-V1000LWX 올블랙</t>
    <phoneticPr fontId="4" type="noConversion"/>
  </si>
  <si>
    <t>리안리 PC-D600WA 실버</t>
    <phoneticPr fontId="4" type="noConversion"/>
  </si>
  <si>
    <t>리안리 PC-A79B 블랙</t>
    <phoneticPr fontId="4" type="noConversion"/>
  </si>
  <si>
    <t>리안리 PC-X2000FN</t>
    <phoneticPr fontId="4" type="noConversion"/>
  </si>
  <si>
    <t xml:space="preserve">리안리 PC-D8000 블랙 </t>
    <phoneticPr fontId="4" type="noConversion"/>
  </si>
  <si>
    <t>리안리 PC-A76X 올블랙</t>
    <phoneticPr fontId="4" type="noConversion"/>
  </si>
  <si>
    <t>CORSAIR OBSIDIAN 750D</t>
    <phoneticPr fontId="4" type="noConversion"/>
  </si>
  <si>
    <t>CORSAIR OBSIDIAN 900D</t>
    <phoneticPr fontId="4" type="noConversion"/>
  </si>
  <si>
    <t>CORSAIR CARBIDE SERIES CLEAR 600C</t>
    <phoneticPr fontId="4" type="noConversion"/>
  </si>
  <si>
    <t>CORSAIR OBSIDIAN 750D Airflow</t>
    <phoneticPr fontId="4" type="noConversion"/>
  </si>
  <si>
    <t>CORSAIR</t>
    <phoneticPr fontId="4" type="noConversion"/>
  </si>
  <si>
    <t>CORSAIR GRAPHITE SERIES 780T BLACK</t>
    <phoneticPr fontId="4" type="noConversion"/>
  </si>
  <si>
    <t>CORSAIR CARBIDE SERIES 88R</t>
    <phoneticPr fontId="4" type="noConversion"/>
  </si>
  <si>
    <t>CORSAIR OBSIDIAN 250D</t>
    <phoneticPr fontId="4" type="noConversion"/>
  </si>
  <si>
    <t>CORSAIR OBSIDIAN 350D</t>
    <phoneticPr fontId="4" type="noConversion"/>
  </si>
  <si>
    <t>CORSAIR AIR 240 Black</t>
    <phoneticPr fontId="4" type="noConversion"/>
  </si>
  <si>
    <t>3RSYS V300</t>
    <phoneticPr fontId="4" type="noConversion"/>
  </si>
  <si>
    <t>3RSYS</t>
    <phoneticPr fontId="4" type="noConversion"/>
  </si>
  <si>
    <t>BRAVOTEC 스텔스 TX 블랙 파노라마 윈도우</t>
    <phoneticPr fontId="4" type="noConversion"/>
  </si>
  <si>
    <t>BRAVOTEC 스텔스 EX270 파노라마 윈도우 블랙</t>
    <phoneticPr fontId="4" type="noConversion"/>
  </si>
  <si>
    <t>BRAVOTEC 스텔스 FX470 파노라마 윈도우 블랙</t>
    <phoneticPr fontId="4" type="noConversion"/>
  </si>
  <si>
    <t>BRAVOTEC 트레저 X6 630T 타이탄 글래스 블랙</t>
    <phoneticPr fontId="4" type="noConversion"/>
  </si>
  <si>
    <t>BRAVOTEC 스텔스 DX 블랙 파노라마 윈도우</t>
    <phoneticPr fontId="4" type="noConversion"/>
  </si>
  <si>
    <t>BRAVOTEC 디파이 B40 BLACK</t>
    <phoneticPr fontId="4" type="noConversion"/>
  </si>
  <si>
    <t>BRAVOTEC 디파이 B45 블랙 화이트</t>
    <phoneticPr fontId="4" type="noConversion"/>
  </si>
  <si>
    <t>BRAVOTEC 디파이 R50 Black</t>
    <phoneticPr fontId="4" type="noConversion"/>
  </si>
  <si>
    <t>BRAVOTEC U3 Black USB 3.0</t>
    <phoneticPr fontId="4" type="noConversion"/>
  </si>
  <si>
    <t>BRAVOTEC UMX3 Black 강화유리</t>
    <phoneticPr fontId="4" type="noConversion"/>
  </si>
  <si>
    <t>BRAVOTEC RM3 Black 강화유리</t>
    <phoneticPr fontId="4" type="noConversion"/>
  </si>
  <si>
    <t>3RSYS T200 발키리 NT PWM</t>
    <phoneticPr fontId="4" type="noConversion"/>
  </si>
  <si>
    <t>3RSYS L5000</t>
    <phoneticPr fontId="4" type="noConversion"/>
  </si>
  <si>
    <t>3RSYS L400</t>
    <phoneticPr fontId="4" type="noConversion"/>
  </si>
  <si>
    <t>3RSYS</t>
    <phoneticPr fontId="4" type="noConversion"/>
  </si>
  <si>
    <t>3RSYS R-BOX 300 USB3.0</t>
    <phoneticPr fontId="4" type="noConversion"/>
  </si>
  <si>
    <t>3RSYS R380</t>
    <phoneticPr fontId="4" type="noConversion"/>
  </si>
  <si>
    <t>3RSYS E310 USB3.0 블랙</t>
    <phoneticPr fontId="4" type="noConversion"/>
  </si>
  <si>
    <t>3RSYS R-BOX 400</t>
    <phoneticPr fontId="4" type="noConversion"/>
  </si>
  <si>
    <t>3RSYS E340</t>
    <phoneticPr fontId="4" type="noConversion"/>
  </si>
  <si>
    <t>3RSYS TRUE250 USB3.0 Black</t>
    <phoneticPr fontId="4" type="noConversion"/>
  </si>
  <si>
    <t>3RSYS TRUE200 USB3.0 Black</t>
    <phoneticPr fontId="4" type="noConversion"/>
  </si>
  <si>
    <t>ABKO NCORE 알리</t>
    <phoneticPr fontId="4" type="noConversion"/>
  </si>
  <si>
    <t>ABKO</t>
    <phoneticPr fontId="4" type="noConversion"/>
  </si>
  <si>
    <t>ABKO NCORE NBOX S1</t>
    <phoneticPr fontId="4" type="noConversion"/>
  </si>
  <si>
    <t>ABKO NCORE 알리 USB3.0</t>
    <phoneticPr fontId="4" type="noConversion"/>
  </si>
  <si>
    <t>ABKO NCORE 간츠 USB3.0</t>
    <phoneticPr fontId="4" type="noConversion"/>
  </si>
  <si>
    <t>ABKO</t>
    <phoneticPr fontId="4" type="noConversion"/>
  </si>
  <si>
    <t>ABKO NCORE SC260 자네트 3.0 블랙</t>
    <phoneticPr fontId="4" type="noConversion"/>
  </si>
  <si>
    <t>ABKO NCORE NBOX 탱고 USB3.0</t>
    <phoneticPr fontId="4" type="noConversion"/>
  </si>
  <si>
    <t>ABKO NCORE 골리앗 USB3.0</t>
    <phoneticPr fontId="4" type="noConversion"/>
  </si>
  <si>
    <t>ABKO NCORE 마운틴 AM100 USB3.0 강화유리</t>
    <phoneticPr fontId="4" type="noConversion"/>
  </si>
  <si>
    <t>ABKO NCORE 프리미어 USB3.0</t>
    <phoneticPr fontId="4" type="noConversion"/>
  </si>
  <si>
    <t>ABKO NCORE 폴로 USB3.0</t>
    <phoneticPr fontId="4" type="noConversion"/>
  </si>
  <si>
    <t>ABKO</t>
    <phoneticPr fontId="4" type="noConversion"/>
  </si>
  <si>
    <t>i-rocks KR-6220 PLUS</t>
    <phoneticPr fontId="4" type="noConversion"/>
  </si>
  <si>
    <t>i-rocks IRK62EA LED 이중 사출키캡</t>
    <phoneticPr fontId="4" type="noConversion"/>
  </si>
  <si>
    <t>i-rocks K62E ILLUMINATED</t>
    <phoneticPr fontId="4" type="noConversion"/>
  </si>
  <si>
    <t>텐키레스</t>
    <phoneticPr fontId="4" type="noConversion"/>
  </si>
  <si>
    <t>색상</t>
    <phoneticPr fontId="4" type="noConversion"/>
  </si>
  <si>
    <t>흑</t>
    <phoneticPr fontId="4" type="noConversion"/>
  </si>
  <si>
    <t>무선방식</t>
    <phoneticPr fontId="4" type="noConversion"/>
  </si>
  <si>
    <t>무게</t>
    <phoneticPr fontId="4" type="noConversion"/>
  </si>
  <si>
    <t>흑/백</t>
    <phoneticPr fontId="4" type="noConversion"/>
  </si>
  <si>
    <t>녹</t>
    <phoneticPr fontId="4" type="noConversion"/>
  </si>
  <si>
    <t>i-rocks KR-6170 X-Slim</t>
    <phoneticPr fontId="4" type="noConversion"/>
  </si>
  <si>
    <t>i-rocks IRK25RP</t>
    <phoneticPr fontId="4" type="noConversion"/>
  </si>
  <si>
    <t>i-rocks IRK01RP</t>
    <phoneticPr fontId="4" type="noConversion"/>
  </si>
  <si>
    <t>흑/백/은</t>
    <phoneticPr fontId="4" type="noConversion"/>
  </si>
  <si>
    <t>USB동글</t>
    <phoneticPr fontId="4" type="noConversion"/>
  </si>
  <si>
    <t>i-rocks K10 USB GAMING KEYBOARD</t>
    <phoneticPr fontId="4" type="noConversion"/>
  </si>
  <si>
    <t>i-rocks KR-6260E LED</t>
    <phoneticPr fontId="4" type="noConversion"/>
  </si>
  <si>
    <t>PBT</t>
    <phoneticPr fontId="4" type="noConversion"/>
  </si>
  <si>
    <t>Microsoft Sculpt 인체공학 데스크탑</t>
    <phoneticPr fontId="4" type="noConversion"/>
  </si>
  <si>
    <t>Microsoft 무선 데스크탑 900</t>
    <phoneticPr fontId="4" type="noConversion"/>
  </si>
  <si>
    <t>Microsoft Sculpt Comfort 데스크탑</t>
    <phoneticPr fontId="4" type="noConversion"/>
  </si>
  <si>
    <t>Microsoft</t>
    <phoneticPr fontId="4" type="noConversion"/>
  </si>
  <si>
    <t>Microsoft 유선 데스크탑 600</t>
    <phoneticPr fontId="4" type="noConversion"/>
  </si>
  <si>
    <t>Microsoft Comfort Curve 키보드 3000</t>
    <phoneticPr fontId="4" type="noConversion"/>
  </si>
  <si>
    <t>Microsoft 무선 데스크탑 5050</t>
    <phoneticPr fontId="4" type="noConversion"/>
  </si>
  <si>
    <t>흑/백/청/핑크</t>
    <phoneticPr fontId="4" type="noConversion"/>
  </si>
  <si>
    <t>제닉스 STORMX TITAN SE</t>
    <phoneticPr fontId="4" type="noConversion"/>
  </si>
  <si>
    <t>흑/백/청/회/금</t>
    <phoneticPr fontId="4" type="noConversion"/>
  </si>
  <si>
    <t>백/청/하늘/녹/황/적/보라</t>
    <phoneticPr fontId="4" type="noConversion"/>
  </si>
  <si>
    <t>청/적/핑크</t>
    <phoneticPr fontId="4" type="noConversion"/>
  </si>
  <si>
    <t>이중사출</t>
    <phoneticPr fontId="4" type="noConversion"/>
  </si>
  <si>
    <t>청/하늘/녹</t>
    <phoneticPr fontId="4" type="noConversion"/>
  </si>
  <si>
    <t>백</t>
    <phoneticPr fontId="4" type="noConversion"/>
  </si>
  <si>
    <t>청/적/핑크</t>
    <phoneticPr fontId="4" type="noConversion"/>
  </si>
  <si>
    <t>스카이디지탈 NKEYBOARD NKEY-P5 레인보우 LED</t>
    <phoneticPr fontId="4" type="noConversion"/>
  </si>
  <si>
    <t>스카이디지탈 NKEYBOARD NKEY-P1 게이밍 방수 키보드</t>
    <phoneticPr fontId="4" type="noConversion"/>
  </si>
  <si>
    <t>스카이디지탈 NKEYBOARD NKEY-P2 레인보우 LED</t>
    <phoneticPr fontId="4" type="noConversion"/>
  </si>
  <si>
    <t>스카이디지탈</t>
    <phoneticPr fontId="4" type="noConversion"/>
  </si>
  <si>
    <t>RGB(16가지)</t>
    <phoneticPr fontId="4" type="noConversion"/>
  </si>
  <si>
    <t>비고1[키캡]</t>
    <phoneticPr fontId="4" type="noConversion"/>
  </si>
  <si>
    <t>비고2[기타]</t>
    <phoneticPr fontId="4" type="noConversion"/>
  </si>
  <si>
    <t>비고3[매크로]</t>
    <phoneticPr fontId="4" type="noConversion"/>
  </si>
  <si>
    <t>완전방수</t>
    <phoneticPr fontId="4" type="noConversion"/>
  </si>
  <si>
    <t>RGB(10가지)</t>
    <phoneticPr fontId="4" type="noConversion"/>
  </si>
  <si>
    <t>제닉스</t>
    <phoneticPr fontId="4" type="noConversion"/>
  </si>
  <si>
    <t>스카이디지탈 NKEYBOARD NKEY-2</t>
    <phoneticPr fontId="4" type="noConversion"/>
  </si>
  <si>
    <t>스카이디지탈 NKEYBOARD W570 무선키보드마우스</t>
    <phoneticPr fontId="4" type="noConversion"/>
  </si>
  <si>
    <t>흑/백</t>
    <phoneticPr fontId="4" type="noConversion"/>
  </si>
  <si>
    <t>스카이디지탈</t>
    <phoneticPr fontId="4" type="noConversion"/>
  </si>
  <si>
    <t>스카이디지탈 NKEYBOARD NKEY-D2 더블샷 레인보우 LED</t>
    <phoneticPr fontId="4" type="noConversion"/>
  </si>
  <si>
    <t>금-백[키캡]</t>
    <phoneticPr fontId="4" type="noConversion"/>
  </si>
  <si>
    <t>백/청/하늘/녹/황/적/보라</t>
    <phoneticPr fontId="4" type="noConversion"/>
  </si>
  <si>
    <t>스카이디지탈 NKEYBOARD NKEY-U10</t>
    <phoneticPr fontId="4" type="noConversion"/>
  </si>
  <si>
    <t>흑/갈</t>
    <phoneticPr fontId="4" type="noConversion"/>
  </si>
  <si>
    <t>스카이디지탈 NKEYBOARD NKEY-1</t>
    <phoneticPr fontId="4" type="noConversion"/>
  </si>
  <si>
    <t>PS/2</t>
    <phoneticPr fontId="4" type="noConversion"/>
  </si>
  <si>
    <t>O</t>
    <phoneticPr fontId="4" type="noConversion"/>
  </si>
  <si>
    <t>스카이디지탈 NKEYBOARD NKEY-D4 더블샷 레인보우 LED</t>
    <phoneticPr fontId="4" type="noConversion"/>
  </si>
  <si>
    <t>스카이디지탈 NKEYBOARD NKEY-매크로</t>
    <phoneticPr fontId="4" type="noConversion"/>
  </si>
  <si>
    <t>회/은</t>
    <phoneticPr fontId="4" type="noConversion"/>
  </si>
  <si>
    <t>H/W</t>
    <phoneticPr fontId="4" type="noConversion"/>
  </si>
  <si>
    <t>이중사출</t>
    <phoneticPr fontId="4" type="noConversion"/>
  </si>
  <si>
    <t>스카이디지탈 NKEYBOARD NKEY-L3 LED 게이밍</t>
    <phoneticPr fontId="4" type="noConversion"/>
  </si>
  <si>
    <t>금/에메랄드</t>
    <phoneticPr fontId="4" type="noConversion"/>
  </si>
  <si>
    <t>RGB(20가지)</t>
    <phoneticPr fontId="4" type="noConversion"/>
  </si>
  <si>
    <t>스카이디지탈 NKEYBOARD NKEY-L2</t>
    <phoneticPr fontId="4" type="noConversion"/>
  </si>
  <si>
    <t>녹/황/적</t>
    <phoneticPr fontId="4" type="noConversion"/>
  </si>
  <si>
    <t>로지텍 MK120 New 콤보</t>
    <phoneticPr fontId="4" type="noConversion"/>
  </si>
  <si>
    <t>로지텍 MK235 무선 콤보</t>
    <phoneticPr fontId="4" type="noConversion"/>
  </si>
  <si>
    <t>로지텍</t>
    <phoneticPr fontId="4" type="noConversion"/>
  </si>
  <si>
    <t>로지텍 K120 New 키보드</t>
    <phoneticPr fontId="4" type="noConversion"/>
  </si>
  <si>
    <t>로지텍 K270 무선 키보드</t>
    <phoneticPr fontId="4" type="noConversion"/>
  </si>
  <si>
    <t>로지텍 K100 New 클래식 키보드</t>
    <phoneticPr fontId="4" type="noConversion"/>
  </si>
  <si>
    <t>로지텍 MK520r 무선 콤보</t>
    <phoneticPr fontId="4" type="noConversion"/>
  </si>
  <si>
    <t>로지텍 K740 illuminated 키보드</t>
    <phoneticPr fontId="4" type="noConversion"/>
  </si>
  <si>
    <t>한성컴퓨터 GTune CHF7 OfficeMaster 45G</t>
    <phoneticPr fontId="4" type="noConversion"/>
  </si>
  <si>
    <t>POM</t>
    <phoneticPr fontId="4" type="noConversion"/>
  </si>
  <si>
    <t>S/W</t>
    <phoneticPr fontId="4" type="noConversion"/>
  </si>
  <si>
    <t>한성컴퓨터 GTune CHL8 HappyTypist 50g</t>
    <phoneticPr fontId="4" type="noConversion"/>
  </si>
  <si>
    <t>PBT</t>
    <phoneticPr fontId="4" type="noConversion"/>
  </si>
  <si>
    <t>한성컴퓨터 GTune CHF4 SnowWhite XRGB 50G</t>
    <phoneticPr fontId="4" type="noConversion"/>
  </si>
  <si>
    <t>한성컴퓨터 GTune MKF14S XRGB Color Edition</t>
    <phoneticPr fontId="4" type="noConversion"/>
  </si>
  <si>
    <t>한성컴퓨터</t>
    <phoneticPr fontId="4" type="noConversion"/>
  </si>
  <si>
    <t>ABS, 이중사출</t>
    <phoneticPr fontId="4" type="noConversion"/>
  </si>
  <si>
    <t>한성컴퓨터 GTune MKF40S2</t>
    <phoneticPr fontId="4" type="noConversion"/>
  </si>
  <si>
    <t>ABS. 레이저각인</t>
    <phoneticPr fontId="4" type="noConversion"/>
  </si>
  <si>
    <t>레이저각인</t>
    <phoneticPr fontId="4" type="noConversion"/>
  </si>
  <si>
    <t>레이저각인</t>
    <phoneticPr fontId="4" type="noConversion"/>
  </si>
  <si>
    <t>한성컴퓨터 GTune MKF14S XRGB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</si>
  <si>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(청/적/갈축)</t>
    </r>
    <phoneticPr fontId="4" type="noConversion"/>
  </si>
  <si>
    <t>한성컴퓨터 GTune MKF10 XRGB</t>
    <phoneticPr fontId="4" type="noConversion"/>
  </si>
  <si>
    <t>한성컴퓨터 XK1 BossMonster KLv.77</t>
    <phoneticPr fontId="4" type="noConversion"/>
  </si>
  <si>
    <t>한성컴퓨터 XK1L BossMonster KLv.74</t>
    <phoneticPr fontId="4" type="noConversion"/>
  </si>
  <si>
    <t>-</t>
    <phoneticPr fontId="4" type="noConversion"/>
  </si>
  <si>
    <t>-</t>
    <phoneticPr fontId="4" type="noConversion"/>
  </si>
  <si>
    <t>한성컴퓨터 GTune MKL51 Greenlight</t>
    <phoneticPr fontId="4" type="noConversion"/>
  </si>
  <si>
    <t>한성컴퓨터</t>
    <phoneticPr fontId="4" type="noConversion"/>
  </si>
  <si>
    <t>한성컴퓨터 XK1 BossMonster KLv.75</t>
    <phoneticPr fontId="4" type="noConversion"/>
  </si>
  <si>
    <t>한성컴퓨터</t>
    <phoneticPr fontId="4" type="noConversion"/>
  </si>
  <si>
    <t>한성컴퓨터 XK1L BossMonster KLv.76</t>
    <phoneticPr fontId="4" type="noConversion"/>
  </si>
  <si>
    <t>한성컴퓨터</t>
    <phoneticPr fontId="4" type="noConversion"/>
  </si>
  <si>
    <t>한성컴퓨터 GTune MKF17 Waterproof</t>
    <phoneticPr fontId="4" type="noConversion"/>
  </si>
  <si>
    <t>한성컴퓨터</t>
    <phoneticPr fontId="4" type="noConversion"/>
  </si>
  <si>
    <r>
      <t>백/청/녹/핑크</t>
    </r>
    <r>
      <rPr>
        <sz val="6"/>
        <color theme="1"/>
        <rFont val="맑은 고딕"/>
        <family val="3"/>
        <charset val="129"/>
        <scheme val="minor"/>
      </rPr>
      <t>(청축)</t>
    </r>
    <r>
      <rPr>
        <sz val="8"/>
        <color theme="1"/>
        <rFont val="맑은 고딕"/>
        <family val="3"/>
        <charset val="129"/>
        <scheme val="minor"/>
      </rPr>
      <t>-백</t>
    </r>
    <r>
      <rPr>
        <sz val="6"/>
        <color theme="1"/>
        <rFont val="맑은 고딕"/>
        <family val="3"/>
        <charset val="129"/>
        <scheme val="minor"/>
      </rPr>
      <t>(키캡)</t>
    </r>
    <phoneticPr fontId="4" type="noConversion"/>
  </si>
  <si>
    <r>
      <t>은</t>
    </r>
    <r>
      <rPr>
        <sz val="6"/>
        <color theme="1"/>
        <rFont val="맑은 고딕"/>
        <family val="3"/>
        <charset val="129"/>
        <scheme val="minor"/>
      </rPr>
      <t>(청축)</t>
    </r>
    <r>
      <rPr>
        <sz val="9"/>
        <color theme="1"/>
        <rFont val="맑은 고딕"/>
        <family val="3"/>
        <charset val="129"/>
        <scheme val="minor"/>
      </rPr>
      <t>-흑</t>
    </r>
    <r>
      <rPr>
        <sz val="6"/>
        <color theme="1"/>
        <rFont val="맑은 고딕"/>
        <family val="3"/>
        <charset val="129"/>
        <scheme val="minor"/>
      </rPr>
      <t>(키캡)</t>
    </r>
    <phoneticPr fontId="4" type="noConversion"/>
  </si>
  <si>
    <r>
      <t>백</t>
    </r>
    <r>
      <rPr>
        <sz val="6"/>
        <color theme="1"/>
        <rFont val="맑은 고딕"/>
        <family val="3"/>
        <charset val="129"/>
        <scheme val="minor"/>
      </rPr>
      <t>(청/적/갈축)</t>
    </r>
    <phoneticPr fontId="4" type="noConversion"/>
  </si>
  <si>
    <r>
      <t>흑</t>
    </r>
    <r>
      <rPr>
        <sz val="6"/>
        <color theme="1"/>
        <rFont val="맑은 고딕"/>
        <family val="3"/>
        <charset val="129"/>
        <scheme val="minor"/>
      </rPr>
      <t>(청/적/갈축)</t>
    </r>
    <r>
      <rPr>
        <sz val="9"/>
        <color theme="1"/>
        <rFont val="맑은 고딕"/>
        <family val="3"/>
        <charset val="129"/>
        <scheme val="minor"/>
      </rPr>
      <t>/백</t>
    </r>
    <r>
      <rPr>
        <sz val="6"/>
        <color theme="1"/>
        <rFont val="맑은 고딕"/>
        <family val="3"/>
        <charset val="129"/>
        <scheme val="minor"/>
      </rPr>
      <t>(청/갈축)</t>
    </r>
    <phoneticPr fontId="4" type="noConversion"/>
  </si>
  <si>
    <r>
      <t>흑</t>
    </r>
    <r>
      <rPr>
        <sz val="6"/>
        <color theme="1"/>
        <rFont val="맑은 고딕"/>
        <family val="3"/>
        <charset val="129"/>
        <scheme val="minor"/>
      </rPr>
      <t>(청/적/갈축)</t>
    </r>
    <r>
      <rPr>
        <sz val="9"/>
        <color theme="1"/>
        <rFont val="맑은 고딕"/>
        <family val="3"/>
        <charset val="129"/>
        <scheme val="minor"/>
      </rPr>
      <t>/백</t>
    </r>
    <r>
      <rPr>
        <sz val="6"/>
        <color theme="1"/>
        <rFont val="맑은 고딕"/>
        <family val="3"/>
        <charset val="129"/>
        <scheme val="minor"/>
      </rPr>
      <t>(청/적축)</t>
    </r>
    <phoneticPr fontId="4" type="noConversion"/>
  </si>
  <si>
    <t>한성컴퓨터 GTune MCF7</t>
    <phoneticPr fontId="4" type="noConversion"/>
  </si>
  <si>
    <t>한성컴퓨터 GF1 BossMonster KLv.72</t>
    <phoneticPr fontId="4" type="noConversion"/>
  </si>
  <si>
    <t>한성컴퓨터</t>
    <phoneticPr fontId="4" type="noConversion"/>
  </si>
  <si>
    <r>
      <t>은</t>
    </r>
    <r>
      <rPr>
        <sz val="6"/>
        <color theme="1"/>
        <rFont val="맑은 고딕"/>
        <family val="3"/>
        <charset val="129"/>
        <scheme val="minor"/>
      </rPr>
      <t>(청/적/갈/흑축)</t>
    </r>
    <r>
      <rPr>
        <sz val="9"/>
        <color theme="1"/>
        <rFont val="맑은 고딕"/>
        <family val="3"/>
        <charset val="129"/>
        <scheme val="minor"/>
      </rPr>
      <t>-흑</t>
    </r>
    <r>
      <rPr>
        <sz val="6"/>
        <color theme="1"/>
        <rFont val="맑은 고딕"/>
        <family val="3"/>
        <charset val="129"/>
        <scheme val="minor"/>
      </rPr>
      <t>(키캡)</t>
    </r>
    <phoneticPr fontId="4" type="noConversion"/>
  </si>
  <si>
    <t>Rainbow</t>
    <phoneticPr fontId="4" type="noConversion"/>
  </si>
  <si>
    <t>한성컴퓨터 GTune MKF14 Pure VIKI</t>
    <phoneticPr fontId="4" type="noConversion"/>
  </si>
  <si>
    <r>
      <t>은</t>
    </r>
    <r>
      <rPr>
        <sz val="6"/>
        <color theme="1"/>
        <rFont val="맑은 고딕"/>
        <family val="3"/>
        <charset val="129"/>
        <scheme val="minor"/>
      </rPr>
      <t>(청/적/갈축)</t>
    </r>
    <r>
      <rPr>
        <sz val="9"/>
        <color theme="1"/>
        <rFont val="맑은 고딕"/>
        <family val="3"/>
        <charset val="129"/>
        <scheme val="minor"/>
      </rPr>
      <t>-흑</t>
    </r>
    <r>
      <rPr>
        <sz val="6"/>
        <color theme="1"/>
        <rFont val="맑은 고딕"/>
        <family val="3"/>
        <charset val="129"/>
        <scheme val="minor"/>
      </rPr>
      <t>(키캡)</t>
    </r>
    <phoneticPr fontId="4" type="noConversion"/>
  </si>
  <si>
    <t>한성컴퓨터 GTune MKL16 XRGB</t>
    <phoneticPr fontId="4" type="noConversion"/>
  </si>
  <si>
    <t>한성컴퓨터</t>
    <phoneticPr fontId="4" type="noConversion"/>
  </si>
  <si>
    <t>한성컴퓨터 GTune MKL31 Rainbow</t>
    <phoneticPr fontId="4" type="noConversion"/>
  </si>
  <si>
    <t>한성컴퓨터</t>
    <phoneticPr fontId="4" type="noConversion"/>
  </si>
  <si>
    <t>한성컴퓨터 GTune MKF20S</t>
    <phoneticPr fontId="4" type="noConversion"/>
  </si>
  <si>
    <t>한성컴퓨터 GTune MAF35 응답하라 1992</t>
    <phoneticPr fontId="4" type="noConversion"/>
  </si>
  <si>
    <t>한성컴퓨터 GTune MKL51S</t>
    <phoneticPr fontId="4" type="noConversion"/>
  </si>
  <si>
    <t>한성컴퓨터 GTune MKF20</t>
    <phoneticPr fontId="4" type="noConversion"/>
  </si>
  <si>
    <t>한성컴퓨터</t>
    <phoneticPr fontId="4" type="noConversion"/>
  </si>
  <si>
    <r>
      <t>흑</t>
    </r>
    <r>
      <rPr>
        <sz val="6"/>
        <color theme="1"/>
        <rFont val="맑은 고딕"/>
        <family val="3"/>
        <charset val="129"/>
        <scheme val="minor"/>
      </rPr>
      <t>(청축)</t>
    </r>
    <r>
      <rPr>
        <sz val="9"/>
        <color theme="1"/>
        <rFont val="맑은 고딕"/>
        <family val="3"/>
        <charset val="129"/>
        <scheme val="minor"/>
      </rPr>
      <t>/백</t>
    </r>
    <r>
      <rPr>
        <sz val="6"/>
        <color theme="1"/>
        <rFont val="맑은 고딕"/>
        <family val="3"/>
        <charset val="129"/>
        <scheme val="minor"/>
      </rPr>
      <t>(청축)</t>
    </r>
    <phoneticPr fontId="4" type="noConversion"/>
  </si>
  <si>
    <r>
      <t>백황</t>
    </r>
    <r>
      <rPr>
        <sz val="6"/>
        <color theme="1"/>
        <rFont val="맑은 고딕"/>
        <family val="3"/>
        <charset val="129"/>
        <scheme val="minor"/>
      </rPr>
      <t>(백축)</t>
    </r>
    <phoneticPr fontId="4" type="noConversion"/>
  </si>
  <si>
    <r>
      <t>회-흑</t>
    </r>
    <r>
      <rPr>
        <sz val="6"/>
        <color theme="1"/>
        <rFont val="맑은 고딕"/>
        <family val="3"/>
        <charset val="129"/>
        <scheme val="minor"/>
      </rPr>
      <t>(청/적축)</t>
    </r>
    <r>
      <rPr>
        <sz val="8"/>
        <color theme="1"/>
        <rFont val="맑은 고딕"/>
        <family val="3"/>
        <charset val="129"/>
        <scheme val="minor"/>
      </rPr>
      <t>/백-은</t>
    </r>
    <r>
      <rPr>
        <sz val="6"/>
        <color theme="1"/>
        <rFont val="맑은 고딕"/>
        <family val="3"/>
        <charset val="129"/>
        <scheme val="minor"/>
      </rPr>
      <t>(청/적/갈축)</t>
    </r>
    <phoneticPr fontId="4" type="noConversion"/>
  </si>
  <si>
    <t>한성컴퓨터 GTune MKF20S Rainbow</t>
    <phoneticPr fontId="4" type="noConversion"/>
  </si>
  <si>
    <t>한성컴퓨터</t>
    <phoneticPr fontId="4" type="noConversion"/>
  </si>
  <si>
    <r>
      <t>회-흑</t>
    </r>
    <r>
      <rPr>
        <sz val="6"/>
        <color theme="1"/>
        <rFont val="맑은 고딕"/>
        <family val="3"/>
        <charset val="129"/>
        <scheme val="minor"/>
      </rPr>
      <t>(청축)</t>
    </r>
    <r>
      <rPr>
        <sz val="9"/>
        <color theme="1"/>
        <rFont val="맑은 고딕"/>
        <family val="3"/>
        <charset val="129"/>
        <scheme val="minor"/>
      </rPr>
      <t>/백</t>
    </r>
    <r>
      <rPr>
        <sz val="6"/>
        <color theme="1"/>
        <rFont val="맑은 고딕"/>
        <family val="3"/>
        <charset val="129"/>
        <scheme val="minor"/>
      </rPr>
      <t>(청축)</t>
    </r>
    <phoneticPr fontId="4" type="noConversion"/>
  </si>
  <si>
    <t>레오폴드 FC900R LED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</si>
  <si>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(청/적/갈/흑축)</t>
    </r>
    <phoneticPr fontId="4" type="noConversion"/>
  </si>
  <si>
    <t>이색 = 이중</t>
    <phoneticPr fontId="4" type="noConversion"/>
  </si>
  <si>
    <t>스카이디지탈 NKEYBOARD NKEY-K2 레인보우LED 기계식 게이밍 키보드</t>
    <phoneticPr fontId="4" type="noConversion"/>
  </si>
  <si>
    <t>레이저/이중사출 택1</t>
    <phoneticPr fontId="4" type="noConversion"/>
  </si>
  <si>
    <t>스카이디지탈 NKEYBOARD NKEY-R3 레인보우LED 기계식 게이밍 키보드</t>
    <phoneticPr fontId="4" type="noConversion"/>
  </si>
  <si>
    <t>스카이디지탈</t>
    <phoneticPr fontId="4" type="noConversion"/>
  </si>
  <si>
    <r>
      <t>흑</t>
    </r>
    <r>
      <rPr>
        <sz val="6"/>
        <color theme="1"/>
        <rFont val="맑은 고딕"/>
        <family val="3"/>
        <charset val="129"/>
        <scheme val="minor"/>
      </rPr>
      <t>(청/갈축)</t>
    </r>
    <r>
      <rPr>
        <sz val="9"/>
        <color theme="1"/>
        <rFont val="맑은 고딕"/>
        <family val="3"/>
        <charset val="129"/>
        <scheme val="minor"/>
      </rPr>
      <t>/백</t>
    </r>
    <r>
      <rPr>
        <sz val="6"/>
        <color theme="1"/>
        <rFont val="맑은 고딕"/>
        <family val="3"/>
        <charset val="129"/>
        <scheme val="minor"/>
      </rPr>
      <t>(청축)</t>
    </r>
    <phoneticPr fontId="4" type="noConversion"/>
  </si>
  <si>
    <t>스카이디지탈 NKEYBOARD NKEY-K1 RGB 게이밍키보드</t>
    <phoneticPr fontId="4" type="noConversion"/>
  </si>
  <si>
    <t>스카이디지탈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</si>
  <si>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(청축)</t>
    </r>
    <phoneticPr fontId="4" type="noConversion"/>
  </si>
  <si>
    <t>스카이디지탈 NKEYBOARD NKEY-T1 더블샷 레인보우 LED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</si>
  <si>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(청축)</t>
    </r>
    <r>
      <rPr>
        <sz val="9"/>
        <color theme="0"/>
        <rFont val="맑은 고딕"/>
        <family val="3"/>
        <charset val="129"/>
        <scheme val="minor"/>
      </rPr>
      <t>-백</t>
    </r>
    <r>
      <rPr>
        <sz val="6"/>
        <color theme="0"/>
        <rFont val="맑은 고딕"/>
        <family val="3"/>
        <charset val="129"/>
        <scheme val="minor"/>
      </rPr>
      <t>(</t>
    </r>
    <r>
      <rPr>
        <sz val="6"/>
        <color theme="0"/>
        <rFont val="맑은 고딕"/>
        <family val="3"/>
        <charset val="129"/>
        <scheme val="minor"/>
      </rPr>
      <t>키캡)</t>
    </r>
    <phoneticPr fontId="4" type="noConversion"/>
  </si>
  <si>
    <t>스카이디지탈 NKEYBOARD NKEY-K2 LED</t>
    <phoneticPr fontId="4" type="noConversion"/>
  </si>
  <si>
    <t>스카이디지탈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</si>
  <si>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(청/갈축)</t>
    </r>
    <phoneticPr fontId="4" type="noConversion"/>
  </si>
  <si>
    <t>스카이디지탈 NKEYBOARD 메카닉 LED</t>
    <phoneticPr fontId="4" type="noConversion"/>
  </si>
  <si>
    <t>스카이디지탈</t>
    <phoneticPr fontId="4" type="noConversion"/>
  </si>
  <si>
    <t>스카이디지탈 NKEYBOARD NKEY-K5 RGB</t>
    <phoneticPr fontId="4" type="noConversion"/>
  </si>
  <si>
    <t>스카이디지탈 NKEYBOARD NKEY-C1 LED</t>
    <phoneticPr fontId="4" type="noConversion"/>
  </si>
  <si>
    <t>스카이디지탈 NKEYBOARD NKEY-R3 RGB</t>
    <phoneticPr fontId="4" type="noConversion"/>
  </si>
  <si>
    <r>
      <t>흑</t>
    </r>
    <r>
      <rPr>
        <sz val="6"/>
        <color theme="1"/>
        <rFont val="맑은 고딕"/>
        <family val="3"/>
        <charset val="129"/>
        <scheme val="minor"/>
      </rPr>
      <t>(청/적/갈축)</t>
    </r>
    <r>
      <rPr>
        <sz val="9"/>
        <color theme="1"/>
        <rFont val="맑은 고딕"/>
        <family val="3"/>
        <charset val="129"/>
        <scheme val="minor"/>
      </rPr>
      <t>/백</t>
    </r>
    <r>
      <rPr>
        <sz val="6"/>
        <color theme="1"/>
        <rFont val="맑은 고딕"/>
        <family val="3"/>
        <charset val="129"/>
        <scheme val="minor"/>
      </rPr>
      <t>(청/갈축)</t>
    </r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</si>
  <si>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(청/갈축)</t>
    </r>
    <phoneticPr fontId="4" type="noConversion"/>
  </si>
  <si>
    <t>스카이디지탈 NKEYBOARD NKEY-F1 LED 게이밍키보드</t>
    <phoneticPr fontId="4" type="noConversion"/>
  </si>
  <si>
    <r>
      <t>흑</t>
    </r>
    <r>
      <rPr>
        <sz val="6"/>
        <color theme="1"/>
        <rFont val="맑은 고딕"/>
        <family val="3"/>
        <charset val="129"/>
        <scheme val="minor"/>
      </rPr>
      <t>(청/갈축)</t>
    </r>
    <r>
      <rPr>
        <sz val="9"/>
        <color theme="1"/>
        <rFont val="맑은 고딕"/>
        <family val="3"/>
        <charset val="129"/>
        <scheme val="minor"/>
      </rPr>
      <t>/은</t>
    </r>
    <r>
      <rPr>
        <sz val="6"/>
        <color theme="1"/>
        <rFont val="맑은 고딕"/>
        <family val="3"/>
        <charset val="129"/>
        <scheme val="minor"/>
      </rPr>
      <t>(청/갈축)</t>
    </r>
    <r>
      <rPr>
        <sz val="9"/>
        <color theme="1"/>
        <rFont val="맑은 고딕"/>
        <family val="3"/>
        <charset val="129"/>
        <scheme val="minor"/>
      </rPr>
      <t>/백</t>
    </r>
    <r>
      <rPr>
        <sz val="6"/>
        <color theme="1"/>
        <rFont val="맑은 고딕"/>
        <family val="3"/>
        <charset val="129"/>
        <scheme val="minor"/>
      </rPr>
      <t>(청축)</t>
    </r>
    <phoneticPr fontId="4" type="noConversion"/>
  </si>
  <si>
    <t>1ms만</t>
    <phoneticPr fontId="4" type="noConversion"/>
  </si>
  <si>
    <t>H/W</t>
    <phoneticPr fontId="4" type="noConversion"/>
  </si>
  <si>
    <t>H/W</t>
    <phoneticPr fontId="4" type="noConversion"/>
  </si>
  <si>
    <t>MAXTILL TRON G750 Mechanical Keyboard</t>
    <phoneticPr fontId="4" type="noConversion"/>
  </si>
  <si>
    <r>
      <t>흑</t>
    </r>
    <r>
      <rPr>
        <sz val="6"/>
        <color theme="1"/>
        <rFont val="맑은 고딕"/>
        <family val="3"/>
        <charset val="129"/>
        <scheme val="minor"/>
      </rPr>
      <t>(청축)</t>
    </r>
    <r>
      <rPr>
        <sz val="9"/>
        <color theme="1"/>
        <rFont val="맑은 고딕"/>
        <family val="3"/>
        <charset val="129"/>
        <scheme val="minor"/>
      </rPr>
      <t>/백</t>
    </r>
    <r>
      <rPr>
        <sz val="6"/>
        <color theme="1"/>
        <rFont val="맑은 고딕"/>
        <family val="3"/>
        <charset val="129"/>
        <scheme val="minor"/>
      </rPr>
      <t>(청축)</t>
    </r>
    <phoneticPr fontId="4" type="noConversion"/>
  </si>
  <si>
    <t>MAXTILL TRON G10K Mechanical Keyboard</t>
    <phoneticPr fontId="4" type="noConversion"/>
  </si>
  <si>
    <t>CORSAIR K70 RAPIDFIRE RGB Mechanical Gaming Keyboard</t>
    <phoneticPr fontId="4" type="noConversion"/>
  </si>
  <si>
    <t>CORSAIR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</si>
  <si>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(적축)</t>
    </r>
    <phoneticPr fontId="4" type="noConversion"/>
  </si>
  <si>
    <t>S/W</t>
    <phoneticPr fontId="4" type="noConversion"/>
  </si>
  <si>
    <t>CORSAIR VENGEANCE K70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</si>
  <si>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(청/적/갈축)</t>
    </r>
    <phoneticPr fontId="4" type="noConversion"/>
  </si>
  <si>
    <t>CORSAIR K70 LUX</t>
    <phoneticPr fontId="4" type="noConversion"/>
  </si>
  <si>
    <t>CORSAIR STRAFE RGB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</si>
  <si>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(청/적/갈축)</t>
    </r>
    <phoneticPr fontId="4" type="noConversion"/>
  </si>
  <si>
    <t>CORSAIR GAMING K95 RGB</t>
    <phoneticPr fontId="4" type="noConversion"/>
  </si>
  <si>
    <t>CORSAIR STRAFE</t>
    <phoneticPr fontId="4" type="noConversion"/>
  </si>
  <si>
    <t>CORSAIR GAMING K70</t>
    <phoneticPr fontId="4" type="noConversion"/>
  </si>
  <si>
    <t>CORSAIR K70 RAPIDFIRE Mechanical Gaming Keyboard</t>
    <phoneticPr fontId="4" type="noConversion"/>
  </si>
  <si>
    <t>CORSAIR GAMING K70 RGB</t>
    <phoneticPr fontId="4" type="noConversion"/>
  </si>
  <si>
    <t>CORSAIR STRAFE SILENT RGB</t>
    <phoneticPr fontId="4" type="noConversion"/>
  </si>
  <si>
    <t>CORSAIR GAMING K65 RGB</t>
    <phoneticPr fontId="4" type="noConversion"/>
  </si>
  <si>
    <t>매크로기능=S/W</t>
    <phoneticPr fontId="4" type="noConversion"/>
  </si>
  <si>
    <t>ROCCAT RYOS MK</t>
    <phoneticPr fontId="4" type="noConversion"/>
  </si>
  <si>
    <t>ROCCAT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</si>
  <si>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(흑축)</t>
    </r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</si>
  <si>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(청/적축)</t>
    </r>
    <phoneticPr fontId="4" type="noConversion"/>
  </si>
  <si>
    <t>ROCCAT RYOS MK PRO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</si>
  <si>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(녹축)</t>
    </r>
    <phoneticPr fontId="4" type="noConversion"/>
  </si>
  <si>
    <t>Razer Blackwidow X Chroma US</t>
    <phoneticPr fontId="4" type="noConversion"/>
  </si>
  <si>
    <t>Razer Blackwidow X Tournament Chroma US</t>
    <phoneticPr fontId="4" type="noConversion"/>
  </si>
  <si>
    <t>Rainbow</t>
    <phoneticPr fontId="4" type="noConversion"/>
  </si>
  <si>
    <t>백/Rainbow택1</t>
    <phoneticPr fontId="4" type="noConversion"/>
  </si>
  <si>
    <t>S/W</t>
    <phoneticPr fontId="4" type="noConversion"/>
  </si>
  <si>
    <t>Razer Blackwidow Tournament Chroma US</t>
    <phoneticPr fontId="4" type="noConversion"/>
  </si>
  <si>
    <t>Razer Blackwidow Expert 2013 US</t>
    <phoneticPr fontId="4" type="noConversion"/>
  </si>
  <si>
    <t>Razer Blackwidow Chroma US</t>
    <phoneticPr fontId="4" type="noConversion"/>
  </si>
  <si>
    <t>H/W &amp; S/W</t>
    <phoneticPr fontId="4" type="noConversion"/>
  </si>
  <si>
    <t>Razer Blackwidow Ultimate 2016 KR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</si>
  <si>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(오렌지축)</t>
    </r>
    <phoneticPr fontId="4" type="noConversion"/>
  </si>
  <si>
    <t>Razer Blackwidow Ultimate Stealth 2016 US</t>
    <phoneticPr fontId="4" type="noConversion"/>
  </si>
  <si>
    <t>덱키보드 CBL-87 덱프랑슘 기계식 키보드</t>
    <phoneticPr fontId="4" type="noConversion"/>
  </si>
  <si>
    <t>덱키보드 CBL-108P 덱헤슘 프로 기계식 키보드</t>
    <phoneticPr fontId="4" type="noConversion"/>
  </si>
  <si>
    <t>덱키보드 CBL-87P 덱프랑슘 프로 기계식 키보드</t>
    <phoneticPr fontId="4" type="noConversion"/>
  </si>
  <si>
    <t>덱키보드 CBL-108 덱헤슘 기계식 키보드</t>
    <phoneticPr fontId="4" type="noConversion"/>
  </si>
  <si>
    <t>덱키보드 CBL-87N 덱프랑슘 라이트 기계식 키보드</t>
    <phoneticPr fontId="4" type="noConversion"/>
  </si>
  <si>
    <t>덱키보드 CBL-108N 덱헤슘 라이트 기계식 키보드</t>
    <phoneticPr fontId="4" type="noConversion"/>
  </si>
  <si>
    <t>덱키보드</t>
    <phoneticPr fontId="4" type="noConversion"/>
  </si>
  <si>
    <t>O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</si>
  <si>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(청/적/갈/흑[영]축)</t>
    </r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</si>
  <si>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(청/적/갈/흑[PBT영]축)</t>
    </r>
    <phoneticPr fontId="4" type="noConversion"/>
  </si>
  <si>
    <t>제닉스 TESORO GRAM</t>
    <phoneticPr fontId="4" type="noConversion"/>
  </si>
  <si>
    <t>제닉스 STORMX TITAN MARK VI 기계식키보드</t>
    <phoneticPr fontId="4" type="noConversion"/>
  </si>
  <si>
    <r>
      <t>흑</t>
    </r>
    <r>
      <rPr>
        <sz val="6"/>
        <color theme="1"/>
        <rFont val="맑은 고딕"/>
        <family val="3"/>
        <charset val="129"/>
        <scheme val="minor"/>
      </rPr>
      <t>(적축)</t>
    </r>
    <r>
      <rPr>
        <sz val="9"/>
        <color theme="1"/>
        <rFont val="맑은 고딕"/>
        <family val="3"/>
        <charset val="129"/>
        <scheme val="minor"/>
      </rPr>
      <t>/백</t>
    </r>
    <r>
      <rPr>
        <sz val="6"/>
        <color theme="1"/>
        <rFont val="맑은 고딕"/>
        <family val="3"/>
        <charset val="129"/>
        <scheme val="minor"/>
      </rPr>
      <t>(적축)</t>
    </r>
    <phoneticPr fontId="4" type="noConversion"/>
  </si>
  <si>
    <t>제닉스 STORMX K6</t>
    <phoneticPr fontId="4" type="noConversion"/>
  </si>
  <si>
    <t>Rainbow</t>
    <phoneticPr fontId="4" type="noConversion"/>
  </si>
  <si>
    <r>
      <t>흑</t>
    </r>
    <r>
      <rPr>
        <sz val="6"/>
        <color theme="1"/>
        <rFont val="맑은 고딕"/>
        <family val="3"/>
        <charset val="129"/>
        <scheme val="minor"/>
      </rPr>
      <t>(청/적축)</t>
    </r>
    <r>
      <rPr>
        <sz val="9"/>
        <color theme="1"/>
        <rFont val="맑은 고딕"/>
        <family val="3"/>
        <charset val="129"/>
        <scheme val="minor"/>
      </rPr>
      <t>/백</t>
    </r>
    <r>
      <rPr>
        <sz val="6"/>
        <color theme="1"/>
        <rFont val="맑은 고딕"/>
        <family val="3"/>
        <charset val="129"/>
        <scheme val="minor"/>
      </rPr>
      <t>(청/적/갈축)</t>
    </r>
    <phoneticPr fontId="4" type="noConversion"/>
  </si>
  <si>
    <t>Rainbow</t>
    <phoneticPr fontId="4" type="noConversion"/>
  </si>
  <si>
    <t>제닉스 SCORPIUS M10TSFL</t>
    <phoneticPr fontId="4" type="noConversion"/>
  </si>
  <si>
    <t>제닉스 STORMX K7</t>
    <phoneticPr fontId="4" type="noConversion"/>
  </si>
  <si>
    <t>개별키Custom 불가는 Rainbow</t>
    <phoneticPr fontId="4" type="noConversion"/>
  </si>
  <si>
    <t>제닉스 TESORO DURANDAL ULTIMATE SE</t>
    <phoneticPr fontId="4" type="noConversion"/>
  </si>
  <si>
    <r>
      <t>흑</t>
    </r>
    <r>
      <rPr>
        <sz val="6"/>
        <color theme="0"/>
        <rFont val="맑은 고딕"/>
        <family val="3"/>
        <charset val="129"/>
        <scheme val="minor"/>
      </rPr>
      <t>(청/적/갈축)</t>
    </r>
    <phoneticPr fontId="4" type="noConversion"/>
  </si>
  <si>
    <t>제닉스 TESORO EXCALIBUR V2</t>
    <phoneticPr fontId="4" type="noConversion"/>
  </si>
  <si>
    <t>제닉스 STORMX TITAN MARK V 기계식키보드</t>
    <phoneticPr fontId="4" type="noConversion"/>
  </si>
  <si>
    <t>제닉스 STORMX TITAN MARK X</t>
    <phoneticPr fontId="4" type="noConversion"/>
  </si>
  <si>
    <t>제닉스 STORMX TITAN MARK VII</t>
    <phoneticPr fontId="4" type="noConversion"/>
  </si>
  <si>
    <t>S/W</t>
    <phoneticPr fontId="4" type="noConversion"/>
  </si>
  <si>
    <t>H/W</t>
    <phoneticPr fontId="4" type="noConversion"/>
  </si>
  <si>
    <t>로지텍 G100s 게이밍 마우스</t>
    <phoneticPr fontId="4" type="noConversion"/>
  </si>
  <si>
    <t>min길이만</t>
    <phoneticPr fontId="4" type="noConversion"/>
  </si>
  <si>
    <r>
      <t>스캔율</t>
    </r>
    <r>
      <rPr>
        <b/>
        <sz val="6"/>
        <color theme="1"/>
        <rFont val="맑은 고딕"/>
        <family val="3"/>
        <charset val="129"/>
        <scheme val="minor"/>
      </rPr>
      <t>(FPS)</t>
    </r>
    <phoneticPr fontId="4" type="noConversion"/>
  </si>
  <si>
    <t>로지텍 G302 DAEDALUS PRIME 마우스</t>
    <phoneticPr fontId="4" type="noConversion"/>
  </si>
  <si>
    <t>연결방식</t>
    <phoneticPr fontId="4" type="noConversion"/>
  </si>
  <si>
    <t>LED</t>
    <phoneticPr fontId="4" type="noConversion"/>
  </si>
  <si>
    <t>반응속도</t>
    <phoneticPr fontId="4" type="noConversion"/>
  </si>
  <si>
    <t>1ms만</t>
    <phoneticPr fontId="4" type="noConversion"/>
  </si>
  <si>
    <t>max만</t>
    <phoneticPr fontId="4" type="noConversion"/>
  </si>
  <si>
    <t>로지텍 G502 RGB PROTEUS SPECTRUM 게이밍 마우스</t>
    <phoneticPr fontId="4" type="noConversion"/>
  </si>
  <si>
    <t>로지텍</t>
    <phoneticPr fontId="4" type="noConversion"/>
  </si>
  <si>
    <t>H/W</t>
    <phoneticPr fontId="4" type="noConversion"/>
  </si>
  <si>
    <t>RGB</t>
    <phoneticPr fontId="4" type="noConversion"/>
  </si>
  <si>
    <t>O</t>
    <phoneticPr fontId="4" type="noConversion"/>
  </si>
  <si>
    <t>min</t>
    <phoneticPr fontId="4" type="noConversion"/>
  </si>
  <si>
    <t>로지텍 MX Anywhere 2 무선 모바일 마우스</t>
    <phoneticPr fontId="4" type="noConversion"/>
  </si>
  <si>
    <r>
      <t>비고</t>
    </r>
    <r>
      <rPr>
        <b/>
        <sz val="9"/>
        <color theme="1"/>
        <rFont val="맑은 고딕"/>
        <family val="3"/>
        <charset val="129"/>
        <scheme val="minor"/>
      </rPr>
      <t>3</t>
    </r>
    <r>
      <rPr>
        <b/>
        <sz val="6"/>
        <color theme="1"/>
        <rFont val="맑은 고딕"/>
        <family val="3"/>
        <charset val="129"/>
        <scheme val="minor"/>
      </rPr>
      <t>[무게추]</t>
    </r>
    <phoneticPr fontId="4" type="noConversion"/>
  </si>
  <si>
    <r>
      <t>비고</t>
    </r>
    <r>
      <rPr>
        <b/>
        <sz val="9"/>
        <color theme="1"/>
        <rFont val="맑은 고딕"/>
        <family val="3"/>
        <charset val="129"/>
        <scheme val="minor"/>
      </rPr>
      <t>2</t>
    </r>
    <r>
      <rPr>
        <b/>
        <sz val="7"/>
        <color theme="1"/>
        <rFont val="맑은 고딕"/>
        <family val="3"/>
        <charset val="129"/>
        <scheme val="minor"/>
      </rPr>
      <t>[매크로]</t>
    </r>
    <phoneticPr fontId="4" type="noConversion"/>
  </si>
  <si>
    <r>
      <t>비고1</t>
    </r>
    <r>
      <rPr>
        <b/>
        <sz val="7"/>
        <color theme="1"/>
        <rFont val="맑은 고딕"/>
        <family val="3"/>
        <charset val="129"/>
        <scheme val="minor"/>
      </rPr>
      <t>[배터리]</t>
    </r>
    <phoneticPr fontId="4" type="noConversion"/>
  </si>
  <si>
    <t>USB충전</t>
    <phoneticPr fontId="4" type="noConversion"/>
  </si>
  <si>
    <t>USB동글/블루투스</t>
    <phoneticPr fontId="4" type="noConversion"/>
  </si>
  <si>
    <t>로지텍 M545 무선 마우스</t>
    <phoneticPr fontId="4" type="noConversion"/>
  </si>
  <si>
    <t>1xAA</t>
    <phoneticPr fontId="4" type="noConversion"/>
  </si>
  <si>
    <t>USB동글</t>
    <phoneticPr fontId="4" type="noConversion"/>
  </si>
  <si>
    <t>로지텍 M100r 마우스</t>
    <phoneticPr fontId="4" type="noConversion"/>
  </si>
  <si>
    <t>흑-금</t>
    <phoneticPr fontId="4" type="noConversion"/>
  </si>
  <si>
    <t>로지텍 B100 마우스</t>
    <phoneticPr fontId="4" type="noConversion"/>
  </si>
  <si>
    <t>흑/청/핑크/은</t>
    <phoneticPr fontId="4" type="noConversion"/>
  </si>
  <si>
    <t>흑-회</t>
    <phoneticPr fontId="4" type="noConversion"/>
  </si>
  <si>
    <t>로지텍 B175 무선 마우스</t>
    <phoneticPr fontId="4" type="noConversion"/>
  </si>
  <si>
    <t>로지텍 M325 무선 마우스</t>
    <phoneticPr fontId="4" type="noConversion"/>
  </si>
  <si>
    <t>GIGABYTE</t>
    <phoneticPr fontId="4" type="noConversion"/>
  </si>
  <si>
    <t>ORSAIR GAMING M65 RGB 게이밍 마우스</t>
    <phoneticPr fontId="4" type="noConversion"/>
  </si>
  <si>
    <t>CORSAIR GAMING 사브르 Optical RGB 게이밍 마우스</t>
    <phoneticPr fontId="4" type="noConversion"/>
  </si>
  <si>
    <t>S/W</t>
    <phoneticPr fontId="4" type="noConversion"/>
  </si>
  <si>
    <t>H/W</t>
    <phoneticPr fontId="4" type="noConversion"/>
  </si>
  <si>
    <t>흑/백-흑</t>
    <phoneticPr fontId="4" type="noConversion"/>
  </si>
  <si>
    <t>CORSAIR RAPTOR M45</t>
    <phoneticPr fontId="4" type="noConversion"/>
  </si>
  <si>
    <t>RGB</t>
    <phoneticPr fontId="4" type="noConversion"/>
  </si>
  <si>
    <t>CORSAIR GAMING KATAR</t>
    <phoneticPr fontId="4" type="noConversion"/>
  </si>
  <si>
    <t>흑-회</t>
    <phoneticPr fontId="4" type="noConversion"/>
  </si>
  <si>
    <t>CORSAIR GAMING SCIMITAR RGB</t>
    <phoneticPr fontId="4" type="noConversion"/>
  </si>
  <si>
    <t>흑/흑-황</t>
    <phoneticPr fontId="4" type="noConversion"/>
  </si>
  <si>
    <t>CORSAIR M65 PRO RGB</t>
    <phoneticPr fontId="4" type="noConversion"/>
  </si>
  <si>
    <t>GIGABYTE AIVIA KRYPTON</t>
    <phoneticPr fontId="4" type="noConversion"/>
  </si>
  <si>
    <t>S/W</t>
    <phoneticPr fontId="4" type="noConversion"/>
  </si>
  <si>
    <t>GIGABYTE GM-M6980X</t>
    <phoneticPr fontId="4" type="noConversion"/>
  </si>
  <si>
    <t>GIGABYTE GM-M6900</t>
    <phoneticPr fontId="4" type="noConversion"/>
  </si>
  <si>
    <t>GIGABYTE RAPTOR FPS 게이밍마우스</t>
    <phoneticPr fontId="4" type="noConversion"/>
  </si>
  <si>
    <t>흑-적</t>
    <phoneticPr fontId="4" type="noConversion"/>
  </si>
  <si>
    <t>GIGABYTE GM-M8000X</t>
    <phoneticPr fontId="4" type="noConversion"/>
  </si>
  <si>
    <t>GIGABYTE GM-M6880X USB 레이저 게이밍마우스</t>
    <phoneticPr fontId="4" type="noConversion"/>
  </si>
  <si>
    <t>GIGABYTE GM-M5050</t>
    <phoneticPr fontId="4" type="noConversion"/>
  </si>
  <si>
    <t>GIGABYTE GM-M5050X</t>
    <phoneticPr fontId="4" type="noConversion"/>
  </si>
  <si>
    <t>흑-청</t>
    <phoneticPr fontId="4" type="noConversion"/>
  </si>
  <si>
    <t>ROCCAT Kone Pure</t>
    <phoneticPr fontId="4" type="noConversion"/>
  </si>
  <si>
    <t>ROCCAT KOVA</t>
    <phoneticPr fontId="4" type="noConversion"/>
  </si>
  <si>
    <t>ROCCAT TYON</t>
    <phoneticPr fontId="4" type="noConversion"/>
  </si>
  <si>
    <t>RGB</t>
    <phoneticPr fontId="4" type="noConversion"/>
  </si>
  <si>
    <t>흑/백-흑</t>
    <phoneticPr fontId="4" type="noConversion"/>
  </si>
  <si>
    <t>ROCCAT KIRO</t>
    <phoneticPr fontId="4" type="noConversion"/>
  </si>
  <si>
    <t>Microsoft Sculpt 인체공학 마우스</t>
    <phoneticPr fontId="4" type="noConversion"/>
  </si>
  <si>
    <t>2xAA</t>
    <phoneticPr fontId="4" type="noConversion"/>
  </si>
  <si>
    <t>1xAA</t>
    <phoneticPr fontId="4" type="noConversion"/>
  </si>
  <si>
    <t>Microsoft 무선 모바일 마우스 4000</t>
    <phoneticPr fontId="4" type="noConversion"/>
  </si>
  <si>
    <t>Microsoft Arc 터치 블루투스 마우스</t>
    <phoneticPr fontId="4" type="noConversion"/>
  </si>
  <si>
    <t>Microsoft 디자이너 블루투스 마우스</t>
    <phoneticPr fontId="4" type="noConversion"/>
  </si>
  <si>
    <t>2xAAA</t>
    <phoneticPr fontId="4" type="noConversion"/>
  </si>
  <si>
    <t>Microsoft Sculpt Comfort 마우스</t>
    <phoneticPr fontId="4" type="noConversion"/>
  </si>
  <si>
    <t>흑-하늘</t>
    <phoneticPr fontId="4" type="noConversion"/>
  </si>
  <si>
    <t>Microsoft 무선 Arc 터치 마우스</t>
    <phoneticPr fontId="4" type="noConversion"/>
  </si>
  <si>
    <t>Razer DeathAdder Chroma</t>
    <phoneticPr fontId="4" type="noConversion"/>
  </si>
  <si>
    <t>S/W</t>
    <phoneticPr fontId="4" type="noConversion"/>
  </si>
  <si>
    <t>Razer Naga Chroma</t>
    <phoneticPr fontId="4" type="noConversion"/>
  </si>
  <si>
    <t>Razer Orochi Chroma</t>
    <phoneticPr fontId="4" type="noConversion"/>
  </si>
  <si>
    <r>
      <t>USB</t>
    </r>
    <r>
      <rPr>
        <sz val="6"/>
        <color theme="1"/>
        <rFont val="맑은 고딕"/>
        <family val="3"/>
        <charset val="129"/>
        <scheme val="minor"/>
      </rPr>
      <t>(유)</t>
    </r>
    <r>
      <rPr>
        <sz val="9"/>
        <color theme="1"/>
        <rFont val="맑은 고딕"/>
        <family val="3"/>
        <charset val="129"/>
        <scheme val="minor"/>
      </rPr>
      <t>/블루투스</t>
    </r>
    <phoneticPr fontId="4" type="noConversion"/>
  </si>
  <si>
    <t>Razer Ouroboros</t>
    <phoneticPr fontId="4" type="noConversion"/>
  </si>
  <si>
    <t>Razer Mamba Chroma</t>
    <phoneticPr fontId="4" type="noConversion"/>
  </si>
  <si>
    <t>흑-RGB</t>
    <phoneticPr fontId="4" type="noConversion"/>
  </si>
  <si>
    <r>
      <rPr>
        <sz val="8"/>
        <color theme="1"/>
        <rFont val="맑은 고딕"/>
        <family val="3"/>
        <charset val="129"/>
        <scheme val="minor"/>
      </rPr>
      <t>USB</t>
    </r>
    <r>
      <rPr>
        <sz val="6"/>
        <color theme="1"/>
        <rFont val="맑은 고딕"/>
        <family val="3"/>
        <charset val="129"/>
        <scheme val="minor"/>
      </rPr>
      <t>(유)</t>
    </r>
    <r>
      <rPr>
        <sz val="9"/>
        <color theme="1"/>
        <rFont val="맑은 고딕"/>
        <family val="3"/>
        <charset val="129"/>
        <scheme val="minor"/>
      </rPr>
      <t>/</t>
    </r>
    <r>
      <rPr>
        <sz val="8"/>
        <color theme="1"/>
        <rFont val="맑은 고딕"/>
        <family val="3"/>
        <charset val="129"/>
        <scheme val="minor"/>
      </rPr>
      <t>USB도크</t>
    </r>
    <r>
      <rPr>
        <sz val="6"/>
        <color theme="1"/>
        <rFont val="맑은 고딕"/>
        <family val="3"/>
        <charset val="129"/>
        <scheme val="minor"/>
      </rPr>
      <t>(무)</t>
    </r>
    <phoneticPr fontId="4" type="noConversion"/>
  </si>
  <si>
    <t>제닉스 STORMX M1</t>
    <phoneticPr fontId="4" type="noConversion"/>
  </si>
  <si>
    <t>정품[박스]기준</t>
    <phoneticPr fontId="4" type="noConversion"/>
  </si>
  <si>
    <t>청/하늘/녹/황/적/보라</t>
    <phoneticPr fontId="4" type="noConversion"/>
  </si>
  <si>
    <t xml:space="preserve">제닉스 E-BLUE AUROZA TYPE-IM </t>
    <phoneticPr fontId="4" type="noConversion"/>
  </si>
  <si>
    <t>청/녹/황/적/보라</t>
    <phoneticPr fontId="4" type="noConversion"/>
  </si>
  <si>
    <t>흑/녹/주황/적</t>
    <phoneticPr fontId="4" type="noConversion"/>
  </si>
  <si>
    <t>청/적/보라</t>
    <phoneticPr fontId="4" type="noConversion"/>
  </si>
  <si>
    <t>제닉스 E-BLUE COBRA M622</t>
    <phoneticPr fontId="4" type="noConversion"/>
  </si>
  <si>
    <t>흑/백/녹/적/보라</t>
    <phoneticPr fontId="4" type="noConversion"/>
  </si>
  <si>
    <t>스틸시리즈 RIVAL 300</t>
    <phoneticPr fontId="4" type="noConversion"/>
  </si>
  <si>
    <t>흑/백/은</t>
    <phoneticPr fontId="4" type="noConversion"/>
  </si>
  <si>
    <t>스틸시리즈 RIVAL 100</t>
    <phoneticPr fontId="4" type="noConversion"/>
  </si>
  <si>
    <t>스틸시리즈 RIVAL Optical Mouse</t>
    <phoneticPr fontId="4" type="noConversion"/>
  </si>
  <si>
    <t>스틸시리즈 SENSEI 레이저 마우스</t>
    <phoneticPr fontId="4" type="noConversion"/>
  </si>
  <si>
    <t>회-흑</t>
    <phoneticPr fontId="4" type="noConversion"/>
  </si>
  <si>
    <t>스틸시리즈 SENSEI Wireless 레이저 마우스</t>
    <phoneticPr fontId="4" type="noConversion"/>
  </si>
  <si>
    <t>스틸시리즈 RIVAL 95 PC방</t>
    <phoneticPr fontId="4" type="noConversion"/>
  </si>
  <si>
    <t>스틸시리즈 RIVAL 700</t>
    <phoneticPr fontId="4" type="noConversion"/>
  </si>
  <si>
    <t>WD 1TB BLUE WD10EZEX</t>
    <phoneticPr fontId="4" type="noConversion"/>
  </si>
  <si>
    <t>Britz 브리츠인터내셔널 K200GH LED 게이밍</t>
    <phoneticPr fontId="4" type="noConversion"/>
  </si>
  <si>
    <t>Britz 브리츠인터내셔널 K300GHV LED 게이밍 진동</t>
    <phoneticPr fontId="4" type="noConversion"/>
  </si>
  <si>
    <t>유닛크기</t>
    <phoneticPr fontId="4" type="noConversion"/>
  </si>
  <si>
    <t>최소조건[LED 라이팅용 USB 미포함]</t>
    <phoneticPr fontId="4" type="noConversion"/>
  </si>
  <si>
    <t>Britz 브리츠인터내셔널 K100GH LED 게이밍</t>
    <phoneticPr fontId="4" type="noConversion"/>
  </si>
  <si>
    <t>Britz 브리츠인터내셔널 K830</t>
    <phoneticPr fontId="4" type="noConversion"/>
  </si>
  <si>
    <t>Britz 브리츠인터내셔널 K800</t>
    <phoneticPr fontId="4" type="noConversion"/>
  </si>
  <si>
    <t>Britz 브리츠인터내셔널 G2 헤카테</t>
    <phoneticPr fontId="4" type="noConversion"/>
  </si>
  <si>
    <t>Britz 브리츠인터내셔널 K550</t>
    <phoneticPr fontId="4" type="noConversion"/>
  </si>
  <si>
    <t>Britz 브리츠인터내셔널 K810</t>
    <phoneticPr fontId="4" type="noConversion"/>
  </si>
  <si>
    <t>CORSAIR VOID USB Dolby 7.1 Gaming Headset</t>
    <phoneticPr fontId="4" type="noConversion"/>
  </si>
  <si>
    <t>7.1Ch[가상]</t>
    <phoneticPr fontId="4" type="noConversion"/>
  </si>
  <si>
    <t>CORSAIR RAPTOR HS40 7.1 Gaming Headset</t>
    <phoneticPr fontId="4" type="noConversion"/>
  </si>
  <si>
    <t>USB</t>
    <phoneticPr fontId="4" type="noConversion"/>
  </si>
  <si>
    <t>CORSAIR RAPTOR HS30</t>
    <phoneticPr fontId="4" type="noConversion"/>
  </si>
  <si>
    <t>CORSAIR Gaming H1500 Dolby 7.1 Gaming Headset</t>
    <phoneticPr fontId="4" type="noConversion"/>
  </si>
  <si>
    <t>CORSAIR VOID Surround Hybrid Stereo</t>
    <phoneticPr fontId="4" type="noConversion"/>
  </si>
  <si>
    <t>CORSAIR VOID STEREO Gaming Headset</t>
    <phoneticPr fontId="4" type="noConversion"/>
  </si>
  <si>
    <t>OZONE RAGE ST</t>
    <phoneticPr fontId="4" type="noConversion"/>
  </si>
  <si>
    <t>OZONE ONDA 3HX</t>
    <phoneticPr fontId="4" type="noConversion"/>
  </si>
  <si>
    <t>2.5mm/USB</t>
    <phoneticPr fontId="4" type="noConversion"/>
  </si>
  <si>
    <t>OZONE RAGE 7HX Virtual 7.1CH</t>
    <phoneticPr fontId="4" type="noConversion"/>
  </si>
  <si>
    <t>OZONE RAGE Z50</t>
    <phoneticPr fontId="4" type="noConversion"/>
  </si>
  <si>
    <t>Razer Kraken Pro II</t>
    <phoneticPr fontId="4" type="noConversion"/>
  </si>
  <si>
    <t>Razer Kraken 7.1 Chroma</t>
    <phoneticPr fontId="4" type="noConversion"/>
  </si>
  <si>
    <t>SADES SA-906 Virtual 7.1CH 진동 게이밍 헤드셋</t>
    <phoneticPr fontId="4" type="noConversion"/>
  </si>
  <si>
    <t>SADES SA-808 게이밍 헤드셋</t>
    <phoneticPr fontId="4" type="noConversion"/>
  </si>
  <si>
    <t>SADES Snuk SA-902 Virtual 7.1CH 게이밍 헤드셋</t>
    <phoneticPr fontId="4" type="noConversion"/>
  </si>
  <si>
    <t>SADES Knight SA-907S Virtual 7.1CH 게이밍 헤드셋</t>
    <phoneticPr fontId="4" type="noConversion"/>
  </si>
  <si>
    <t>SADES Epower SA-707 스테레오 게이밍 헤드셋</t>
    <phoneticPr fontId="4" type="noConversion"/>
  </si>
  <si>
    <t>SADES SA-708 게이밍 헤드셋</t>
    <phoneticPr fontId="4" type="noConversion"/>
  </si>
  <si>
    <t>젠하이저 PC310 G4ME</t>
    <phoneticPr fontId="4" type="noConversion"/>
  </si>
  <si>
    <t>젠하이저 G4ME ZERO</t>
    <phoneticPr fontId="4" type="noConversion"/>
  </si>
  <si>
    <t>젠하이저 PC330 G4ME</t>
    <phoneticPr fontId="4" type="noConversion"/>
  </si>
  <si>
    <t>젠하이저 PC151</t>
    <phoneticPr fontId="4" type="noConversion"/>
  </si>
  <si>
    <t>젠하이저 PC320 G4ME</t>
    <phoneticPr fontId="4" type="noConversion"/>
  </si>
  <si>
    <t>젠하이저 G4ME ONE</t>
    <phoneticPr fontId="4" type="noConversion"/>
  </si>
  <si>
    <t>로지텍 H150</t>
    <phoneticPr fontId="4" type="noConversion"/>
  </si>
  <si>
    <t>로지텍 G230</t>
    <phoneticPr fontId="4" type="noConversion"/>
  </si>
  <si>
    <t>로지텍 G130</t>
    <phoneticPr fontId="4" type="noConversion"/>
  </si>
  <si>
    <t>로지텍 PC-860</t>
    <phoneticPr fontId="4" type="noConversion"/>
  </si>
  <si>
    <t>로지텍 G633</t>
    <phoneticPr fontId="4" type="noConversion"/>
  </si>
  <si>
    <t>로지텍 H390</t>
    <phoneticPr fontId="4" type="noConversion"/>
  </si>
  <si>
    <t>로지텍 USB 헤드셋 H340</t>
    <phoneticPr fontId="4" type="noConversion"/>
  </si>
  <si>
    <t>로지텍 H540</t>
    <phoneticPr fontId="4" type="noConversion"/>
  </si>
  <si>
    <t>스틸시리즈 SIBERIA 200</t>
    <phoneticPr fontId="4" type="noConversion"/>
  </si>
  <si>
    <t>스틸시리즈 SIBERIA 800</t>
    <phoneticPr fontId="4" type="noConversion"/>
  </si>
  <si>
    <t>스틸시리즈 SIBERIA 100</t>
    <phoneticPr fontId="4" type="noConversion"/>
  </si>
  <si>
    <t>스틸시리즈 SIBERIA 350</t>
    <phoneticPr fontId="4" type="noConversion"/>
  </si>
  <si>
    <t>스틸시리즈 FLUX</t>
    <phoneticPr fontId="4" type="noConversion"/>
  </si>
  <si>
    <t>스틸시리즈 SIBERIA 650</t>
    <phoneticPr fontId="4" type="noConversion"/>
  </si>
  <si>
    <r>
      <t>USB도크</t>
    </r>
    <r>
      <rPr>
        <sz val="6"/>
        <color theme="1"/>
        <rFont val="맑은 고딕"/>
        <family val="3"/>
        <charset val="129"/>
        <scheme val="minor"/>
      </rPr>
      <t>(무선)</t>
    </r>
    <phoneticPr fontId="4" type="noConversion"/>
  </si>
  <si>
    <t>스틸시리즈 SIBERIA 150</t>
    <phoneticPr fontId="4" type="noConversion"/>
  </si>
  <si>
    <t>S/W</t>
    <phoneticPr fontId="4" type="noConversion"/>
  </si>
  <si>
    <t>비고1</t>
    <phoneticPr fontId="4" type="noConversion"/>
  </si>
  <si>
    <t>Free</t>
    <phoneticPr fontId="4" type="noConversion"/>
  </si>
  <si>
    <t>Microsoft Windows 10 Home (처음사용자용 한글)</t>
    <phoneticPr fontId="4" type="noConversion"/>
  </si>
  <si>
    <t>Microsoft Windows 10 Home (DSP 한글 64bit)</t>
    <phoneticPr fontId="4" type="noConversion"/>
  </si>
  <si>
    <t>비고2</t>
    <phoneticPr fontId="4" type="noConversion"/>
  </si>
  <si>
    <t>Microsoft Windows 10 Pro (처음사용자용 한글)</t>
    <phoneticPr fontId="4" type="noConversion"/>
  </si>
  <si>
    <t>Microsoft Windows 10 Pro (DSP 한글 64bit)</t>
    <phoneticPr fontId="4" type="noConversion"/>
  </si>
  <si>
    <t>Microsoft Windows 7 Professional (DSP 한글 64Bit)</t>
    <phoneticPr fontId="4" type="noConversion"/>
  </si>
  <si>
    <t>Microsoft Windows 10 Pro (라이센스 GGWA)</t>
    <phoneticPr fontId="4" type="noConversion"/>
  </si>
  <si>
    <t>DSP</t>
    <phoneticPr fontId="4" type="noConversion"/>
  </si>
  <si>
    <t>64bit</t>
    <phoneticPr fontId="4" type="noConversion"/>
  </si>
  <si>
    <t>DSP</t>
    <phoneticPr fontId="4" type="noConversion"/>
  </si>
  <si>
    <t>DSP</t>
    <phoneticPr fontId="4" type="noConversion"/>
  </si>
  <si>
    <t>Microsoft Windows 10 Home (DSP 한글 32bit)</t>
    <phoneticPr fontId="4" type="noConversion"/>
  </si>
  <si>
    <t>Microsoft Windows 10 Pro (DSP 한글 32bit)</t>
    <phoneticPr fontId="4" type="noConversion"/>
  </si>
  <si>
    <t>64bit</t>
    <phoneticPr fontId="4" type="noConversion"/>
  </si>
  <si>
    <t>Microsoft Windows 10 Home (DSP 영문 64bit)</t>
    <phoneticPr fontId="4" type="noConversion"/>
  </si>
  <si>
    <t>Microsoft Windows 10 Pro (DSP 영문 64bit)</t>
    <phoneticPr fontId="4" type="noConversion"/>
  </si>
  <si>
    <t>Linux Ubuntu</t>
    <phoneticPr fontId="4" type="noConversion"/>
  </si>
  <si>
    <t>Linux Mint</t>
    <phoneticPr fontId="4" type="noConversion"/>
  </si>
  <si>
    <t>Linux CentOS</t>
    <phoneticPr fontId="4" type="noConversion"/>
  </si>
  <si>
    <t>Linux Fedora</t>
    <phoneticPr fontId="4" type="noConversion"/>
  </si>
  <si>
    <t>&lt;&lt; 운영체제(OS) &gt;&gt;</t>
    <phoneticPr fontId="4" type="noConversion"/>
  </si>
  <si>
    <t>&lt;&lt; 사무용 프로그램 &gt;&gt;</t>
    <phoneticPr fontId="4" type="noConversion"/>
  </si>
  <si>
    <t>&lt; Windows &gt;</t>
    <phoneticPr fontId="4" type="noConversion"/>
  </si>
  <si>
    <t>&lt; Linux &gt;</t>
    <phoneticPr fontId="4" type="noConversion"/>
  </si>
  <si>
    <t>Linux 하모니카</t>
    <phoneticPr fontId="4" type="noConversion"/>
  </si>
  <si>
    <t>Linux Debian</t>
    <phoneticPr fontId="4" type="noConversion"/>
  </si>
  <si>
    <t>Chrome OS</t>
    <phoneticPr fontId="4" type="noConversion"/>
  </si>
  <si>
    <t>한글/한셀/한쇼</t>
    <phoneticPr fontId="4" type="noConversion"/>
  </si>
  <si>
    <t>Microsoft Office 365 Personal</t>
    <phoneticPr fontId="4" type="noConversion"/>
  </si>
  <si>
    <t>한컴오피스 NEO 홈에디션 ESD (1PC)-다운로드형</t>
    <phoneticPr fontId="4" type="noConversion"/>
  </si>
  <si>
    <t>한컴오피스 NEO 홈에디션 ESD (3PC)-다운로드형</t>
    <phoneticPr fontId="4" type="noConversion"/>
  </si>
  <si>
    <t>가정용[1pc]</t>
    <phoneticPr fontId="4" type="noConversion"/>
  </si>
  <si>
    <t>가정용[3pc]</t>
    <phoneticPr fontId="4" type="noConversion"/>
  </si>
  <si>
    <t>한컴오피스 NEO 홈에디션 MLP (3PC)-배송형</t>
    <phoneticPr fontId="4" type="noConversion"/>
  </si>
  <si>
    <t>Microsoft Office 365 University</t>
    <phoneticPr fontId="4" type="noConversion"/>
  </si>
  <si>
    <t>Microsoft Office 365 Home</t>
    <phoneticPr fontId="4" type="noConversion"/>
  </si>
  <si>
    <t>1년[1pc]</t>
    <phoneticPr fontId="4" type="noConversion"/>
  </si>
  <si>
    <t>학생용[4년][2pc]</t>
    <phoneticPr fontId="4" type="noConversion"/>
  </si>
  <si>
    <t>1년[5pc]</t>
    <phoneticPr fontId="4" type="noConversion"/>
  </si>
  <si>
    <t>Microsoft Office Home &amp; Student</t>
    <phoneticPr fontId="4" type="noConversion"/>
  </si>
  <si>
    <t>1PC</t>
    <phoneticPr fontId="4" type="noConversion"/>
  </si>
  <si>
    <t>Word/Excel/PPT/OneNote만 포함</t>
    <phoneticPr fontId="4" type="noConversion"/>
  </si>
  <si>
    <t>추가하지 않음</t>
    <phoneticPr fontId="4" type="noConversion"/>
  </si>
  <si>
    <t>개수</t>
    <phoneticPr fontId="4" type="noConversion"/>
  </si>
  <si>
    <t>선택</t>
    <phoneticPr fontId="4" type="noConversion"/>
  </si>
  <si>
    <t>NEXI NX45 SATA3 6Gbps -형 lock (1m)</t>
    <phoneticPr fontId="4" type="noConversion"/>
  </si>
  <si>
    <t>NEXI NX47 SATA3 6Gbps ㄱ형 lock (1m)</t>
    <phoneticPr fontId="4" type="noConversion"/>
  </si>
  <si>
    <t>써멀 컴파운드(써멀구리스)</t>
    <phoneticPr fontId="4" type="noConversion"/>
  </si>
  <si>
    <t>기타</t>
    <phoneticPr fontId="4" type="noConversion"/>
  </si>
  <si>
    <t>비고1</t>
    <phoneticPr fontId="4" type="noConversion"/>
  </si>
  <si>
    <t>비고2</t>
    <phoneticPr fontId="4" type="noConversion"/>
  </si>
  <si>
    <t>비고3</t>
    <phoneticPr fontId="4" type="noConversion"/>
  </si>
  <si>
    <t>SATA</t>
    <phoneticPr fontId="4" type="noConversion"/>
  </si>
  <si>
    <t>SATA</t>
    <phoneticPr fontId="4" type="noConversion"/>
  </si>
  <si>
    <t>HDMI</t>
    <phoneticPr fontId="4" type="noConversion"/>
  </si>
  <si>
    <t>HDMI</t>
    <phoneticPr fontId="4" type="noConversion"/>
  </si>
  <si>
    <t>mini-HDMI</t>
    <phoneticPr fontId="4" type="noConversion"/>
  </si>
  <si>
    <t>micro-HDMI</t>
    <phoneticPr fontId="4" type="noConversion"/>
  </si>
  <si>
    <t>HDMI-DVI V1.4 / HDMI-DVI V1.4 1.8M</t>
    <phoneticPr fontId="4" type="noConversion"/>
  </si>
  <si>
    <t>DVI</t>
    <phoneticPr fontId="4" type="noConversion"/>
  </si>
  <si>
    <t>MachLink ML-RGBH020 RGB 3M</t>
    <phoneticPr fontId="4" type="noConversion"/>
  </si>
  <si>
    <t>D-Sub</t>
    <phoneticPr fontId="4" type="noConversion"/>
  </si>
  <si>
    <t>모니터 케이블</t>
    <phoneticPr fontId="4" type="noConversion"/>
  </si>
  <si>
    <t>HDMI 암 to DVI 수 F/M 변환 젠더</t>
    <phoneticPr fontId="4" type="noConversion"/>
  </si>
  <si>
    <t>DVI</t>
    <phoneticPr fontId="4" type="noConversion"/>
  </si>
  <si>
    <t>HDMI 수 to DVI 암 M/F 변환 젠더</t>
    <phoneticPr fontId="4" type="noConversion"/>
  </si>
  <si>
    <t>모니터 케이블 변환젠더</t>
    <phoneticPr fontId="4" type="noConversion"/>
  </si>
  <si>
    <t>HDMI</t>
    <phoneticPr fontId="4" type="noConversion"/>
  </si>
  <si>
    <t>mini-HDMI</t>
    <phoneticPr fontId="4" type="noConversion"/>
  </si>
  <si>
    <t>HDMI to MINI HDMI F/M 변환 젠더</t>
    <phoneticPr fontId="4" type="noConversion"/>
  </si>
  <si>
    <t>HDMI to MICRO HDMI F/M 변환 젠더</t>
    <phoneticPr fontId="4" type="noConversion"/>
  </si>
  <si>
    <t>micro-HDMI</t>
    <phoneticPr fontId="4" type="noConversion"/>
  </si>
  <si>
    <t>모니터 케이블 연장젠더</t>
    <phoneticPr fontId="4" type="noConversion"/>
  </si>
  <si>
    <t>HDMI to HDMI F/F 연장 젠더</t>
    <phoneticPr fontId="4" type="noConversion"/>
  </si>
  <si>
    <t>MINI HDMI to HDMI F/M 변환 젠더</t>
    <phoneticPr fontId="4" type="noConversion"/>
  </si>
  <si>
    <t>MICRO HDMI to HDMI F/M 변환 젠더</t>
    <phoneticPr fontId="4" type="noConversion"/>
  </si>
  <si>
    <t>micro-HDMI</t>
    <phoneticPr fontId="4" type="noConversion"/>
  </si>
  <si>
    <t>MINI HDMI to MICRO HDMI F/M 젠더</t>
    <phoneticPr fontId="4" type="noConversion"/>
  </si>
  <si>
    <t>mini-HDMI</t>
    <phoneticPr fontId="4" type="noConversion"/>
  </si>
  <si>
    <t>DVI</t>
    <phoneticPr fontId="4" type="noConversion"/>
  </si>
  <si>
    <t>마하링크 8P8C I형 커플러 핀 방식 ML-C001</t>
    <phoneticPr fontId="4" type="noConversion"/>
  </si>
  <si>
    <t>RJ45</t>
    <phoneticPr fontId="4" type="noConversion"/>
  </si>
  <si>
    <t>RJ45</t>
    <phoneticPr fontId="4" type="noConversion"/>
  </si>
  <si>
    <t>O</t>
    <phoneticPr fontId="4" type="noConversion"/>
  </si>
  <si>
    <t>D-SUB</t>
    <phoneticPr fontId="4" type="noConversion"/>
  </si>
  <si>
    <t>D-SUB</t>
    <phoneticPr fontId="4" type="noConversion"/>
  </si>
  <si>
    <t>DVI</t>
    <phoneticPr fontId="4" type="noConversion"/>
  </si>
  <si>
    <t>DVI</t>
    <phoneticPr fontId="4" type="noConversion"/>
  </si>
  <si>
    <t>D-SUB 15핀 to DVI-I F/M 듀얼 젠더</t>
    <phoneticPr fontId="4" type="noConversion"/>
  </si>
  <si>
    <t>D-SUB 15핀 to DVI M/F 변환 젠더</t>
    <phoneticPr fontId="4" type="noConversion"/>
  </si>
  <si>
    <t>D-SUB 3열 15핀 암 F/F 변환 젠더</t>
    <phoneticPr fontId="4" type="noConversion"/>
  </si>
  <si>
    <t>DVI-D케이블 듀얼1.8M</t>
    <phoneticPr fontId="4" type="noConversion"/>
  </si>
  <si>
    <t>DVI-I TO RGB 변환 케이블 1.5M</t>
    <phoneticPr fontId="4" type="noConversion"/>
  </si>
  <si>
    <t>RGB</t>
    <phoneticPr fontId="4" type="noConversion"/>
  </si>
  <si>
    <t>DP to HDMI 케이블 1.8M NX211</t>
    <phoneticPr fontId="4" type="noConversion"/>
  </si>
  <si>
    <t>DP</t>
    <phoneticPr fontId="4" type="noConversion"/>
  </si>
  <si>
    <t>DP to DVI 케이블 1.8M NX214-3</t>
    <phoneticPr fontId="4" type="noConversion"/>
  </si>
  <si>
    <t>DP 케이블 2M C2759</t>
    <phoneticPr fontId="4" type="noConversion"/>
  </si>
  <si>
    <t>Mini DP to HDMI 케이블 2M NX209</t>
    <phoneticPr fontId="4" type="noConversion"/>
  </si>
  <si>
    <t>m-DP</t>
    <phoneticPr fontId="4" type="noConversion"/>
  </si>
  <si>
    <t>Mini DP to DP 케이블 1M NX213</t>
    <phoneticPr fontId="4" type="noConversion"/>
  </si>
  <si>
    <t>m-DP</t>
    <phoneticPr fontId="4" type="noConversion"/>
  </si>
  <si>
    <t>DP 연장젠더 G2762</t>
    <phoneticPr fontId="4" type="noConversion"/>
  </si>
  <si>
    <t>DP to HDMI 젠더 G2757</t>
    <phoneticPr fontId="4" type="noConversion"/>
  </si>
  <si>
    <t>DP to DVI 젠더 G2758</t>
    <phoneticPr fontId="4" type="noConversion"/>
  </si>
  <si>
    <t>DP</t>
    <phoneticPr fontId="4" type="noConversion"/>
  </si>
  <si>
    <t>HDMI</t>
    <phoneticPr fontId="4" type="noConversion"/>
  </si>
  <si>
    <t>Mini DP to HDMI 젠더 SP718</t>
    <phoneticPr fontId="4" type="noConversion"/>
  </si>
  <si>
    <t>Mini DP to DP젠더 BE984</t>
    <phoneticPr fontId="4" type="noConversion"/>
  </si>
  <si>
    <t>Mini DP to DP 젠더 BE102</t>
    <phoneticPr fontId="4" type="noConversion"/>
  </si>
  <si>
    <t>DP</t>
    <phoneticPr fontId="4" type="noConversion"/>
  </si>
  <si>
    <t>m-DP</t>
    <phoneticPr fontId="4" type="noConversion"/>
  </si>
  <si>
    <t>HDMI2.0버젼 / NX340 HD2.0 2M</t>
    <phoneticPr fontId="4" type="noConversion"/>
  </si>
  <si>
    <t>MINI-MICRO / NX66 MICRO HDMI 1.5M</t>
    <phoneticPr fontId="4" type="noConversion"/>
  </si>
  <si>
    <t>MINI-MICRO / NX64 MINI HDMI 1.5M</t>
    <phoneticPr fontId="4" type="noConversion"/>
  </si>
  <si>
    <t>랜선 (인터넷선)</t>
    <phoneticPr fontId="4" type="noConversion"/>
  </si>
  <si>
    <t>Nexi 기가랜 케이블, Cat.6 UTP 케이블 5M</t>
    <phoneticPr fontId="4" type="noConversion"/>
  </si>
  <si>
    <t>CAT5E 랜선 기본컬러 / NX CAT5E 1M</t>
    <phoneticPr fontId="4" type="noConversion"/>
  </si>
  <si>
    <t>Nexi 기가랜 케이블, Cat.6 UTP 케이블 1M</t>
    <phoneticPr fontId="4" type="noConversion"/>
  </si>
  <si>
    <t>CAT5E 랜선 기본컬러 / NX CAT5E 5M</t>
    <phoneticPr fontId="4" type="noConversion"/>
  </si>
  <si>
    <t>CAT5E 랜선 기본컬러 / NX CAT5E 10M</t>
    <phoneticPr fontId="4" type="noConversion"/>
  </si>
  <si>
    <t>CAT5E 랜선 기본컬러 / NX CAT5E 15M</t>
    <phoneticPr fontId="4" type="noConversion"/>
  </si>
  <si>
    <t>CAT5E 랜선 기본컬러 / NX CAT5E 20M</t>
    <phoneticPr fontId="4" type="noConversion"/>
  </si>
  <si>
    <t>CAT5E 랜선 기본컬러 / NX CAT5E 30M</t>
    <phoneticPr fontId="4" type="noConversion"/>
  </si>
  <si>
    <t>CAT5E 랜선 기본컬러 / NX CAT5E 50M</t>
    <phoneticPr fontId="4" type="noConversion"/>
  </si>
  <si>
    <t>CAT6</t>
    <phoneticPr fontId="4" type="noConversion"/>
  </si>
  <si>
    <t>CAT5E</t>
    <phoneticPr fontId="4" type="noConversion"/>
  </si>
  <si>
    <t>[G9678] Coms DVI 연장 젠더</t>
    <phoneticPr fontId="4" type="noConversion"/>
  </si>
  <si>
    <t>4pin to S-ATA x2 Y 케이블 사타Y전원케이블</t>
    <phoneticPr fontId="4" type="noConversion"/>
  </si>
  <si>
    <t>4pin(MOLLEX)</t>
    <phoneticPr fontId="4" type="noConversion"/>
  </si>
  <si>
    <r>
      <t>2xSATA</t>
    </r>
    <r>
      <rPr>
        <sz val="6"/>
        <color theme="1"/>
        <rFont val="맑은 고딕"/>
        <family val="3"/>
        <charset val="129"/>
        <scheme val="minor"/>
      </rPr>
      <t>(PSU)</t>
    </r>
    <phoneticPr fontId="4" type="noConversion"/>
  </si>
  <si>
    <t>4.1W/mK</t>
    <phoneticPr fontId="4" type="noConversion"/>
  </si>
  <si>
    <t>8.5W/mK</t>
    <phoneticPr fontId="4" type="noConversion"/>
  </si>
  <si>
    <t>4g</t>
    <phoneticPr fontId="4" type="noConversion"/>
  </si>
  <si>
    <t>3.5g</t>
    <phoneticPr fontId="4" type="noConversion"/>
  </si>
  <si>
    <t>4W/mK</t>
    <phoneticPr fontId="4" type="noConversion"/>
  </si>
  <si>
    <t>Thermalright CF3</t>
    <phoneticPr fontId="4" type="noConversion"/>
  </si>
  <si>
    <t>4g</t>
    <phoneticPr fontId="4" type="noConversion"/>
  </si>
  <si>
    <t>3.5W/mK</t>
    <phoneticPr fontId="4" type="noConversion"/>
  </si>
  <si>
    <t>1.4mL</t>
    <phoneticPr fontId="4" type="noConversion"/>
  </si>
  <si>
    <t>NOCTUA NT-H1</t>
    <phoneticPr fontId="4" type="noConversion"/>
  </si>
  <si>
    <t>쿨러마스터 MASTERGEL MAKER NANO</t>
    <phoneticPr fontId="4" type="noConversion"/>
  </si>
  <si>
    <t>11W/mK</t>
    <phoneticPr fontId="4" type="noConversion"/>
  </si>
  <si>
    <t>4g/1.5mL</t>
    <phoneticPr fontId="4" type="noConversion"/>
  </si>
  <si>
    <t xml:space="preserve">써모랩 L2 </t>
    <phoneticPr fontId="4" type="noConversion"/>
  </si>
  <si>
    <t>2g</t>
    <phoneticPr fontId="4" type="noConversion"/>
  </si>
  <si>
    <t>8.7W/mK</t>
    <phoneticPr fontId="4" type="noConversion"/>
  </si>
  <si>
    <t>Arctic Silver 5 (3.5g)</t>
    <phoneticPr fontId="4" type="noConversion"/>
  </si>
  <si>
    <t>‍</t>
    <phoneticPr fontId="4" type="noConversion"/>
  </si>
  <si>
    <t>비율</t>
    <phoneticPr fontId="4" type="noConversion"/>
  </si>
  <si>
    <t>BenQ GW2270 아이케어 무결점</t>
    <phoneticPr fontId="4" type="noConversion"/>
  </si>
  <si>
    <t>BenQ</t>
    <phoneticPr fontId="4" type="noConversion"/>
  </si>
  <si>
    <t>1920x1080</t>
    <phoneticPr fontId="4" type="noConversion"/>
  </si>
  <si>
    <t>16:9</t>
    <phoneticPr fontId="4" type="noConversion"/>
  </si>
  <si>
    <t>A-MVA+</t>
    <phoneticPr fontId="4" type="noConversion"/>
  </si>
  <si>
    <t>3K:1</t>
    <phoneticPr fontId="4" type="noConversion"/>
  </si>
  <si>
    <t>20M:1</t>
    <phoneticPr fontId="4" type="noConversion"/>
  </si>
  <si>
    <t>NTSC 72</t>
    <phoneticPr fontId="4" type="noConversion"/>
  </si>
  <si>
    <t>16:9</t>
    <phoneticPr fontId="4" type="noConversion"/>
  </si>
  <si>
    <t>대기전력</t>
    <phoneticPr fontId="4" type="noConversion"/>
  </si>
  <si>
    <t>무게</t>
    <phoneticPr fontId="4" type="noConversion"/>
  </si>
  <si>
    <t>FreeSync</t>
    <phoneticPr fontId="4" type="noConversion"/>
  </si>
  <si>
    <t>FreeSync</t>
    <phoneticPr fontId="4" type="noConversion"/>
  </si>
  <si>
    <t>16:9</t>
    <phoneticPr fontId="4" type="noConversion"/>
  </si>
  <si>
    <t>BenQ GW2470H 아이케어 무결점</t>
    <phoneticPr fontId="4" type="noConversion"/>
  </si>
  <si>
    <t>16:9</t>
    <phoneticPr fontId="4" type="noConversion"/>
  </si>
  <si>
    <t>72%</t>
    <phoneticPr fontId="4" type="noConversion"/>
  </si>
  <si>
    <t xml:space="preserve">BenQ EW2440ZH 아이케어 무결점 </t>
    <phoneticPr fontId="4" type="noConversion"/>
  </si>
  <si>
    <t>72%</t>
    <phoneticPr fontId="4" type="noConversion"/>
  </si>
  <si>
    <t>NTSC 72</t>
    <phoneticPr fontId="4" type="noConversion"/>
  </si>
  <si>
    <t>BenQ GL2460HM 아이케어 무결점</t>
    <phoneticPr fontId="4" type="noConversion"/>
  </si>
  <si>
    <t>1K:1</t>
    <phoneticPr fontId="4" type="noConversion"/>
  </si>
  <si>
    <t>12M:1</t>
    <phoneticPr fontId="4" type="noConversion"/>
  </si>
  <si>
    <t>TN</t>
    <phoneticPr fontId="4" type="noConversion"/>
  </si>
  <si>
    <t>BenQ EW2750ZL 아이케어 무결점</t>
    <phoneticPr fontId="4" type="noConversion"/>
  </si>
  <si>
    <t>NTSC 72</t>
    <phoneticPr fontId="4" type="noConversion"/>
  </si>
  <si>
    <t xml:space="preserve">BenQ XL2720Z 아이케어 무결점 </t>
    <phoneticPr fontId="4" type="noConversion"/>
  </si>
  <si>
    <t>sRGB 100%</t>
    <phoneticPr fontId="4" type="noConversion"/>
  </si>
  <si>
    <t>BenQ EW2775ZH 아이케어 무결점</t>
    <phoneticPr fontId="4" type="noConversion"/>
  </si>
  <si>
    <t>72%</t>
    <phoneticPr fontId="4" type="noConversion"/>
  </si>
  <si>
    <t>m-</t>
    <phoneticPr fontId="4" type="noConversion"/>
  </si>
  <si>
    <t>2K:1</t>
    <phoneticPr fontId="4" type="noConversion"/>
  </si>
  <si>
    <t>LG전자 40MB27HM</t>
    <phoneticPr fontId="4" type="noConversion"/>
  </si>
  <si>
    <t>LG전자</t>
    <phoneticPr fontId="4" type="noConversion"/>
  </si>
  <si>
    <t>1920x1080</t>
    <phoneticPr fontId="4" type="noConversion"/>
  </si>
  <si>
    <t>VA</t>
    <phoneticPr fontId="4" type="noConversion"/>
  </si>
  <si>
    <t>5K:1</t>
    <phoneticPr fontId="4" type="noConversion"/>
  </si>
  <si>
    <t>5M:1</t>
    <phoneticPr fontId="4" type="noConversion"/>
  </si>
  <si>
    <t>LG전자 울트라와이드 34UC98</t>
    <phoneticPr fontId="4" type="noConversion"/>
  </si>
  <si>
    <t>21:9</t>
    <phoneticPr fontId="4" type="noConversion"/>
  </si>
  <si>
    <t>O</t>
    <phoneticPr fontId="4" type="noConversion"/>
  </si>
  <si>
    <t>FreeSync</t>
    <phoneticPr fontId="4" type="noConversion"/>
  </si>
  <si>
    <t>21:9</t>
    <phoneticPr fontId="4" type="noConversion"/>
  </si>
  <si>
    <t xml:space="preserve">삼성전자 S34E790C </t>
    <phoneticPr fontId="4" type="noConversion"/>
  </si>
  <si>
    <t>LG전자 울트라와이드 34UM58</t>
    <phoneticPr fontId="4" type="noConversion"/>
  </si>
  <si>
    <t>21:9</t>
    <phoneticPr fontId="4" type="noConversion"/>
  </si>
  <si>
    <t>IPS</t>
    <phoneticPr fontId="4" type="noConversion"/>
  </si>
  <si>
    <t>무한:1</t>
    <phoneticPr fontId="4" type="noConversion"/>
  </si>
  <si>
    <t>sRGB 100</t>
    <phoneticPr fontId="4" type="noConversion"/>
  </si>
  <si>
    <t>LG전자 울트라와이드 34UC97</t>
    <phoneticPr fontId="4" type="noConversion"/>
  </si>
  <si>
    <t>1K:1</t>
    <phoneticPr fontId="4" type="noConversion"/>
  </si>
  <si>
    <t>10M:1</t>
    <phoneticPr fontId="4" type="noConversion"/>
  </si>
  <si>
    <t>sRGB 100</t>
    <phoneticPr fontId="4" type="noConversion"/>
  </si>
  <si>
    <t>DELL</t>
    <phoneticPr fontId="4" type="noConversion"/>
  </si>
  <si>
    <t>3440x1440</t>
    <phoneticPr fontId="4" type="noConversion"/>
  </si>
  <si>
    <t>IPS</t>
    <phoneticPr fontId="4" type="noConversion"/>
  </si>
  <si>
    <t>20M:1</t>
    <phoneticPr fontId="4" type="noConversion"/>
  </si>
  <si>
    <t>일반소비</t>
    <phoneticPr fontId="4" type="noConversion"/>
  </si>
  <si>
    <t>DELL U3415W New</t>
    <phoneticPr fontId="4" type="noConversion"/>
  </si>
  <si>
    <t>DELL</t>
    <phoneticPr fontId="4" type="noConversion"/>
  </si>
  <si>
    <t>3840x2160</t>
    <phoneticPr fontId="4" type="noConversion"/>
  </si>
  <si>
    <t>IPS</t>
    <phoneticPr fontId="4" type="noConversion"/>
  </si>
  <si>
    <t>1K:1</t>
    <phoneticPr fontId="4" type="noConversion"/>
  </si>
  <si>
    <t>2M:1</t>
    <phoneticPr fontId="4" type="noConversion"/>
  </si>
  <si>
    <t>DELL UltraSharp UP3216Q</t>
    <phoneticPr fontId="4" type="noConversion"/>
  </si>
  <si>
    <t>DELL</t>
    <phoneticPr fontId="4" type="noConversion"/>
  </si>
  <si>
    <t>DELL</t>
    <phoneticPr fontId="4" type="noConversion"/>
  </si>
  <si>
    <t>2560x1440</t>
    <phoneticPr fontId="4" type="noConversion"/>
  </si>
  <si>
    <t>IPS</t>
    <phoneticPr fontId="4" type="noConversion"/>
  </si>
  <si>
    <t>sRGB 99</t>
    <phoneticPr fontId="4" type="noConversion"/>
  </si>
  <si>
    <t>DELL UltraSharp U2515H</t>
    <phoneticPr fontId="4" type="noConversion"/>
  </si>
  <si>
    <t>DELL UltraSharp UP2516D</t>
    <phoneticPr fontId="4" type="noConversion"/>
  </si>
  <si>
    <t>O</t>
    <phoneticPr fontId="4" type="noConversion"/>
  </si>
  <si>
    <t>O</t>
    <phoneticPr fontId="4" type="noConversion"/>
  </si>
  <si>
    <t>DELL S2240L</t>
    <phoneticPr fontId="4" type="noConversion"/>
  </si>
  <si>
    <t>8M:1</t>
    <phoneticPr fontId="4" type="noConversion"/>
  </si>
  <si>
    <t>82%</t>
    <phoneticPr fontId="4" type="noConversion"/>
  </si>
  <si>
    <t>DELL S2316H</t>
    <phoneticPr fontId="4" type="noConversion"/>
  </si>
  <si>
    <t>DELL UP2716D</t>
    <phoneticPr fontId="4" type="noConversion"/>
  </si>
  <si>
    <t>2560x1440</t>
    <phoneticPr fontId="4" type="noConversion"/>
  </si>
  <si>
    <t>5120x2880</t>
    <phoneticPr fontId="4" type="noConversion"/>
  </si>
  <si>
    <t>2560x1440</t>
    <phoneticPr fontId="4" type="noConversion"/>
  </si>
  <si>
    <t>1K:1</t>
    <phoneticPr fontId="4" type="noConversion"/>
  </si>
  <si>
    <t>2M:1</t>
    <phoneticPr fontId="4" type="noConversion"/>
  </si>
  <si>
    <t>무한:1</t>
    <phoneticPr fontId="4" type="noConversion"/>
  </si>
  <si>
    <t>IPS</t>
    <phoneticPr fontId="4" type="noConversion"/>
  </si>
  <si>
    <t>DELL SE2716H</t>
    <phoneticPr fontId="4" type="noConversion"/>
  </si>
  <si>
    <t>DELL</t>
    <phoneticPr fontId="4" type="noConversion"/>
  </si>
  <si>
    <t>DELL UltraSharp U2715H</t>
    <phoneticPr fontId="4" type="noConversion"/>
  </si>
  <si>
    <t>1920X1080</t>
    <phoneticPr fontId="4" type="noConversion"/>
  </si>
  <si>
    <t>VA(곡면)</t>
    <phoneticPr fontId="4" type="noConversion"/>
  </si>
  <si>
    <t>3K:1</t>
    <phoneticPr fontId="4" type="noConversion"/>
  </si>
  <si>
    <t>8M:1</t>
    <phoneticPr fontId="4" type="noConversion"/>
  </si>
  <si>
    <t>85%</t>
    <phoneticPr fontId="4" type="noConversion"/>
  </si>
  <si>
    <t>DELL UltraSharp UP2715K</t>
    <phoneticPr fontId="4" type="noConversion"/>
  </si>
  <si>
    <t>DELL S2715H</t>
    <phoneticPr fontId="4" type="noConversion"/>
  </si>
  <si>
    <t>알파스캔 AOC UHD 2868 MHL+DP</t>
    <phoneticPr fontId="4" type="noConversion"/>
  </si>
  <si>
    <t>16:9</t>
    <phoneticPr fontId="4" type="noConversion"/>
  </si>
  <si>
    <t>알파스캔 AOC 2777 IPS MHL+DP 무결점</t>
    <phoneticPr fontId="4" type="noConversion"/>
  </si>
  <si>
    <t>알파스캔 프레스티지 2724 IPS LED 무결점</t>
    <phoneticPr fontId="4" type="noConversion"/>
  </si>
  <si>
    <t>알파스캔 27NB77PR IPS 시력보호 무결점</t>
    <phoneticPr fontId="4" type="noConversion"/>
  </si>
  <si>
    <t>알파스캔 AOC 2769 IPS MHL+DP 무결점</t>
    <phoneticPr fontId="4" type="noConversion"/>
  </si>
  <si>
    <t>알파스캔 AOC 2779 광시야각 플리커프리 무결점</t>
    <phoneticPr fontId="4" type="noConversion"/>
  </si>
  <si>
    <t>알파스캔 AOC 2781 IPS 레이저 플리커프리 무결점</t>
    <phoneticPr fontId="4" type="noConversion"/>
  </si>
  <si>
    <t>알파스캔 프레스티지 2714 ADS MHL 무결점</t>
    <phoneticPr fontId="4" type="noConversion"/>
  </si>
  <si>
    <t>AH-IPS</t>
    <phoneticPr fontId="4" type="noConversion"/>
  </si>
  <si>
    <t>10M:1</t>
    <phoneticPr fontId="4" type="noConversion"/>
  </si>
  <si>
    <t>PLS</t>
    <phoneticPr fontId="4" type="noConversion"/>
  </si>
  <si>
    <t>1K:1</t>
    <phoneticPr fontId="4" type="noConversion"/>
  </si>
  <si>
    <t>NTSC 82</t>
    <phoneticPr fontId="4" type="noConversion"/>
  </si>
  <si>
    <t>AH-IPS</t>
    <phoneticPr fontId="4" type="noConversion"/>
  </si>
  <si>
    <t>50M:1</t>
    <phoneticPr fontId="4" type="noConversion"/>
  </si>
  <si>
    <t>알파스캔 AOC 2579 IPS MHL 16:9 무결점</t>
    <phoneticPr fontId="4" type="noConversion"/>
  </si>
  <si>
    <t>알파스캔 프레스티지 2215 LED 무결점</t>
    <phoneticPr fontId="4" type="noConversion"/>
  </si>
  <si>
    <t>알파스캔 2250AH1 무결점</t>
    <phoneticPr fontId="4" type="noConversion"/>
  </si>
  <si>
    <t>알파스캔 AOC 2281 IPS 플리커프리 무결점</t>
    <phoneticPr fontId="4" type="noConversion"/>
  </si>
  <si>
    <t>TN</t>
    <phoneticPr fontId="4" type="noConversion"/>
  </si>
  <si>
    <t>1K:1</t>
    <phoneticPr fontId="4" type="noConversion"/>
  </si>
  <si>
    <t>5M:1</t>
    <phoneticPr fontId="4" type="noConversion"/>
  </si>
  <si>
    <t>TN</t>
    <phoneticPr fontId="4" type="noConversion"/>
  </si>
  <si>
    <t>1K:1</t>
    <phoneticPr fontId="4" type="noConversion"/>
  </si>
  <si>
    <t>5M:1</t>
    <phoneticPr fontId="4" type="noConversion"/>
  </si>
  <si>
    <t>AH-IPS</t>
    <phoneticPr fontId="4" type="noConversion"/>
  </si>
  <si>
    <t>알파스캔 AOC 2381 IPS 레이저 플리커프리 무결점</t>
    <phoneticPr fontId="4" type="noConversion"/>
  </si>
  <si>
    <t>50M:1</t>
    <phoneticPr fontId="4" type="noConversion"/>
  </si>
  <si>
    <t>알파스캔 AOC 2481 IPS 레이저 플리커프리 무결점</t>
    <phoneticPr fontId="4" type="noConversion"/>
  </si>
  <si>
    <t>알파스캔 2400 ADS MHL 무결점</t>
    <phoneticPr fontId="4" type="noConversion"/>
  </si>
  <si>
    <t>알파스캔 24NB77PR IPS 시력보호 무결점</t>
    <phoneticPr fontId="4" type="noConversion"/>
  </si>
  <si>
    <t>알파스캔 프레스티지 2415 LED 무결점</t>
    <phoneticPr fontId="4" type="noConversion"/>
  </si>
  <si>
    <t>알파스캔 AOC 2470 광시야각 플리커프리 무결점</t>
    <phoneticPr fontId="4" type="noConversion"/>
  </si>
  <si>
    <t>50M:1</t>
    <phoneticPr fontId="4" type="noConversion"/>
  </si>
  <si>
    <t>AD-PLS</t>
    <phoneticPr fontId="4" type="noConversion"/>
  </si>
  <si>
    <t>1K:1</t>
    <phoneticPr fontId="4" type="noConversion"/>
  </si>
  <si>
    <t>5M:1</t>
    <phoneticPr fontId="4" type="noConversion"/>
  </si>
  <si>
    <t>AH-IPS</t>
    <phoneticPr fontId="4" type="noConversion"/>
  </si>
  <si>
    <t>MVA</t>
    <phoneticPr fontId="4" type="noConversion"/>
  </si>
  <si>
    <t>3K:1</t>
    <phoneticPr fontId="4" type="noConversion"/>
  </si>
  <si>
    <t>삼성전자 T28E310</t>
    <phoneticPr fontId="4" type="noConversion"/>
  </si>
  <si>
    <t>삼성전자 T28D310KD</t>
    <phoneticPr fontId="4" type="noConversion"/>
  </si>
  <si>
    <t>삼성전자 U28E590D</t>
    <phoneticPr fontId="4" type="noConversion"/>
  </si>
  <si>
    <t>1366x768</t>
    <phoneticPr fontId="4" type="noConversion"/>
  </si>
  <si>
    <t>VA</t>
    <phoneticPr fontId="4" type="noConversion"/>
  </si>
  <si>
    <t>1.2K:1</t>
    <phoneticPr fontId="4" type="noConversion"/>
  </si>
  <si>
    <t>무한:1</t>
    <phoneticPr fontId="4" type="noConversion"/>
  </si>
  <si>
    <t>LG전자 울트라와이드 29UM58</t>
    <phoneticPr fontId="4" type="noConversion"/>
  </si>
  <si>
    <t>21:9</t>
    <phoneticPr fontId="4" type="noConversion"/>
  </si>
  <si>
    <t>IPS</t>
    <phoneticPr fontId="4" type="noConversion"/>
  </si>
  <si>
    <t>17:9</t>
    <phoneticPr fontId="4" type="noConversion"/>
  </si>
  <si>
    <t>삼성전자 C32F391F</t>
    <phoneticPr fontId="4" type="noConversion"/>
  </si>
  <si>
    <t>삼성전자 S32E511C</t>
    <phoneticPr fontId="4" type="noConversion"/>
  </si>
  <si>
    <t>삼성전자 S32F351F</t>
    <phoneticPr fontId="4" type="noConversion"/>
  </si>
  <si>
    <t>3K:1</t>
    <phoneticPr fontId="4" type="noConversion"/>
  </si>
  <si>
    <t>무한:1</t>
    <phoneticPr fontId="4" type="noConversion"/>
  </si>
  <si>
    <t>VA(곡면)</t>
    <phoneticPr fontId="4" type="noConversion"/>
  </si>
  <si>
    <t>NSTC 72</t>
    <phoneticPr fontId="4" type="noConversion"/>
  </si>
  <si>
    <t>1920x1080</t>
    <phoneticPr fontId="4" type="noConversion"/>
  </si>
  <si>
    <t>5K:1</t>
    <phoneticPr fontId="4" type="noConversion"/>
  </si>
  <si>
    <t>LG전자 32MB27HM</t>
    <phoneticPr fontId="4" type="noConversion"/>
  </si>
  <si>
    <t>LG전자 32MN58HM</t>
    <phoneticPr fontId="4" type="noConversion"/>
  </si>
  <si>
    <t xml:space="preserve">LG전자 32MP58HQW </t>
    <phoneticPr fontId="4" type="noConversion"/>
  </si>
  <si>
    <t>1920x1080</t>
    <phoneticPr fontId="4" type="noConversion"/>
  </si>
  <si>
    <t>IPS</t>
    <phoneticPr fontId="4" type="noConversion"/>
  </si>
  <si>
    <t>1K:1</t>
    <phoneticPr fontId="4" type="noConversion"/>
  </si>
  <si>
    <t>무한:1</t>
    <phoneticPr fontId="4" type="noConversion"/>
  </si>
  <si>
    <t>1920x1080</t>
    <phoneticPr fontId="4" type="noConversion"/>
  </si>
  <si>
    <t>무한:1</t>
    <phoneticPr fontId="4" type="noConversion"/>
  </si>
  <si>
    <t>LG전자 32MP58HQ</t>
    <phoneticPr fontId="4" type="noConversion"/>
  </si>
  <si>
    <t>1.2K:1</t>
    <phoneticPr fontId="4" type="noConversion"/>
  </si>
  <si>
    <t>LG전자 22MP58VQ</t>
    <phoneticPr fontId="4" type="noConversion"/>
  </si>
  <si>
    <t>무한:1</t>
    <phoneticPr fontId="4" type="noConversion"/>
  </si>
  <si>
    <t>LG전자 23MP47HQ</t>
    <phoneticPr fontId="4" type="noConversion"/>
  </si>
  <si>
    <t>삼성전자 S22F350</t>
    <phoneticPr fontId="4" type="noConversion"/>
  </si>
  <si>
    <t>TN</t>
    <phoneticPr fontId="4" type="noConversion"/>
  </si>
  <si>
    <t>10M:1</t>
    <phoneticPr fontId="4" type="noConversion"/>
  </si>
  <si>
    <t>LG전자 24MT47DC</t>
    <phoneticPr fontId="4" type="noConversion"/>
  </si>
  <si>
    <t>LG전자 24MT48DC</t>
    <phoneticPr fontId="4" type="noConversion"/>
  </si>
  <si>
    <t>LG전자 24MP58VQ</t>
    <phoneticPr fontId="4" type="noConversion"/>
  </si>
  <si>
    <t>IPS</t>
    <phoneticPr fontId="4" type="noConversion"/>
  </si>
  <si>
    <t>1K:1</t>
    <phoneticPr fontId="4" type="noConversion"/>
  </si>
  <si>
    <t>무한:1</t>
    <phoneticPr fontId="4" type="noConversion"/>
  </si>
  <si>
    <t>5M:1</t>
    <phoneticPr fontId="4" type="noConversion"/>
  </si>
  <si>
    <t>LG전자 24MT58DF</t>
    <phoneticPr fontId="4" type="noConversion"/>
  </si>
  <si>
    <t>5M:1</t>
    <phoneticPr fontId="4" type="noConversion"/>
  </si>
  <si>
    <t>삼성전자 T24E310</t>
    <phoneticPr fontId="4" type="noConversion"/>
  </si>
  <si>
    <t xml:space="preserve">삼성전자 S24D340HS </t>
    <phoneticPr fontId="4" type="noConversion"/>
  </si>
  <si>
    <t>삼성전자 C24F390F</t>
    <phoneticPr fontId="4" type="noConversion"/>
  </si>
  <si>
    <t>삼성전자 S24F350</t>
    <phoneticPr fontId="4" type="noConversion"/>
  </si>
  <si>
    <t>1366x768</t>
    <phoneticPr fontId="4" type="noConversion"/>
  </si>
  <si>
    <t>PLS</t>
    <phoneticPr fontId="4" type="noConversion"/>
  </si>
  <si>
    <t>1K:1</t>
    <phoneticPr fontId="4" type="noConversion"/>
  </si>
  <si>
    <t>10M:1</t>
    <phoneticPr fontId="4" type="noConversion"/>
  </si>
  <si>
    <t>72%</t>
    <phoneticPr fontId="4" type="noConversion"/>
  </si>
  <si>
    <t>VA(곡면)</t>
    <phoneticPr fontId="4" type="noConversion"/>
  </si>
  <si>
    <t>무한:1</t>
    <phoneticPr fontId="4" type="noConversion"/>
  </si>
  <si>
    <t>NTSC 72</t>
    <phoneticPr fontId="4" type="noConversion"/>
  </si>
  <si>
    <t>O</t>
    <phoneticPr fontId="4" type="noConversion"/>
  </si>
  <si>
    <t>VA</t>
    <phoneticPr fontId="4" type="noConversion"/>
  </si>
  <si>
    <t>3K:1</t>
    <phoneticPr fontId="4" type="noConversion"/>
  </si>
  <si>
    <t>무한:1</t>
    <phoneticPr fontId="4" type="noConversion"/>
  </si>
  <si>
    <t>LG전자 27MP47HQ</t>
    <phoneticPr fontId="4" type="noConversion"/>
  </si>
  <si>
    <t>LG전자 27MT58DF</t>
    <phoneticPr fontId="4" type="noConversion"/>
  </si>
  <si>
    <t>LG전자 27UD88</t>
    <phoneticPr fontId="4" type="noConversion"/>
  </si>
  <si>
    <t>LG전자 27UD68P</t>
    <phoneticPr fontId="4" type="noConversion"/>
  </si>
  <si>
    <t>LG전자 27MP38VQ</t>
    <phoneticPr fontId="4" type="noConversion"/>
  </si>
  <si>
    <t>1920x1080</t>
    <phoneticPr fontId="4" type="noConversion"/>
  </si>
  <si>
    <t>3840x2160</t>
    <phoneticPr fontId="4" type="noConversion"/>
  </si>
  <si>
    <t>3840x2160</t>
    <phoneticPr fontId="4" type="noConversion"/>
  </si>
  <si>
    <t>1920X1080</t>
    <phoneticPr fontId="4" type="noConversion"/>
  </si>
  <si>
    <t>1920x1080</t>
    <phoneticPr fontId="4" type="noConversion"/>
  </si>
  <si>
    <t>IPS</t>
    <phoneticPr fontId="4" type="noConversion"/>
  </si>
  <si>
    <t>1K:1</t>
    <phoneticPr fontId="4" type="noConversion"/>
  </si>
  <si>
    <t>무한:1</t>
    <phoneticPr fontId="4" type="noConversion"/>
  </si>
  <si>
    <t>IPS</t>
    <phoneticPr fontId="4" type="noConversion"/>
  </si>
  <si>
    <t>IPS</t>
    <phoneticPr fontId="4" type="noConversion"/>
  </si>
  <si>
    <t>무한:1</t>
    <phoneticPr fontId="4" type="noConversion"/>
  </si>
  <si>
    <t>FreeSync</t>
    <phoneticPr fontId="4" type="noConversion"/>
  </si>
  <si>
    <t>sRGB 100</t>
    <phoneticPr fontId="4" type="noConversion"/>
  </si>
  <si>
    <t>IPS</t>
    <phoneticPr fontId="4" type="noConversion"/>
  </si>
  <si>
    <t>1K:1</t>
    <phoneticPr fontId="4" type="noConversion"/>
  </si>
  <si>
    <t>무한:1</t>
    <phoneticPr fontId="4" type="noConversion"/>
  </si>
  <si>
    <t>삼성전자 S27E500C</t>
    <phoneticPr fontId="4" type="noConversion"/>
  </si>
  <si>
    <t>삼성전자 C27F591F</t>
    <phoneticPr fontId="4" type="noConversion"/>
  </si>
  <si>
    <t>삼성전자 C27F581F</t>
    <phoneticPr fontId="4" type="noConversion"/>
  </si>
  <si>
    <t>삼성전자 S27F350</t>
    <phoneticPr fontId="4" type="noConversion"/>
  </si>
  <si>
    <t>삼성전자 C27F390F</t>
    <phoneticPr fontId="4" type="noConversion"/>
  </si>
  <si>
    <t>VA(곡면)</t>
    <phoneticPr fontId="4" type="noConversion"/>
  </si>
  <si>
    <t>3K:1</t>
    <phoneticPr fontId="4" type="noConversion"/>
  </si>
  <si>
    <t>무한:1</t>
    <phoneticPr fontId="4" type="noConversion"/>
  </si>
  <si>
    <t>NTSC 72</t>
    <phoneticPr fontId="4" type="noConversion"/>
  </si>
  <si>
    <t>PLS</t>
    <phoneticPr fontId="4" type="noConversion"/>
  </si>
  <si>
    <t>1K:1</t>
    <phoneticPr fontId="4" type="noConversion"/>
  </si>
  <si>
    <t>10M:1</t>
    <phoneticPr fontId="4" type="noConversion"/>
  </si>
  <si>
    <t>72%</t>
    <phoneticPr fontId="4" type="noConversion"/>
  </si>
  <si>
    <t>VA</t>
    <phoneticPr fontId="4" type="noConversion"/>
  </si>
  <si>
    <t>sRGB 119%</t>
    <phoneticPr fontId="4" type="noConversion"/>
  </si>
  <si>
    <t>VA(곡면)</t>
    <phoneticPr fontId="4" type="noConversion"/>
  </si>
  <si>
    <t>무한:1</t>
    <phoneticPr fontId="4" type="noConversion"/>
  </si>
  <si>
    <t>비고1[Sync]</t>
    <phoneticPr fontId="4" type="noConversion"/>
  </si>
  <si>
    <t>비고2[커브드]</t>
    <phoneticPr fontId="4" type="noConversion"/>
  </si>
  <si>
    <t>비고3[틸트]</t>
    <phoneticPr fontId="4" type="noConversion"/>
  </si>
  <si>
    <t>X</t>
    <phoneticPr fontId="4" type="noConversion"/>
  </si>
  <si>
    <t>OXStr</t>
    <phoneticPr fontId="4" type="noConversion"/>
  </si>
  <si>
    <t>0~10Str</t>
    <phoneticPr fontId="4" type="noConversion"/>
  </si>
  <si>
    <t>String</t>
    <phoneticPr fontId="4" type="noConversion"/>
  </si>
  <si>
    <t>Count</t>
    <phoneticPr fontId="4" type="noConversion"/>
  </si>
  <si>
    <t>추가하지 않음</t>
    <phoneticPr fontId="4" type="noConversion"/>
  </si>
  <si>
    <t>INIT</t>
    <phoneticPr fontId="4" type="noConversion"/>
  </si>
  <si>
    <t>INIT</t>
    <phoneticPr fontId="4" type="noConversion"/>
  </si>
  <si>
    <t>CNT</t>
    <phoneticPr fontId="4" type="noConversion"/>
  </si>
  <si>
    <t>OX</t>
    <phoneticPr fontId="4" type="noConversion"/>
  </si>
  <si>
    <t>Price</t>
    <phoneticPr fontId="4" type="noConversion"/>
  </si>
  <si>
    <t>-</t>
    <phoneticPr fontId="4" type="noConversion"/>
  </si>
  <si>
    <t>GB당 가격</t>
    <phoneticPr fontId="4" type="noConversion"/>
  </si>
  <si>
    <t>용량</t>
    <phoneticPr fontId="4" type="noConversion"/>
  </si>
  <si>
    <t>&lt;SATA&gt;</t>
    <phoneticPr fontId="4" type="noConversion"/>
  </si>
  <si>
    <t>비고1</t>
    <phoneticPr fontId="4" type="noConversion"/>
  </si>
  <si>
    <t>워썬더</t>
    <phoneticPr fontId="4" type="noConversion"/>
  </si>
  <si>
    <t>Battlefield 1</t>
    <phoneticPr fontId="4" type="noConversion"/>
  </si>
  <si>
    <t>다크소울3</t>
    <phoneticPr fontId="4" type="noConversion"/>
  </si>
  <si>
    <t>유로트럭2</t>
    <phoneticPr fontId="4" type="noConversion"/>
  </si>
  <si>
    <t>페이데이2</t>
    <phoneticPr fontId="4" type="noConversion"/>
  </si>
  <si>
    <t>페이데이 2</t>
    <phoneticPr fontId="4" type="noConversion"/>
  </si>
  <si>
    <t>마이크론 Crucial MX200 [500GB]</t>
    <phoneticPr fontId="4" type="noConversion"/>
  </si>
  <si>
    <t>순차읽기</t>
    <phoneticPr fontId="4" type="noConversion"/>
  </si>
  <si>
    <t>순차쓰기</t>
    <phoneticPr fontId="4" type="noConversion"/>
  </si>
  <si>
    <t>랜덤읽기</t>
    <phoneticPr fontId="4" type="noConversion"/>
  </si>
  <si>
    <t>랜덤쓰기</t>
    <phoneticPr fontId="4" type="noConversion"/>
  </si>
  <si>
    <t>마이크론 Crucial MX200 [1TB]</t>
    <phoneticPr fontId="4" type="noConversion"/>
  </si>
  <si>
    <t>마이크론 Crucial MX300 [275GB]</t>
    <phoneticPr fontId="4" type="noConversion"/>
  </si>
  <si>
    <t>마이크론 Crucial MX300 [525GB]</t>
    <phoneticPr fontId="4" type="noConversion"/>
  </si>
  <si>
    <t>마이크론 Crucial MX300 [750GB]</t>
    <phoneticPr fontId="4" type="noConversion"/>
  </si>
  <si>
    <t>마이크론 Crucial MX300 [1TB]</t>
    <phoneticPr fontId="4" type="noConversion"/>
  </si>
  <si>
    <t>마이크론 Crucial MX300 [2TB]</t>
    <phoneticPr fontId="4" type="noConversion"/>
  </si>
  <si>
    <r>
      <t>TLC</t>
    </r>
    <r>
      <rPr>
        <sz val="6"/>
        <color theme="1"/>
        <rFont val="맑은 고딕"/>
        <family val="3"/>
        <charset val="129"/>
        <scheme val="minor"/>
      </rPr>
      <t>(3D)</t>
    </r>
    <phoneticPr fontId="4" type="noConversion"/>
  </si>
  <si>
    <r>
      <t>MLC</t>
    </r>
    <r>
      <rPr>
        <sz val="6"/>
        <color theme="1"/>
        <rFont val="맑은 고딕"/>
        <family val="3"/>
        <charset val="129"/>
        <scheme val="minor"/>
      </rPr>
      <t>(토글)</t>
    </r>
    <phoneticPr fontId="4" type="noConversion"/>
  </si>
  <si>
    <t>A/S보증기간</t>
    <phoneticPr fontId="4" type="noConversion"/>
  </si>
  <si>
    <t>Limited Edition</t>
    <phoneticPr fontId="4" type="noConversion"/>
  </si>
  <si>
    <t>Sandisk SSD PLUS [120GB]</t>
    <phoneticPr fontId="4" type="noConversion"/>
  </si>
  <si>
    <t>Sandisk SSD PLUS [240GB]</t>
    <phoneticPr fontId="4" type="noConversion"/>
  </si>
  <si>
    <t>Sandisk SSD PLUS [480GB]</t>
    <phoneticPr fontId="4" type="noConversion"/>
  </si>
  <si>
    <t>Sandisk Z400s [64GB]</t>
    <phoneticPr fontId="4" type="noConversion"/>
  </si>
  <si>
    <t>Sandisk Z400s [128GB]</t>
    <phoneticPr fontId="4" type="noConversion"/>
  </si>
  <si>
    <t>Sandisk Z400s [256GB]</t>
    <phoneticPr fontId="4" type="noConversion"/>
  </si>
  <si>
    <t>Sandisk Z410 [120GB]</t>
    <phoneticPr fontId="4" type="noConversion"/>
  </si>
  <si>
    <t>Sandisk Z410 [480GB]</t>
    <phoneticPr fontId="4" type="noConversion"/>
  </si>
  <si>
    <t>Sandisk X400 [128GB]</t>
    <phoneticPr fontId="4" type="noConversion"/>
  </si>
  <si>
    <t>Sandisk X400 [256GB]</t>
    <phoneticPr fontId="4" type="noConversion"/>
  </si>
  <si>
    <t>Sandisk X400 [512GB]</t>
    <phoneticPr fontId="4" type="noConversion"/>
  </si>
  <si>
    <t>Sandisk X400 [1TB]</t>
    <phoneticPr fontId="4" type="noConversion"/>
  </si>
  <si>
    <t>마벨</t>
    <phoneticPr fontId="4" type="noConversion"/>
  </si>
  <si>
    <r>
      <t>TLC</t>
    </r>
    <r>
      <rPr>
        <sz val="6"/>
        <color theme="1"/>
        <rFont val="맑은 고딕"/>
        <family val="3"/>
        <charset val="129"/>
        <scheme val="minor"/>
      </rPr>
      <t>(토글)</t>
    </r>
    <phoneticPr fontId="4" type="noConversion"/>
  </si>
  <si>
    <t>ADATA Premier Pro SP900 [128GB]</t>
    <phoneticPr fontId="4" type="noConversion"/>
  </si>
  <si>
    <t>ADATA Premier Pro SP900 [256GB]</t>
    <phoneticPr fontId="4" type="noConversion"/>
  </si>
  <si>
    <t>ADATA Premier SP550 [240GB]</t>
    <phoneticPr fontId="4" type="noConversion"/>
  </si>
  <si>
    <t>ADATA Premier SP550 [480GB]</t>
    <phoneticPr fontId="4" type="noConversion"/>
  </si>
  <si>
    <t>ADATA Premier SP550 [960GB]</t>
    <phoneticPr fontId="4" type="noConversion"/>
  </si>
  <si>
    <t>ADATA Premier Pro New SP920 [128GB]</t>
    <phoneticPr fontId="4" type="noConversion"/>
  </si>
  <si>
    <t>ADATA Premier Pro New SP920 [256GB]</t>
    <phoneticPr fontId="4" type="noConversion"/>
  </si>
  <si>
    <t>ADATA Premier Pro New SP920 [512GB]</t>
    <phoneticPr fontId="4" type="noConversion"/>
  </si>
  <si>
    <t>ADATA Premier Pro New SP920 [1TB]</t>
    <phoneticPr fontId="4" type="noConversion"/>
  </si>
  <si>
    <t>ADATA</t>
    <phoneticPr fontId="4" type="noConversion"/>
  </si>
  <si>
    <t>마벨</t>
    <phoneticPr fontId="4" type="noConversion"/>
  </si>
  <si>
    <t>ADATA Premier SP580 [120GB]</t>
    <phoneticPr fontId="4" type="noConversion"/>
  </si>
  <si>
    <t>샌드포스</t>
    <phoneticPr fontId="4" type="noConversion"/>
  </si>
  <si>
    <t>ADATA Premier Pro SP900 [64GB]</t>
    <phoneticPr fontId="4" type="noConversion"/>
  </si>
  <si>
    <t>ADATA Premier Pro SP900 [512GB]</t>
    <phoneticPr fontId="4" type="noConversion"/>
  </si>
  <si>
    <r>
      <t>MLC</t>
    </r>
    <r>
      <rPr>
        <sz val="6"/>
        <color theme="1"/>
        <rFont val="맑은 고딕"/>
        <family val="3"/>
        <charset val="129"/>
        <scheme val="minor"/>
      </rPr>
      <t>(Aync)</t>
    </r>
    <phoneticPr fontId="4" type="noConversion"/>
  </si>
  <si>
    <t>ADATA Premier SP550 [120GB]</t>
    <phoneticPr fontId="4" type="noConversion"/>
  </si>
  <si>
    <t>Plextor M6 PRO Series [128GB]</t>
    <phoneticPr fontId="4" type="noConversion"/>
  </si>
  <si>
    <t>Plextor M6 PRO Series [256GB]</t>
    <phoneticPr fontId="4" type="noConversion"/>
  </si>
  <si>
    <t>Plextor M6 PRO Series [512GB]</t>
    <phoneticPr fontId="4" type="noConversion"/>
  </si>
  <si>
    <t>Plextor M6 PRO Series [1TB]</t>
    <phoneticPr fontId="4" type="noConversion"/>
  </si>
  <si>
    <t>Plextor M6S Series [128GB]</t>
    <phoneticPr fontId="4" type="noConversion"/>
  </si>
  <si>
    <t>Plextor M6S Series [256GB]</t>
    <phoneticPr fontId="4" type="noConversion"/>
  </si>
  <si>
    <t>Plextor M6S Series [512GB]</t>
    <phoneticPr fontId="4" type="noConversion"/>
  </si>
  <si>
    <t>Plextor M7V [128GB]</t>
    <phoneticPr fontId="4" type="noConversion"/>
  </si>
  <si>
    <t>Plextor M7V [256GB]</t>
    <phoneticPr fontId="4" type="noConversion"/>
  </si>
  <si>
    <t>Plextor M7V [512GB]</t>
    <phoneticPr fontId="4" type="noConversion"/>
  </si>
  <si>
    <t>Plextor M6S Plus [256GB]</t>
    <phoneticPr fontId="4" type="noConversion"/>
  </si>
  <si>
    <t>Plextor M6S Plus [512GB]</t>
    <phoneticPr fontId="4" type="noConversion"/>
  </si>
  <si>
    <t>Plextor M6S Plus [1TB]</t>
    <phoneticPr fontId="4" type="noConversion"/>
  </si>
  <si>
    <t>마벨</t>
    <phoneticPr fontId="4" type="noConversion"/>
  </si>
  <si>
    <t>Toshiba Q300 PRO [128GB]</t>
    <phoneticPr fontId="4" type="noConversion"/>
  </si>
  <si>
    <t>Toshiba Q300 PRO [256GB]</t>
    <phoneticPr fontId="4" type="noConversion"/>
  </si>
  <si>
    <t>Toshiba Q300 PRO [512GB]</t>
    <phoneticPr fontId="4" type="noConversion"/>
  </si>
  <si>
    <t>Toshiba Q300 PRO [1TB]</t>
    <phoneticPr fontId="4" type="noConversion"/>
  </si>
  <si>
    <t>Toshiba Q300 [480GB]</t>
    <phoneticPr fontId="4" type="noConversion"/>
  </si>
  <si>
    <t>Toshiba Q300 [960GB]</t>
    <phoneticPr fontId="4" type="noConversion"/>
  </si>
  <si>
    <t>Toshiba Q300 [240GB]</t>
    <phoneticPr fontId="4" type="noConversion"/>
  </si>
  <si>
    <t>Toshiba Q300 [120GB]</t>
    <phoneticPr fontId="4" type="noConversion"/>
  </si>
  <si>
    <t>인텔 730 Series [240GB]</t>
    <phoneticPr fontId="4" type="noConversion"/>
  </si>
  <si>
    <t>인텔 730 Series [480GB]</t>
    <phoneticPr fontId="4" type="noConversion"/>
  </si>
  <si>
    <t>인텔 535 Series [240GB]</t>
    <phoneticPr fontId="4" type="noConversion"/>
  </si>
  <si>
    <t>인텔 535 Series [480GB]</t>
    <phoneticPr fontId="4" type="noConversion"/>
  </si>
  <si>
    <t>인텔 750 Series [400GB]</t>
    <phoneticPr fontId="4" type="noConversion"/>
  </si>
  <si>
    <t>인텔 750 Series [800GB]</t>
    <phoneticPr fontId="4" type="noConversion"/>
  </si>
  <si>
    <t>인텔 750 Series [1.2TB]</t>
    <phoneticPr fontId="4" type="noConversion"/>
  </si>
  <si>
    <t>인텔 540s [120GB]</t>
    <phoneticPr fontId="4" type="noConversion"/>
  </si>
  <si>
    <t>인텔 540s [240GB]</t>
    <phoneticPr fontId="4" type="noConversion"/>
  </si>
  <si>
    <t>인텔 540s [480GB]</t>
    <phoneticPr fontId="4" type="noConversion"/>
  </si>
  <si>
    <t>인텔 540s [1TB]</t>
    <phoneticPr fontId="4" type="noConversion"/>
  </si>
  <si>
    <r>
      <t>MLC</t>
    </r>
    <r>
      <rPr>
        <sz val="6"/>
        <color theme="1"/>
        <rFont val="맑은 고딕"/>
        <family val="3"/>
        <charset val="129"/>
        <scheme val="minor"/>
      </rPr>
      <t>(Sync)</t>
    </r>
    <phoneticPr fontId="4" type="noConversion"/>
  </si>
  <si>
    <t>인텔 535 Series [120GB]</t>
    <phoneticPr fontId="4" type="noConversion"/>
  </si>
  <si>
    <t>삼성전자 850 PRO [128GB]</t>
    <phoneticPr fontId="4" type="noConversion"/>
  </si>
  <si>
    <t>삼성전자 850 PRO [256GB]</t>
    <phoneticPr fontId="4" type="noConversion"/>
  </si>
  <si>
    <t>삼성전자 850 PRO [512GB]</t>
    <phoneticPr fontId="4" type="noConversion"/>
  </si>
  <si>
    <t>삼성전자 850 PRO [1TB]</t>
    <phoneticPr fontId="4" type="noConversion"/>
  </si>
  <si>
    <t>삼성전자 850 PRO [2TB]</t>
    <phoneticPr fontId="4" type="noConversion"/>
  </si>
  <si>
    <t>삼성전자 750 EVO [120GB]</t>
    <phoneticPr fontId="4" type="noConversion"/>
  </si>
  <si>
    <t>삼성전자 750 EVO [250GB]</t>
    <phoneticPr fontId="4" type="noConversion"/>
  </si>
  <si>
    <t>삼성전자 750 EVO [500GB]</t>
    <phoneticPr fontId="4" type="noConversion"/>
  </si>
  <si>
    <t>삼성전자 850 EVO Series [128GB]</t>
    <phoneticPr fontId="4" type="noConversion"/>
  </si>
  <si>
    <t>삼성전자 850 EVO Series [500GB]</t>
    <phoneticPr fontId="4" type="noConversion"/>
  </si>
  <si>
    <t>삼성전자 850 EVO Series [1TB]</t>
    <phoneticPr fontId="4" type="noConversion"/>
  </si>
  <si>
    <t>삼성전자 850 EVO Series [2TB]</t>
    <phoneticPr fontId="4" type="noConversion"/>
  </si>
  <si>
    <t>&lt;PCI-e(NVMe)&gt;</t>
    <phoneticPr fontId="4" type="noConversion"/>
  </si>
  <si>
    <t>ZOTAC</t>
    <phoneticPr fontId="4" type="noConversion"/>
  </si>
  <si>
    <t>ZOTAC SONIX PCIe [480GB]</t>
    <phoneticPr fontId="4" type="noConversion"/>
  </si>
  <si>
    <t>Phison</t>
    <phoneticPr fontId="4" type="noConversion"/>
  </si>
  <si>
    <r>
      <t>MLC</t>
    </r>
    <r>
      <rPr>
        <sz val="6"/>
        <color theme="1"/>
        <rFont val="맑은 고딕"/>
        <family val="3"/>
        <charset val="129"/>
        <scheme val="minor"/>
      </rPr>
      <t>(3D)</t>
    </r>
    <phoneticPr fontId="4" type="noConversion"/>
  </si>
  <si>
    <t>R7 370</t>
  </si>
  <si>
    <t>Radeon R9 380X</t>
    <phoneticPr fontId="4" type="noConversion"/>
  </si>
  <si>
    <t>Boost</t>
    <phoneticPr fontId="4" type="noConversion"/>
  </si>
  <si>
    <t>GTX1080</t>
  </si>
  <si>
    <t>GTX1070</t>
  </si>
  <si>
    <t>GTX TITAN X</t>
  </si>
  <si>
    <t>R9 FURY X</t>
  </si>
  <si>
    <t>R9 FURY</t>
  </si>
  <si>
    <t>R9 NANO</t>
  </si>
  <si>
    <t>R9 390X</t>
  </si>
  <si>
    <t>GTX 980</t>
  </si>
  <si>
    <t>R9 390</t>
  </si>
  <si>
    <t>RX 480</t>
  </si>
  <si>
    <t>RX 470</t>
  </si>
  <si>
    <t>GTX1050</t>
  </si>
  <si>
    <t>GTX960</t>
  </si>
  <si>
    <t>R9 370X</t>
  </si>
  <si>
    <t>RX 460</t>
  </si>
  <si>
    <t>GTX950</t>
  </si>
  <si>
    <t>GTX750Ti</t>
  </si>
  <si>
    <t>GTX750</t>
  </si>
  <si>
    <t>R7 360</t>
  </si>
  <si>
    <t>GT740</t>
  </si>
  <si>
    <t>Boost</t>
    <phoneticPr fontId="4" type="noConversion"/>
  </si>
  <si>
    <t>GeForce GTX 970</t>
    <phoneticPr fontId="4" type="noConversion"/>
  </si>
  <si>
    <t>Core i7-6700K</t>
    <phoneticPr fontId="4" type="noConversion"/>
  </si>
  <si>
    <t>Radeon R9 380</t>
    <phoneticPr fontId="4" type="noConversion"/>
  </si>
  <si>
    <t>Radeon R7 370</t>
    <phoneticPr fontId="4" type="noConversion"/>
  </si>
  <si>
    <t>FX-4300</t>
    <phoneticPr fontId="4" type="noConversion"/>
  </si>
  <si>
    <t>Radeon R9 290X</t>
    <phoneticPr fontId="4" type="noConversion"/>
  </si>
  <si>
    <t>Core i3-2100</t>
    <phoneticPr fontId="4" type="noConversion"/>
  </si>
  <si>
    <t>Core i3-4130</t>
    <phoneticPr fontId="4" type="noConversion"/>
  </si>
  <si>
    <t>Radeon R9 280</t>
    <phoneticPr fontId="4" type="noConversion"/>
  </si>
  <si>
    <t>최상 [VHQ / Very High Adv]</t>
    <phoneticPr fontId="4" type="noConversion"/>
  </si>
  <si>
    <t>30fps 제한선</t>
    <phoneticPr fontId="4" type="noConversion"/>
  </si>
  <si>
    <t>상 [Very High / High]</t>
    <phoneticPr fontId="4" type="noConversion"/>
  </si>
  <si>
    <t>GeForce GTX 750 Ti</t>
    <phoneticPr fontId="4" type="noConversion"/>
  </si>
  <si>
    <t>Radeon R9 270</t>
    <phoneticPr fontId="4" type="noConversion"/>
  </si>
  <si>
    <t>Core i5-2500K</t>
    <phoneticPr fontId="4" type="noConversion"/>
  </si>
  <si>
    <t>Radeon R9 Nano</t>
    <phoneticPr fontId="4" type="noConversion"/>
  </si>
  <si>
    <t>GeForce GTX 980</t>
    <phoneticPr fontId="4" type="noConversion"/>
  </si>
  <si>
    <t>Core i5-4670K</t>
    <phoneticPr fontId="4" type="noConversion"/>
  </si>
  <si>
    <t>Radeon R7 260X</t>
    <phoneticPr fontId="4" type="noConversion"/>
  </si>
  <si>
    <t>HD Graphics 530</t>
    <phoneticPr fontId="4" type="noConversion"/>
  </si>
  <si>
    <t>Sempron 3850</t>
    <phoneticPr fontId="4" type="noConversion"/>
  </si>
  <si>
    <t>Radeon HD 7950</t>
    <phoneticPr fontId="4" type="noConversion"/>
  </si>
  <si>
    <t>다크소울3</t>
  </si>
  <si>
    <t>유로트럭2</t>
  </si>
  <si>
    <t>페이데이2</t>
  </si>
  <si>
    <t>GTX1060[6]</t>
    <phoneticPr fontId="4" type="noConversion"/>
  </si>
  <si>
    <t>GTX1060[3]</t>
    <phoneticPr fontId="4" type="noConversion"/>
  </si>
  <si>
    <t>히어로즈 오브 더 스톰</t>
  </si>
  <si>
    <t>월드오브탱크</t>
  </si>
  <si>
    <t>월드오브워쉽</t>
  </si>
  <si>
    <t>워썬더</t>
  </si>
  <si>
    <t>COD 어드밴스드 워페어</t>
    <phoneticPr fontId="32" type="noConversion"/>
  </si>
  <si>
    <t>더 위처3</t>
    <phoneticPr fontId="4" type="noConversion"/>
  </si>
  <si>
    <t>도타2</t>
    <phoneticPr fontId="4" type="noConversion"/>
  </si>
  <si>
    <t>Radeon HD 7970 GHz Edition</t>
    <phoneticPr fontId="4" type="noConversion"/>
  </si>
  <si>
    <t>Battlefield 1 [DX12]</t>
    <phoneticPr fontId="4" type="noConversion"/>
  </si>
  <si>
    <t>GeForce GTX 950</t>
    <phoneticPr fontId="4" type="noConversion"/>
  </si>
  <si>
    <t>Radeon HD 7970</t>
    <phoneticPr fontId="4" type="noConversion"/>
  </si>
  <si>
    <t>GeForce GTX 660</t>
    <phoneticPr fontId="4" type="noConversion"/>
  </si>
  <si>
    <t>GeForce GTX 980 Ti</t>
    <phoneticPr fontId="4" type="noConversion"/>
  </si>
  <si>
    <t>GeForce GTX 680</t>
    <phoneticPr fontId="4" type="noConversion"/>
  </si>
  <si>
    <t>Radeon HD 6970</t>
    <phoneticPr fontId="4" type="noConversion"/>
  </si>
  <si>
    <t>Radeon R9 270</t>
    <phoneticPr fontId="4" type="noConversion"/>
  </si>
  <si>
    <t>Pentium G3258</t>
    <phoneticPr fontId="4" type="noConversion"/>
  </si>
  <si>
    <t>Core i3-4160</t>
    <phoneticPr fontId="4" type="noConversion"/>
  </si>
  <si>
    <t>Radeon R9 290</t>
    <phoneticPr fontId="4" type="noConversion"/>
  </si>
  <si>
    <t>GeForce GTX 750</t>
    <phoneticPr fontId="4" type="noConversion"/>
  </si>
  <si>
    <t>GeForce GTX 550 Ti</t>
    <phoneticPr fontId="4" type="noConversion"/>
  </si>
  <si>
    <t>GeForce GTX 550 Ti</t>
    <phoneticPr fontId="4" type="noConversion"/>
  </si>
  <si>
    <t>GeForce GTX 650 Ti</t>
    <phoneticPr fontId="4" type="noConversion"/>
  </si>
  <si>
    <t>Radeon R9 280X</t>
    <phoneticPr fontId="4" type="noConversion"/>
  </si>
  <si>
    <t>Radeon HD 7870 GHz Edition</t>
    <phoneticPr fontId="4" type="noConversion"/>
  </si>
  <si>
    <t>Battlefield 4</t>
    <phoneticPr fontId="4" type="noConversion"/>
  </si>
  <si>
    <t>Core i5-2500k</t>
    <phoneticPr fontId="4" type="noConversion"/>
  </si>
  <si>
    <t>풀옵 [ULTRA / VHQ] [noAA usually]</t>
    <phoneticPr fontId="4" type="noConversion"/>
  </si>
  <si>
    <t>엑스컴2</t>
    <phoneticPr fontId="4" type="noConversion"/>
  </si>
  <si>
    <t>GeForce GTX 780</t>
    <phoneticPr fontId="4" type="noConversion"/>
  </si>
  <si>
    <t>퀀텀 브레이크</t>
    <phoneticPr fontId="4" type="noConversion"/>
  </si>
  <si>
    <t>Radeon R9 FURY X</t>
    <phoneticPr fontId="4" type="noConversion"/>
  </si>
  <si>
    <t>ARK: Survival Evolved</t>
    <phoneticPr fontId="4" type="noConversion"/>
  </si>
  <si>
    <t>Core i5-2500K</t>
    <phoneticPr fontId="4" type="noConversion"/>
  </si>
  <si>
    <t>GeForce GTX 770</t>
    <phoneticPr fontId="4" type="noConversion"/>
  </si>
  <si>
    <t>GeForce GTX 970</t>
    <phoneticPr fontId="4" type="noConversion"/>
  </si>
  <si>
    <t>GeForce GTX 1070</t>
    <phoneticPr fontId="4" type="noConversion"/>
  </si>
  <si>
    <t>Counter-strike:Global Offensive</t>
    <phoneticPr fontId="4" type="noConversion"/>
  </si>
  <si>
    <t>Athlon X4 760K</t>
    <phoneticPr fontId="4" type="noConversion"/>
  </si>
  <si>
    <t>Radeon R9 FURY X</t>
    <phoneticPr fontId="4" type="noConversion"/>
  </si>
  <si>
    <t>Radeon R9 FURY X</t>
    <phoneticPr fontId="4" type="noConversion"/>
  </si>
  <si>
    <t>Core i3-4160</t>
  </si>
  <si>
    <t>Athlon X4 760K</t>
  </si>
  <si>
    <t>Battlefield 1 [DX12]</t>
  </si>
  <si>
    <t>Battlefield 4</t>
  </si>
  <si>
    <t>퀀텀 브레이크</t>
  </si>
  <si>
    <t>엑스컴2</t>
  </si>
  <si>
    <t>ARK: Survival Evolved</t>
  </si>
  <si>
    <t>퀀텀 브레이크</t>
    <phoneticPr fontId="4" type="noConversion"/>
  </si>
  <si>
    <t>엑스컴2</t>
    <phoneticPr fontId="4" type="noConversion"/>
  </si>
  <si>
    <t>ARK:Survival Evolved</t>
    <phoneticPr fontId="4" type="noConversion"/>
  </si>
  <si>
    <t>Battlefield 4</t>
    <phoneticPr fontId="32" type="noConversion"/>
  </si>
  <si>
    <t>제품명</t>
    <phoneticPr fontId="4" type="noConversion"/>
  </si>
  <si>
    <t>기본 쿨러</t>
    <phoneticPr fontId="4" type="noConversion"/>
  </si>
  <si>
    <t>추가하지 않음</t>
    <phoneticPr fontId="4" type="noConversion"/>
  </si>
  <si>
    <t>추가하지 않음</t>
    <phoneticPr fontId="4" type="noConversion"/>
  </si>
  <si>
    <t>추가하지 않음</t>
    <phoneticPr fontId="4" type="noConversion"/>
  </si>
  <si>
    <t>내장그래픽</t>
    <phoneticPr fontId="4" type="noConversion"/>
  </si>
  <si>
    <t>추가하지 않음</t>
    <phoneticPr fontId="4" type="noConversion"/>
  </si>
  <si>
    <t>기본 쿨러</t>
    <phoneticPr fontId="4" type="noConversion"/>
  </si>
  <si>
    <t>HD Graphics 510</t>
    <phoneticPr fontId="4" type="noConversion"/>
  </si>
  <si>
    <t>추가하지 않음</t>
    <phoneticPr fontId="4" type="noConversion"/>
  </si>
  <si>
    <t>내장그래픽</t>
    <phoneticPr fontId="4" type="noConversion"/>
  </si>
  <si>
    <t>추가하지 않음</t>
    <phoneticPr fontId="4" type="noConversion"/>
  </si>
  <si>
    <t>GTX1070</t>
    <phoneticPr fontId="4" type="noConversion"/>
  </si>
  <si>
    <t>GTX1080</t>
    <phoneticPr fontId="4" type="noConversion"/>
  </si>
  <si>
    <t>Pro Duo</t>
    <phoneticPr fontId="4" type="noConversion"/>
  </si>
  <si>
    <t>Counter-strike:Global Offensive</t>
    <phoneticPr fontId="4" type="noConversion"/>
  </si>
  <si>
    <t>CS:GO</t>
    <phoneticPr fontId="4" type="noConversion"/>
  </si>
  <si>
    <t>GTX1050Ti</t>
    <phoneticPr fontId="4" type="noConversion"/>
  </si>
  <si>
    <t>GTX980Ti</t>
    <phoneticPr fontId="4" type="noConversion"/>
  </si>
  <si>
    <t>CPU</t>
    <phoneticPr fontId="4" type="noConversion"/>
  </si>
  <si>
    <t>X</t>
    <phoneticPr fontId="4" type="noConversion"/>
  </si>
  <si>
    <t>최하</t>
    <phoneticPr fontId="4" type="noConversion"/>
  </si>
  <si>
    <t>하</t>
    <phoneticPr fontId="4" type="noConversion"/>
  </si>
  <si>
    <t>중하</t>
    <phoneticPr fontId="4" type="noConversion"/>
  </si>
  <si>
    <t>중상</t>
    <phoneticPr fontId="4" type="noConversion"/>
  </si>
  <si>
    <t>중</t>
    <phoneticPr fontId="4" type="noConversion"/>
  </si>
  <si>
    <t>상</t>
    <phoneticPr fontId="4" type="noConversion"/>
  </si>
  <si>
    <t>최상</t>
    <phoneticPr fontId="4" type="noConversion"/>
  </si>
  <si>
    <t>풀옵</t>
    <phoneticPr fontId="4" type="noConversion"/>
  </si>
  <si>
    <t>메인보드</t>
    <phoneticPr fontId="4" type="noConversion"/>
  </si>
  <si>
    <t>RAM</t>
    <phoneticPr fontId="4" type="noConversion"/>
  </si>
  <si>
    <t>그래픽카드</t>
    <phoneticPr fontId="4" type="noConversion"/>
  </si>
  <si>
    <t>HDD</t>
    <phoneticPr fontId="4" type="noConversion"/>
  </si>
  <si>
    <t>SSD</t>
    <phoneticPr fontId="4" type="noConversion"/>
  </si>
  <si>
    <t>ODD</t>
    <phoneticPr fontId="4" type="noConversion"/>
  </si>
  <si>
    <t>케이스</t>
    <phoneticPr fontId="4" type="noConversion"/>
  </si>
  <si>
    <t>CPU쿨러</t>
    <phoneticPr fontId="4" type="noConversion"/>
  </si>
  <si>
    <t>도타2</t>
  </si>
  <si>
    <t>CS:GO</t>
  </si>
  <si>
    <t>Battlefield 1</t>
  </si>
  <si>
    <t>페이데이 2</t>
  </si>
  <si>
    <t>ARK:Survival Evolved</t>
  </si>
  <si>
    <t>#리스트</t>
    <phoneticPr fontId="4" type="noConversion"/>
  </si>
  <si>
    <t>Core</t>
    <phoneticPr fontId="4" type="noConversion"/>
  </si>
  <si>
    <t>Data Panel</t>
    <phoneticPr fontId="4" type="noConversion"/>
  </si>
  <si>
    <t>Calculation Panel</t>
    <phoneticPr fontId="4" type="noConversion"/>
  </si>
  <si>
    <t>2c</t>
    <phoneticPr fontId="4" type="noConversion"/>
  </si>
  <si>
    <t>4c</t>
    <phoneticPr fontId="4" type="noConversion"/>
  </si>
  <si>
    <t>8c</t>
    <phoneticPr fontId="4" type="noConversion"/>
  </si>
  <si>
    <t>score</t>
    <phoneticPr fontId="4" type="noConversion"/>
  </si>
  <si>
    <t>score</t>
    <phoneticPr fontId="4" type="noConversion"/>
  </si>
  <si>
    <t>score</t>
    <phoneticPr fontId="4" type="noConversion"/>
  </si>
  <si>
    <t>model</t>
    <phoneticPr fontId="4" type="noConversion"/>
  </si>
  <si>
    <t>score</t>
    <phoneticPr fontId="4" type="noConversion"/>
  </si>
  <si>
    <t>삼성전자 DDR4 8G PC4-19200</t>
    <phoneticPr fontId="4" type="noConversion"/>
  </si>
  <si>
    <t>삼성전자 DDR4 8G PC4-19200</t>
    <phoneticPr fontId="4" type="noConversion"/>
  </si>
  <si>
    <t>ASRock H110M-DGS R2.0</t>
    <phoneticPr fontId="4" type="noConversion"/>
  </si>
  <si>
    <t>ASRock H110M-DGS R2.0</t>
    <phoneticPr fontId="4" type="noConversion"/>
  </si>
  <si>
    <t>MSI B150M 박격포</t>
    <phoneticPr fontId="4" type="noConversion"/>
  </si>
  <si>
    <t>ASRock H170 PRO4S</t>
    <phoneticPr fontId="4" type="noConversion"/>
  </si>
  <si>
    <t>ASRock H170 PRO4/HYPER</t>
    <phoneticPr fontId="4" type="noConversion"/>
  </si>
  <si>
    <t>WD 1TB BLUE WD10EZEX</t>
  </si>
  <si>
    <t>마이크론 Crucial MX200 [250GB]</t>
    <phoneticPr fontId="4" type="noConversion"/>
  </si>
  <si>
    <t>Sandisk Z410 [240GB]</t>
    <phoneticPr fontId="4" type="noConversion"/>
  </si>
  <si>
    <t>삼성전자 850 EVO Series [250GB]</t>
    <phoneticPr fontId="4" type="noConversion"/>
  </si>
  <si>
    <t>삼성전자 850 EVO Series [250GB]</t>
    <phoneticPr fontId="4" type="noConversion"/>
  </si>
  <si>
    <t>LG전자 Super-Multi GH24NSD1</t>
    <phoneticPr fontId="4" type="noConversion"/>
  </si>
  <si>
    <t>LG전자 Super-Multi GH24NSD1</t>
    <phoneticPr fontId="4" type="noConversion"/>
  </si>
  <si>
    <t>마이크로닉스 Classic II 500W +12V Single Rail 85+</t>
    <phoneticPr fontId="4" type="noConversion"/>
  </si>
  <si>
    <t>3RSYS E610 에스프레소GT USB3.0</t>
    <phoneticPr fontId="4" type="noConversion"/>
  </si>
  <si>
    <t>3RSYS E600 에스프레소SG USB3.0</t>
    <phoneticPr fontId="4" type="noConversion"/>
  </si>
  <si>
    <t>3RSYS E600 에스프레소SG USB3.0</t>
    <phoneticPr fontId="4" type="noConversion"/>
  </si>
  <si>
    <t>써모랩 Trinity</t>
    <phoneticPr fontId="4" type="noConversion"/>
  </si>
  <si>
    <t>써모랩 Trinity</t>
    <phoneticPr fontId="4" type="noConversion"/>
  </si>
  <si>
    <t>Antec VP600P</t>
    <phoneticPr fontId="4" type="noConversion"/>
  </si>
  <si>
    <t>Antec VP600P</t>
    <phoneticPr fontId="4" type="noConversion"/>
  </si>
  <si>
    <t>SuperFlower SF-700R12A NOVA</t>
    <phoneticPr fontId="4" type="noConversion"/>
  </si>
  <si>
    <t>Enermax MAXPRO EMP700AGT</t>
    <phoneticPr fontId="4" type="noConversion"/>
  </si>
  <si>
    <t>SuperFlower SF-2000F14HP LEADEX PLATINUM</t>
    <phoneticPr fontId="4" type="noConversion"/>
  </si>
  <si>
    <t>시소닉 P-1050 80PLUS PLATINUM SnowSilent</t>
    <phoneticPr fontId="4" type="noConversion"/>
  </si>
  <si>
    <t>시소닉 P-1050 80PLUS PLATINUM</t>
    <phoneticPr fontId="4" type="noConversion"/>
  </si>
  <si>
    <t>시소닉 P-1050 80PLUS PLATINUM</t>
    <phoneticPr fontId="4" type="noConversion"/>
  </si>
  <si>
    <t>SuperFlower SF-850F14MP LEADEX PLATINUM</t>
    <phoneticPr fontId="4" type="noConversion"/>
  </si>
  <si>
    <t>SuperFlower SF-750F14MG LEADEX GOLD</t>
    <phoneticPr fontId="4" type="noConversion"/>
  </si>
  <si>
    <t>Antec EDGE750 GOLD LED 풀모듈러</t>
    <phoneticPr fontId="4" type="noConversion"/>
  </si>
  <si>
    <t>GeForce GTX 750 Ti</t>
    <phoneticPr fontId="4" type="noConversion"/>
  </si>
  <si>
    <t>VGAScore</t>
    <phoneticPr fontId="4" type="noConversion"/>
  </si>
  <si>
    <t>VGAScore</t>
    <phoneticPr fontId="4" type="noConversion"/>
  </si>
  <si>
    <t>GIGABYTE GA-H170-D3H 듀러블에디션</t>
    <phoneticPr fontId="4" type="noConversion"/>
  </si>
  <si>
    <t>GIGABYTE GA-H170-D3H 듀러블에디션</t>
    <phoneticPr fontId="4" type="noConversion"/>
  </si>
  <si>
    <t>이엠텍 XENON 지포스 GTX1080 Super JETSTREAM D5X 8GB</t>
    <phoneticPr fontId="4" type="noConversion"/>
  </si>
  <si>
    <t>이엠텍 XENON 지포스 GTX1070 Super JETSTREAM D5 8GB</t>
    <phoneticPr fontId="4" type="noConversion"/>
  </si>
  <si>
    <t>MSI 지포스 GTX1080 게이밍 X D5X 8GB 트윈프로져6</t>
    <phoneticPr fontId="4" type="noConversion"/>
  </si>
  <si>
    <t xml:space="preserve">SAPPHIRE 라데온 R9 FURY X HBM 4GB </t>
    <phoneticPr fontId="4" type="noConversion"/>
  </si>
  <si>
    <t>MSI 지포스 GTX980 Ti OC D5 6GB 트윈 프로져 5 게이밍</t>
    <phoneticPr fontId="4" type="noConversion"/>
  </si>
  <si>
    <t>MANLI 지포스 GTX980 Ti Ultimate D5 6GB</t>
    <phoneticPr fontId="4" type="noConversion"/>
  </si>
  <si>
    <t>ASUS ROG STRIX 지포스 GTX1060 O6G GAMING D5 6GB</t>
    <phoneticPr fontId="4" type="noConversion"/>
  </si>
  <si>
    <t>GIGABYTE 지포스 GTX1060 UDV D5 3GB 윈드포스</t>
    <phoneticPr fontId="4" type="noConversion"/>
  </si>
  <si>
    <t>SAPPHIRE 라데온 RX 480 OC D5 8GB Dual-X NITRO+</t>
    <phoneticPr fontId="4" type="noConversion"/>
  </si>
  <si>
    <t>inno3D 지포스 GTX970 OC D5 4GB</t>
    <phoneticPr fontId="4" type="noConversion"/>
  </si>
  <si>
    <t>GTX970</t>
    <phoneticPr fontId="4" type="noConversion"/>
  </si>
  <si>
    <t>SAPPHIRE 라데온 RX 470 OC D5 4GB Dual-X NITRO</t>
    <phoneticPr fontId="4" type="noConversion"/>
  </si>
  <si>
    <t>SAPPHIRE 라데온 RX 460 OC D5 4GB Dual-X NITRO</t>
    <phoneticPr fontId="4" type="noConversion"/>
  </si>
  <si>
    <t>MANLI 지포스 GTX950 Black Knight D5 2GB</t>
    <phoneticPr fontId="4" type="noConversion"/>
  </si>
  <si>
    <t>ZOTAC 지포스 GTX950 DUAL SILENCER D5 2GB</t>
    <phoneticPr fontId="4" type="noConversion"/>
  </si>
  <si>
    <t>이엠텍 HV 지포스 GTX750 Ti Super OverClock Edition D5 1GB</t>
    <phoneticPr fontId="4" type="noConversion"/>
  </si>
  <si>
    <t>realModel</t>
    <phoneticPr fontId="4" type="noConversion"/>
  </si>
  <si>
    <t>ASUS Z170-PRO</t>
    <phoneticPr fontId="4" type="noConversion"/>
  </si>
  <si>
    <t>MSI Z170 KRAIT GAMING</t>
    <phoneticPr fontId="4" type="noConversion"/>
  </si>
  <si>
    <t>GIGABYTE GA-Z170-HD3P 듀러블에디션</t>
    <phoneticPr fontId="4" type="noConversion"/>
  </si>
  <si>
    <t>펜티엄 G4520</t>
    <phoneticPr fontId="4" type="noConversion"/>
  </si>
  <si>
    <t>펜티엄 G4500</t>
    <phoneticPr fontId="4" type="noConversion"/>
  </si>
  <si>
    <t>GIGABYTE 지포스 GTX1080 Xtreme D5X 8GB 프리미엄팩</t>
    <phoneticPr fontId="4" type="noConversion"/>
  </si>
  <si>
    <t>VGA</t>
    <phoneticPr fontId="4" type="noConversion"/>
  </si>
  <si>
    <t>MAX</t>
    <phoneticPr fontId="4" type="noConversion"/>
  </si>
  <si>
    <t>CScoreVS</t>
    <phoneticPr fontId="4" type="noConversion"/>
  </si>
  <si>
    <t>VScoreVS</t>
    <phoneticPr fontId="4" type="noConversion"/>
  </si>
  <si>
    <t>파워</t>
    <phoneticPr fontId="4" type="noConversion"/>
  </si>
  <si>
    <t>가격표는 "최저가"라서 실구매시 값 더나올수도 있습니다</t>
    <phoneticPr fontId="4" type="noConversion"/>
  </si>
  <si>
    <t>자동견적은 대충 이정도 스펙이 필요하다~ 라고만 알아두는정도로…</t>
    <phoneticPr fontId="4" type="noConversion"/>
  </si>
  <si>
    <t>네. 다 수작업이에요(…)</t>
    <phoneticPr fontId="4" type="noConversion"/>
  </si>
  <si>
    <t>자동견적은 음… 논란의 소지가 있긴한데..</t>
    <phoneticPr fontId="4" type="noConversion"/>
  </si>
  <si>
    <t>듣기로는 맥이 끊어졌다는데. 괜히 판만 벌리고 온건 아닌지…</t>
    <phoneticPr fontId="4" type="noConversion"/>
  </si>
  <si>
    <t>MNA 4(작년 10월)기반으로 MNA 5(작년 11월)까지 업데이트 했습니다</t>
    <phoneticPr fontId="4" type="noConversion"/>
  </si>
  <si>
    <t>에러사항은 수정은 하고있습니다</t>
    <phoneticPr fontId="4" type="noConversion"/>
  </si>
  <si>
    <t>문의사항은 상단의 메일(bangkuu@naver.com) or 페북으로 받습니다</t>
    <phoneticPr fontId="4" type="noConversion"/>
  </si>
  <si>
    <t>제 기억으로 마지막으로 작업한게 MNA 5라서 그 이후는 몰라영</t>
    <phoneticPr fontId="4" type="noConversion"/>
  </si>
  <si>
    <t>메인탭(BillDVANCE) 옆에 항목에 하이퍼링크 걸어둬써영</t>
    <phoneticPr fontId="4" type="noConversion"/>
  </si>
  <si>
    <t>참고로 세금10%는 따로 계산하셔야 합니다</t>
    <phoneticPr fontId="4" type="noConversion"/>
  </si>
  <si>
    <t>네 당분간 업데이트 예정은 없습니다. 너무 손아파요 이거</t>
    <phoneticPr fontId="4" type="noConversion"/>
  </si>
  <si>
    <t>안녕하세여!! BINIMARK 제작자 &amp; MNA4, 5 공동제작자입니다</t>
    <phoneticPr fontId="4" type="noConversion"/>
  </si>
  <si>
    <r>
      <t>Special thanks to 인트라넷(</t>
    </r>
    <r>
      <rPr>
        <strike/>
        <sz val="10"/>
        <color theme="1"/>
        <rFont val="맑은 고딕"/>
        <family val="3"/>
        <charset val="129"/>
        <scheme val="minor"/>
      </rPr>
      <t>해군병사소통방</t>
    </r>
    <r>
      <rPr>
        <sz val="10"/>
        <color theme="1"/>
        <rFont val="맑은 고딕"/>
        <family val="3"/>
        <charset val="129"/>
        <scheme val="minor"/>
      </rPr>
      <t>, 공군IT게시판), 인터넷(</t>
    </r>
    <r>
      <rPr>
        <strike/>
        <sz val="10"/>
        <color theme="1"/>
        <rFont val="맑은 고딕"/>
        <family val="3"/>
        <charset val="129"/>
        <scheme val="minor"/>
      </rPr>
      <t>IYD</t>
    </r>
    <r>
      <rPr>
        <sz val="10"/>
        <color theme="1"/>
        <rFont val="맑은 고딕"/>
        <family val="3"/>
        <charset val="129"/>
        <scheme val="minor"/>
      </rPr>
      <t>,  Dr.Mola, MNA대피소) 등등…</t>
    </r>
    <phoneticPr fontId="4" type="noConversion"/>
  </si>
  <si>
    <t>자동견적이랑 견적저장이 MNA4 &gt; MNA5 업데이트 사항이였습니다</t>
    <phoneticPr fontId="4" type="noConversion"/>
  </si>
  <si>
    <t>Special thanks to 문경원(MNA0~1) 설원준(MNA2~3) 이가원(MNA4~5) and Other Supporters like 강태후(해군견적프로그램)</t>
    <phoneticPr fontId="4" type="noConversion"/>
  </si>
  <si>
    <t>MNA 2016 자동견적</t>
    <phoneticPr fontId="4" type="noConversion"/>
  </si>
  <si>
    <t>isNothingSelected</t>
    <phoneticPr fontId="4" type="noConversion"/>
  </si>
  <si>
    <r>
      <rPr>
        <sz val="20"/>
        <color theme="0"/>
        <rFont val="맑은 고딕"/>
        <family val="3"/>
        <charset val="129"/>
        <scheme val="minor"/>
      </rPr>
      <t xml:space="preserve">MNA 2016 </t>
    </r>
    <r>
      <rPr>
        <sz val="10"/>
        <color theme="0"/>
        <rFont val="맑은 고딕"/>
        <family val="3"/>
        <charset val="129"/>
        <scheme val="minor"/>
      </rPr>
      <t>10월
만든사람 이메일 : bangkuu@naver.com</t>
    </r>
    <phoneticPr fontId="4" type="noConversion"/>
  </si>
  <si>
    <t>min=&gt;</t>
    <phoneticPr fontId="4" type="noConversion"/>
  </si>
  <si>
    <t>min=&gt;</t>
    <phoneticPr fontId="4" type="noConversion"/>
  </si>
  <si>
    <t>i5 6600K</t>
    <phoneticPr fontId="4" type="noConversion"/>
  </si>
  <si>
    <t>i7 6700K</t>
    <phoneticPr fontId="4" type="noConversion"/>
  </si>
  <si>
    <t>CPU</t>
    <phoneticPr fontId="4" type="noConversion"/>
  </si>
  <si>
    <t>Select</t>
    <phoneticPr fontId="4" type="noConversion"/>
  </si>
  <si>
    <t>SUM</t>
    <phoneticPr fontId="4" type="noConversion"/>
  </si>
  <si>
    <t>CPU</t>
    <phoneticPr fontId="4" type="noConversion"/>
  </si>
  <si>
    <t>VGA</t>
    <phoneticPr fontId="4" type="noConversion"/>
  </si>
  <si>
    <t>MB</t>
    <phoneticPr fontId="4" type="noConversion"/>
  </si>
  <si>
    <t>PSU</t>
    <phoneticPr fontId="4" type="noConversion"/>
  </si>
  <si>
    <t>Watt</t>
    <phoneticPr fontId="4" type="noConversion"/>
  </si>
  <si>
    <t>WattVS</t>
    <phoneticPr fontId="4" type="noConversion"/>
  </si>
  <si>
    <t>Model</t>
    <phoneticPr fontId="4" type="noConversion"/>
  </si>
  <si>
    <t>min=&gt;</t>
    <phoneticPr fontId="4" type="noConversion"/>
  </si>
  <si>
    <t>MSI B150M 박격포</t>
    <phoneticPr fontId="4" type="noConversion"/>
  </si>
  <si>
    <t>마이크로닉스 Classic II 500W +12V Single Rail 85+</t>
    <phoneticPr fontId="4" type="noConversion"/>
  </si>
  <si>
    <t>SuperFlower SF-850F14MP LEADEX PLATINUM</t>
    <phoneticPr fontId="4" type="noConversion"/>
  </si>
  <si>
    <t>추가하지 않음</t>
    <phoneticPr fontId="4" type="noConversion"/>
  </si>
  <si>
    <t>InternalScoreVS</t>
    <phoneticPr fontId="4" type="noConversion"/>
  </si>
  <si>
    <t>4코어</t>
    <phoneticPr fontId="4" type="noConversion"/>
  </si>
  <si>
    <t>8코어</t>
    <phoneticPr fontId="4" type="noConversion"/>
  </si>
  <si>
    <t>MNA 2016 성능테스트</t>
    <phoneticPr fontId="4" type="noConversion"/>
  </si>
  <si>
    <t>CF/SLI배율</t>
    <phoneticPr fontId="4" type="noConversion"/>
  </si>
  <si>
    <t>CF</t>
    <phoneticPr fontId="4" type="noConversion"/>
  </si>
  <si>
    <t>SLI</t>
    <phoneticPr fontId="4" type="noConversion"/>
  </si>
  <si>
    <t>Base</t>
    <phoneticPr fontId="4" type="noConversion"/>
  </si>
  <si>
    <t>OCto</t>
    <phoneticPr fontId="4" type="noConversion"/>
  </si>
  <si>
    <t>input</t>
    <phoneticPr fontId="4" type="noConversion"/>
  </si>
  <si>
    <t>supposed</t>
    <phoneticPr fontId="4" type="noConversion"/>
  </si>
  <si>
    <t>입력하신게…</t>
    <phoneticPr fontId="4" type="noConversion"/>
  </si>
  <si>
    <t>GPU점수</t>
    <phoneticPr fontId="4" type="noConversion"/>
  </si>
  <si>
    <t>INTEL</t>
    <phoneticPr fontId="4" type="noConversion"/>
  </si>
  <si>
    <t>in case of ERR</t>
    <phoneticPr fontId="4" type="noConversion"/>
  </si>
  <si>
    <t>X</t>
    <phoneticPr fontId="4" type="noConversion"/>
  </si>
  <si>
    <t>제품명[여기에 입력/고르기]</t>
    <phoneticPr fontId="4" type="noConversion"/>
  </si>
  <si>
    <t>inno3D 지포스 GTX750 Ti OC D5 1GB</t>
    <phoneticPr fontId="4" type="noConversion"/>
  </si>
  <si>
    <t>inno3D 지포스 GTX750 Ti OC D5 1GB</t>
    <phoneticPr fontId="4" type="noConversion"/>
  </si>
  <si>
    <t>inno3D 지포스 GTX750 Ti OC D5 2GB</t>
    <phoneticPr fontId="4" type="noConversion"/>
  </si>
  <si>
    <t>X</t>
    <phoneticPr fontId="4" type="noConversion"/>
  </si>
  <si>
    <t>X</t>
    <phoneticPr fontId="4" type="noConversion"/>
  </si>
  <si>
    <t>그래픽카드</t>
    <phoneticPr fontId="4" type="noConversion"/>
  </si>
  <si>
    <t>추가하지 않음</t>
    <phoneticPr fontId="4" type="noConversion"/>
  </si>
  <si>
    <t>내장그래픽</t>
    <phoneticPr fontId="4" type="noConversion"/>
  </si>
  <si>
    <t>추가하지 않음</t>
    <phoneticPr fontId="4" type="noConversion"/>
  </si>
  <si>
    <t>추가하지 않음</t>
    <phoneticPr fontId="4" type="noConversion"/>
  </si>
  <si>
    <t>기본 쿨러</t>
    <phoneticPr fontId="4" type="noConversion"/>
  </si>
  <si>
    <t>추가하지 않음</t>
    <phoneticPr fontId="4" type="noConversion"/>
  </si>
  <si>
    <t>추가하지 않음</t>
    <phoneticPr fontId="4" type="noConversion"/>
  </si>
  <si>
    <t>O</t>
    <phoneticPr fontId="4" type="noConversion"/>
  </si>
  <si>
    <t>O</t>
    <phoneticPr fontId="4" type="noConversion"/>
  </si>
  <si>
    <t>O</t>
    <phoneticPr fontId="4" type="noConversion"/>
  </si>
  <si>
    <t>O</t>
    <phoneticPr fontId="4" type="noConversion"/>
  </si>
  <si>
    <t>O</t>
    <phoneticPr fontId="4" type="noConversion"/>
  </si>
  <si>
    <t>O</t>
    <phoneticPr fontId="4" type="noConversion"/>
  </si>
  <si>
    <t>O</t>
    <phoneticPr fontId="4" type="noConversion"/>
  </si>
  <si>
    <t>O</t>
    <phoneticPr fontId="4" type="noConversion"/>
  </si>
  <si>
    <t>O</t>
    <phoneticPr fontId="4" type="noConversion"/>
  </si>
  <si>
    <t>O</t>
    <phoneticPr fontId="4" type="noConversion"/>
  </si>
  <si>
    <t>O</t>
    <phoneticPr fontId="4" type="noConversion"/>
  </si>
  <si>
    <t>O</t>
    <phoneticPr fontId="4" type="noConversion"/>
  </si>
  <si>
    <t>*i3*4130*</t>
    <phoneticPr fontId="4" type="noConversion"/>
  </si>
  <si>
    <t>*HD 4000*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</si>
</sst>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42" formatCode="_-&quot;₩&quot;* #,##0_-;\-&quot;₩&quot;* #,##0_-;_-&quot;₩&quot;* &quot;-&quot;_-;_-@_-"/>
    <numFmt numFmtId="176" formatCode="_(&quot;₩&quot;* #,##0_);_(&quot;₩&quot;* \(#,##0\);_(&quot;₩&quot;* &quot;-&quot;_);_(@_)"/>
    <numFmt numFmtId="177" formatCode="&quot;₩&quot;#,##0_);[Red]\(&quot;₩&quot;#,##0\)"/>
    <numFmt numFmtId="178" formatCode="0\ &quot;GB&quot;"/>
    <numFmt numFmtId="179" formatCode="0\ &quot;ea&quot;"/>
    <numFmt numFmtId="180" formatCode="0\ &quot;MHz&quot;"/>
    <numFmt numFmtId="181" formatCode="0&quot;W&quot;"/>
    <numFmt numFmtId="182" formatCode="0.0&quot;TB&quot;"/>
    <numFmt numFmtId="183" formatCode="0&quot;TB&quot;"/>
    <numFmt numFmtId="184" formatCode="&quot;Infinite&quot;"/>
    <numFmt numFmtId="185" formatCode="&quot;불가능&quot;"/>
    <numFmt numFmtId="186" formatCode="&quot;165/&quot;0"/>
    <numFmt numFmtId="187" formatCode="0.00&quot;kg&quot;"/>
    <numFmt numFmtId="188" formatCode="0&quot;ms&quot;"/>
    <numFmt numFmtId="189" formatCode="0.0"/>
    <numFmt numFmtId="190" formatCode="0\ &quot;Ω&quot;"/>
    <numFmt numFmtId="191" formatCode="0\ &quot;dB&quot;"/>
    <numFmt numFmtId="192" formatCode="0\ &quot;g&quot;"/>
    <numFmt numFmtId="193" formatCode="0\ &quot;mm&quot;"/>
    <numFmt numFmtId="194" formatCode="0.0\ &quot;m&quot;"/>
    <numFmt numFmtId="195" formatCode="0\ &quot;Hz&quot;"/>
    <numFmt numFmtId="196" formatCode="0\ &quot;ms&quot;"/>
    <numFmt numFmtId="197" formatCode="0\ &quot;cd&quot;"/>
    <numFmt numFmtId="198" formatCode="0.0\ &quot;W&quot;"/>
    <numFmt numFmtId="199" formatCode="0.0\ &quot;Kg&quot;"/>
    <numFmt numFmtId="200" formatCode="0\ &quot;nm&quot;"/>
    <numFmt numFmtId="201" formatCode="0\ &quot;년&quot;"/>
    <numFmt numFmtId="202" formatCode="0\ &quot;MB/s&quot;"/>
    <numFmt numFmtId="203" formatCode="0&quot;K IOPs&quot;"/>
    <numFmt numFmtId="204" formatCode="&quot;X&quot;"/>
    <numFmt numFmtId="205" formatCode="0.00000%"/>
    <numFmt numFmtId="206" formatCode="0.0000%"/>
    <numFmt numFmtId="207" formatCode="0&quot;번 저장소로&quot;"/>
    <numFmt numFmtId="208" formatCode="&quot;-&quot;"/>
    <numFmt numFmtId="209" formatCode="0.00_ "/>
  </numFmts>
  <fonts count="6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8"/>
      <color theme="1"/>
      <name val="맑은 고딕"/>
      <family val="2"/>
      <scheme val="minor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11"/>
      <color theme="6"/>
      <name val="맑은 고딕"/>
      <family val="2"/>
      <scheme val="minor"/>
    </font>
    <font>
      <sz val="11"/>
      <color theme="6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sz val="10"/>
      <color theme="5" tint="0.3999755851924192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b/>
      <sz val="9"/>
      <color theme="1"/>
      <name val="맑은 고딕"/>
      <family val="2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scheme val="minor"/>
    </font>
    <font>
      <sz val="9"/>
      <color theme="0" tint="-0.14999847407452621"/>
      <name val="맑은 고딕"/>
      <family val="3"/>
      <charset val="129"/>
      <scheme val="minor"/>
    </font>
    <font>
      <sz val="9"/>
      <name val="맑은 고딕"/>
      <family val="2"/>
      <scheme val="minor"/>
    </font>
    <font>
      <b/>
      <sz val="9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1"/>
      <color rgb="FF66FF99"/>
      <name val="맑은 고딕"/>
      <family val="2"/>
      <scheme val="minor"/>
    </font>
    <font>
      <sz val="11"/>
      <color rgb="FF66FF99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2"/>
      <scheme val="minor"/>
    </font>
    <font>
      <sz val="6"/>
      <color theme="1"/>
      <name val="맑은 고딕"/>
      <family val="2"/>
      <scheme val="minor"/>
    </font>
    <font>
      <sz val="9"/>
      <color theme="0" tint="-4.9989318521683403E-2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theme="0" tint="-0.249977111117893"/>
      <name val="맑은 고딕"/>
      <family val="3"/>
      <charset val="129"/>
      <scheme val="minor"/>
    </font>
    <font>
      <sz val="9"/>
      <color rgb="FF00B0F0"/>
      <name val="맑은 고딕"/>
      <family val="3"/>
      <charset val="129"/>
      <scheme val="minor"/>
    </font>
    <font>
      <sz val="9"/>
      <color rgb="FF99FF99"/>
      <name val="맑은 고딕"/>
      <family val="3"/>
      <charset val="129"/>
      <scheme val="minor"/>
    </font>
    <font>
      <sz val="7"/>
      <color theme="1"/>
      <name val="맑은 고딕"/>
      <family val="2"/>
      <scheme val="minor"/>
    </font>
    <font>
      <b/>
      <sz val="6"/>
      <color theme="1"/>
      <name val="맑은 고딕"/>
      <family val="2"/>
      <scheme val="minor"/>
    </font>
    <font>
      <sz val="6"/>
      <color theme="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6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u/>
      <sz val="11"/>
      <color theme="10"/>
      <name val="맑은 고딕"/>
      <family val="2"/>
      <scheme val="minor"/>
    </font>
    <font>
      <sz val="8"/>
      <color theme="1"/>
      <name val="맑은 고딕"/>
      <family val="2"/>
      <scheme val="minor"/>
    </font>
    <font>
      <sz val="9"/>
      <color theme="1"/>
      <name val="맑은 고딕"/>
      <family val="2"/>
    </font>
    <font>
      <u/>
      <sz val="9"/>
      <color theme="10"/>
      <name val="맑은 고딕"/>
      <family val="3"/>
      <charset val="129"/>
      <scheme val="minor"/>
    </font>
    <font>
      <u/>
      <sz val="10"/>
      <color theme="10"/>
      <name val="맑은 고딕"/>
      <family val="2"/>
      <scheme val="minor"/>
    </font>
    <font>
      <sz val="10"/>
      <name val="맑은 고딕"/>
      <family val="3"/>
      <charset val="129"/>
      <scheme val="minor"/>
    </font>
    <font>
      <strike/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20"/>
      <color theme="0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sz val="10"/>
      <color theme="3" tint="-0.49998474074526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5E4E2"/>
        <bgColor indexed="64"/>
      </patternFill>
    </fill>
    <fill>
      <patternFill patternType="solid">
        <fgColor rgb="FFB6AFA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3E2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7" tint="0.39997558519241921"/>
      </left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/>
      <right/>
      <top/>
      <bottom style="double">
        <color theme="7" tint="0.39997558519241921"/>
      </bottom>
      <diagonal/>
    </border>
    <border>
      <left/>
      <right/>
      <top/>
      <bottom style="thin">
        <color theme="7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3" fillId="0" borderId="0">
      <alignment vertical="center"/>
    </xf>
    <xf numFmtId="0" fontId="8" fillId="0" borderId="0"/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7" fillId="0" borderId="0" applyNumberFormat="0" applyFill="0" applyBorder="0" applyAlignment="0" applyProtection="0"/>
  </cellStyleXfs>
  <cellXfs count="694">
    <xf numFmtId="0" fontId="0" fillId="0" borderId="0" xfId="0"/>
    <xf numFmtId="0" fontId="5" fillId="0" borderId="0" xfId="0" applyNumberFormat="1" applyFont="1"/>
    <xf numFmtId="0" fontId="7" fillId="0" borderId="0" xfId="0" applyNumberFormat="1" applyFont="1"/>
    <xf numFmtId="0" fontId="7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center"/>
    </xf>
    <xf numFmtId="0" fontId="6" fillId="2" borderId="0" xfId="0" applyNumberFormat="1" applyFont="1" applyFill="1"/>
    <xf numFmtId="0" fontId="6" fillId="2" borderId="0" xfId="0" applyFont="1" applyFill="1"/>
    <xf numFmtId="0" fontId="5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left"/>
    </xf>
    <xf numFmtId="0" fontId="6" fillId="5" borderId="0" xfId="0" applyNumberFormat="1" applyFont="1" applyFill="1" applyAlignment="1">
      <alignment horizontal="center"/>
    </xf>
    <xf numFmtId="49" fontId="6" fillId="6" borderId="0" xfId="0" applyNumberFormat="1" applyFont="1" applyFill="1"/>
    <xf numFmtId="0" fontId="6" fillId="6" borderId="0" xfId="0" applyFont="1" applyFill="1" applyAlignment="1">
      <alignment horizontal="center"/>
    </xf>
    <xf numFmtId="0" fontId="6" fillId="6" borderId="0" xfId="0" applyNumberFormat="1" applyFont="1" applyFill="1" applyAlignment="1">
      <alignment horizontal="center"/>
    </xf>
    <xf numFmtId="49" fontId="6" fillId="6" borderId="0" xfId="0" applyNumberFormat="1" applyFont="1" applyFill="1" applyAlignment="1">
      <alignment horizontal="center"/>
    </xf>
    <xf numFmtId="0" fontId="6" fillId="6" borderId="0" xfId="0" applyFont="1" applyFill="1"/>
    <xf numFmtId="49" fontId="6" fillId="7" borderId="0" xfId="0" applyNumberFormat="1" applyFont="1" applyFill="1"/>
    <xf numFmtId="0" fontId="6" fillId="7" borderId="0" xfId="0" applyFont="1" applyFill="1" applyAlignment="1">
      <alignment horizontal="center"/>
    </xf>
    <xf numFmtId="0" fontId="6" fillId="7" borderId="0" xfId="0" applyNumberFormat="1" applyFont="1" applyFill="1" applyAlignment="1">
      <alignment horizontal="center"/>
    </xf>
    <xf numFmtId="49" fontId="6" fillId="7" borderId="0" xfId="0" applyNumberFormat="1" applyFont="1" applyFill="1" applyAlignment="1">
      <alignment horizontal="center"/>
    </xf>
    <xf numFmtId="0" fontId="6" fillId="7" borderId="0" xfId="0" applyFont="1" applyFill="1"/>
    <xf numFmtId="0" fontId="7" fillId="0" borderId="4" xfId="0" applyFont="1" applyBorder="1" applyAlignment="1">
      <alignment horizontal="center"/>
    </xf>
    <xf numFmtId="0" fontId="7" fillId="3" borderId="1" xfId="0" applyFont="1" applyFill="1" applyBorder="1"/>
    <xf numFmtId="0" fontId="7" fillId="7" borderId="2" xfId="0" applyFont="1" applyFill="1" applyBorder="1"/>
    <xf numFmtId="0" fontId="7" fillId="0" borderId="2" xfId="0" applyFont="1" applyBorder="1"/>
    <xf numFmtId="0" fontId="6" fillId="10" borderId="0" xfId="0" applyFont="1" applyFill="1"/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7" fillId="10" borderId="2" xfId="0" applyFont="1" applyFill="1" applyBorder="1"/>
    <xf numFmtId="0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/>
    <xf numFmtId="0" fontId="6" fillId="10" borderId="0" xfId="0" applyNumberFormat="1" applyFont="1" applyFill="1"/>
    <xf numFmtId="0" fontId="7" fillId="10" borderId="0" xfId="0" applyNumberFormat="1" applyFont="1" applyFill="1" applyAlignment="1">
      <alignment horizontal="left"/>
    </xf>
    <xf numFmtId="0" fontId="7" fillId="6" borderId="2" xfId="0" applyFont="1" applyFill="1" applyBorder="1"/>
    <xf numFmtId="0" fontId="6" fillId="11" borderId="0" xfId="0" applyFont="1" applyFill="1"/>
    <xf numFmtId="49" fontId="6" fillId="11" borderId="0" xfId="0" applyNumberFormat="1" applyFont="1" applyFill="1"/>
    <xf numFmtId="0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7" fillId="11" borderId="2" xfId="0" applyFont="1" applyFill="1" applyBorder="1"/>
    <xf numFmtId="0" fontId="6" fillId="11" borderId="0" xfId="0" applyFont="1" applyFill="1" applyAlignment="1">
      <alignment horizontal="left"/>
    </xf>
    <xf numFmtId="0" fontId="6" fillId="12" borderId="0" xfId="0" applyFont="1" applyFill="1"/>
    <xf numFmtId="0" fontId="6" fillId="12" borderId="0" xfId="0" applyFont="1" applyFill="1" applyAlignment="1">
      <alignment horizontal="left"/>
    </xf>
    <xf numFmtId="0" fontId="6" fillId="12" borderId="0" xfId="0" applyFont="1" applyFill="1" applyAlignment="1">
      <alignment horizontal="center"/>
    </xf>
    <xf numFmtId="0" fontId="7" fillId="12" borderId="2" xfId="0" applyFont="1" applyFill="1" applyBorder="1"/>
    <xf numFmtId="0" fontId="6" fillId="12" borderId="0" xfId="0" applyNumberFormat="1" applyFont="1" applyFill="1" applyAlignment="1">
      <alignment horizontal="center"/>
    </xf>
    <xf numFmtId="0" fontId="6" fillId="11" borderId="0" xfId="0" applyNumberFormat="1" applyFont="1" applyFill="1"/>
    <xf numFmtId="0" fontId="7" fillId="11" borderId="0" xfId="0" applyNumberFormat="1" applyFont="1" applyFill="1" applyAlignment="1">
      <alignment horizontal="left"/>
    </xf>
    <xf numFmtId="0" fontId="6" fillId="5" borderId="0" xfId="0" applyNumberFormat="1" applyFont="1" applyFill="1"/>
    <xf numFmtId="0" fontId="7" fillId="5" borderId="0" xfId="0" applyNumberFormat="1" applyFont="1" applyFill="1" applyAlignment="1">
      <alignment horizontal="left"/>
    </xf>
    <xf numFmtId="0" fontId="7" fillId="0" borderId="4" xfId="0" applyFont="1" applyBorder="1"/>
    <xf numFmtId="0" fontId="7" fillId="0" borderId="3" xfId="0" applyFont="1" applyBorder="1"/>
    <xf numFmtId="49" fontId="7" fillId="0" borderId="4" xfId="0" applyNumberFormat="1" applyFont="1" applyBorder="1"/>
    <xf numFmtId="49" fontId="7" fillId="0" borderId="4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 vertical="center"/>
    </xf>
    <xf numFmtId="0" fontId="9" fillId="15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49" fontId="9" fillId="4" borderId="0" xfId="0" applyNumberFormat="1" applyFont="1" applyFill="1" applyBorder="1" applyAlignment="1">
      <alignment horizontal="center" vertical="center"/>
    </xf>
    <xf numFmtId="0" fontId="9" fillId="10" borderId="0" xfId="0" applyFont="1" applyFill="1" applyBorder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9" fillId="16" borderId="0" xfId="0" applyFont="1" applyFill="1" applyBorder="1" applyAlignment="1">
      <alignment horizontal="center" vertical="center"/>
    </xf>
    <xf numFmtId="0" fontId="9" fillId="12" borderId="0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 vertical="center"/>
    </xf>
    <xf numFmtId="0" fontId="9" fillId="15" borderId="0" xfId="0" quotePrefix="1" applyFont="1" applyFill="1" applyBorder="1" applyAlignment="1">
      <alignment horizontal="center" vertical="center"/>
    </xf>
    <xf numFmtId="9" fontId="9" fillId="15" borderId="0" xfId="0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18" borderId="0" xfId="0" applyFill="1"/>
    <xf numFmtId="0" fontId="9" fillId="19" borderId="0" xfId="0" applyFont="1" applyFill="1" applyBorder="1" applyAlignment="1">
      <alignment horizontal="center" vertical="center"/>
    </xf>
    <xf numFmtId="0" fontId="10" fillId="18" borderId="0" xfId="0" applyFont="1" applyFill="1"/>
    <xf numFmtId="0" fontId="11" fillId="18" borderId="0" xfId="0" quotePrefix="1" applyFont="1" applyFill="1"/>
    <xf numFmtId="0" fontId="11" fillId="18" borderId="0" xfId="0" applyFont="1" applyFill="1"/>
    <xf numFmtId="0" fontId="10" fillId="18" borderId="0" xfId="0" quotePrefix="1" applyFont="1" applyFill="1"/>
    <xf numFmtId="0" fontId="10" fillId="18" borderId="9" xfId="0" applyFont="1" applyFill="1" applyBorder="1"/>
    <xf numFmtId="0" fontId="11" fillId="18" borderId="9" xfId="0" applyFont="1" applyFill="1" applyBorder="1"/>
    <xf numFmtId="0" fontId="6" fillId="11" borderId="0" xfId="0" applyNumberFormat="1" applyFont="1" applyFill="1" applyAlignment="1">
      <alignment horizontal="center" vertical="center"/>
    </xf>
    <xf numFmtId="0" fontId="6" fillId="7" borderId="0" xfId="0" applyNumberFormat="1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6" fillId="10" borderId="0" xfId="0" applyNumberFormat="1" applyFont="1" applyFill="1" applyAlignment="1">
      <alignment horizontal="center" vertical="center"/>
    </xf>
    <xf numFmtId="0" fontId="6" fillId="6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6" fillId="11" borderId="0" xfId="0" applyNumberFormat="1" applyFont="1" applyFill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49" fontId="6" fillId="7" borderId="0" xfId="0" applyNumberFormat="1" applyFont="1" applyFill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center" vertical="center"/>
    </xf>
    <xf numFmtId="49" fontId="6" fillId="10" borderId="0" xfId="0" applyNumberFormat="1" applyFont="1" applyFill="1" applyAlignment="1">
      <alignment horizontal="center" vertical="center"/>
    </xf>
    <xf numFmtId="49" fontId="6" fillId="6" borderId="0" xfId="0" applyNumberFormat="1" applyFont="1" applyFill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10" fillId="18" borderId="5" xfId="0" applyFont="1" applyFill="1" applyBorder="1" applyAlignment="1">
      <alignment horizontal="center"/>
    </xf>
    <xf numFmtId="0" fontId="11" fillId="18" borderId="10" xfId="0" applyFont="1" applyFill="1" applyBorder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17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0" borderId="11" xfId="0" applyFont="1" applyFill="1" applyBorder="1" applyAlignment="1">
      <alignment horizontal="center" vertical="center"/>
    </xf>
    <xf numFmtId="0" fontId="6" fillId="19" borderId="18" xfId="0" applyFont="1" applyFill="1" applyBorder="1" applyAlignment="1">
      <alignment horizontal="center" vertical="center"/>
    </xf>
    <xf numFmtId="0" fontId="6" fillId="19" borderId="19" xfId="0" applyFont="1" applyFill="1" applyBorder="1" applyAlignment="1">
      <alignment horizontal="center" vertical="center"/>
    </xf>
    <xf numFmtId="0" fontId="9" fillId="19" borderId="2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5" fillId="0" borderId="20" xfId="0" applyNumberFormat="1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7" fillId="0" borderId="15" xfId="0" applyNumberFormat="1" applyFont="1" applyBorder="1" applyAlignment="1">
      <alignment horizontal="center" vertical="center"/>
    </xf>
    <xf numFmtId="0" fontId="6" fillId="11" borderId="20" xfId="2" applyNumberFormat="1" applyFont="1" applyFill="1" applyBorder="1" applyAlignment="1">
      <alignment horizontal="center" vertical="center"/>
    </xf>
    <xf numFmtId="0" fontId="6" fillId="11" borderId="0" xfId="2" applyNumberFormat="1" applyFont="1" applyFill="1" applyBorder="1" applyAlignment="1">
      <alignment horizontal="center" vertical="center"/>
    </xf>
    <xf numFmtId="0" fontId="7" fillId="11" borderId="15" xfId="2" applyNumberFormat="1" applyFont="1" applyFill="1" applyBorder="1" applyAlignment="1">
      <alignment horizontal="center" vertical="center"/>
    </xf>
    <xf numFmtId="0" fontId="6" fillId="5" borderId="20" xfId="2" applyNumberFormat="1" applyFont="1" applyFill="1" applyBorder="1" applyAlignment="1">
      <alignment horizontal="center" vertical="center"/>
    </xf>
    <xf numFmtId="0" fontId="6" fillId="5" borderId="0" xfId="2" applyNumberFormat="1" applyFont="1" applyFill="1" applyBorder="1" applyAlignment="1">
      <alignment horizontal="center" vertical="center"/>
    </xf>
    <xf numFmtId="0" fontId="7" fillId="5" borderId="15" xfId="2" applyNumberFormat="1" applyFont="1" applyFill="1" applyBorder="1" applyAlignment="1">
      <alignment horizontal="center" vertical="center"/>
    </xf>
    <xf numFmtId="0" fontId="6" fillId="10" borderId="20" xfId="2" applyNumberFormat="1" applyFont="1" applyFill="1" applyBorder="1" applyAlignment="1">
      <alignment horizontal="center" vertical="center"/>
    </xf>
    <xf numFmtId="0" fontId="6" fillId="10" borderId="0" xfId="2" applyNumberFormat="1" applyFont="1" applyFill="1" applyBorder="1" applyAlignment="1">
      <alignment horizontal="center" vertical="center"/>
    </xf>
    <xf numFmtId="0" fontId="7" fillId="10" borderId="15" xfId="2" applyNumberFormat="1" applyFont="1" applyFill="1" applyBorder="1" applyAlignment="1">
      <alignment horizontal="center" vertical="center"/>
    </xf>
    <xf numFmtId="0" fontId="0" fillId="18" borderId="0" xfId="0" applyFill="1" applyBorder="1"/>
    <xf numFmtId="0" fontId="10" fillId="18" borderId="0" xfId="0" applyFont="1" applyFill="1" applyBorder="1"/>
    <xf numFmtId="0" fontId="11" fillId="18" borderId="0" xfId="0" applyFont="1" applyFill="1" applyBorder="1"/>
    <xf numFmtId="0" fontId="0" fillId="18" borderId="9" xfId="0" applyFill="1" applyBorder="1"/>
    <xf numFmtId="0" fontId="1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0" borderId="0" xfId="0" applyFont="1"/>
    <xf numFmtId="0" fontId="20" fillId="0" borderId="0" xfId="0" applyFont="1" applyAlignment="1">
      <alignment horizontal="center"/>
    </xf>
    <xf numFmtId="49" fontId="20" fillId="0" borderId="0" xfId="0" applyNumberFormat="1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left"/>
    </xf>
    <xf numFmtId="176" fontId="21" fillId="0" borderId="0" xfId="0" applyNumberFormat="1" applyFont="1"/>
    <xf numFmtId="176" fontId="20" fillId="0" borderId="0" xfId="0" applyNumberFormat="1" applyFont="1"/>
    <xf numFmtId="0" fontId="21" fillId="0" borderId="0" xfId="0" applyFont="1"/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6" fillId="0" borderId="0" xfId="0" applyFont="1"/>
    <xf numFmtId="0" fontId="22" fillId="0" borderId="0" xfId="0" applyFont="1"/>
    <xf numFmtId="0" fontId="9" fillId="0" borderId="0" xfId="0" applyFont="1"/>
    <xf numFmtId="176" fontId="9" fillId="0" borderId="0" xfId="0" applyNumberFormat="1" applyFont="1"/>
    <xf numFmtId="0" fontId="20" fillId="0" borderId="0" xfId="0" applyFont="1"/>
    <xf numFmtId="0" fontId="20" fillId="0" borderId="0" xfId="0" applyFont="1" applyAlignment="1">
      <alignment horizontal="left"/>
    </xf>
    <xf numFmtId="0" fontId="21" fillId="0" borderId="0" xfId="0" applyFont="1" applyAlignment="1"/>
    <xf numFmtId="176" fontId="21" fillId="0" borderId="0" xfId="0" applyNumberFormat="1" applyFont="1" applyAlignment="1">
      <alignment horizontal="center"/>
    </xf>
    <xf numFmtId="0" fontId="18" fillId="0" borderId="0" xfId="0" applyFont="1" applyAlignment="1">
      <alignment horizontal="left"/>
    </xf>
    <xf numFmtId="9" fontId="21" fillId="0" borderId="0" xfId="0" applyNumberFormat="1" applyFont="1" applyAlignment="1">
      <alignment horizontal="center"/>
    </xf>
    <xf numFmtId="3" fontId="21" fillId="0" borderId="0" xfId="0" applyNumberFormat="1" applyFont="1" applyAlignment="1">
      <alignment horizontal="center"/>
    </xf>
    <xf numFmtId="0" fontId="21" fillId="0" borderId="0" xfId="0" quotePrefix="1" applyFont="1"/>
    <xf numFmtId="49" fontId="21" fillId="0" borderId="0" xfId="0" applyNumberFormat="1" applyFont="1" applyAlignment="1">
      <alignment horizontal="left"/>
    </xf>
    <xf numFmtId="0" fontId="21" fillId="0" borderId="0" xfId="0" applyNumberFormat="1" applyFont="1" applyAlignment="1">
      <alignment horizontal="center"/>
    </xf>
    <xf numFmtId="49" fontId="23" fillId="0" borderId="0" xfId="0" quotePrefix="1" applyNumberFormat="1" applyFont="1" applyAlignment="1">
      <alignment horizontal="center"/>
    </xf>
    <xf numFmtId="0" fontId="21" fillId="0" borderId="0" xfId="0" applyNumberFormat="1" applyFont="1" applyFill="1" applyAlignment="1">
      <alignment horizontal="center"/>
    </xf>
    <xf numFmtId="49" fontId="23" fillId="0" borderId="0" xfId="0" applyNumberFormat="1" applyFont="1" applyAlignment="1">
      <alignment horizontal="center"/>
    </xf>
    <xf numFmtId="0" fontId="21" fillId="0" borderId="0" xfId="0" quotePrefix="1" applyNumberFormat="1" applyFont="1" applyAlignment="1">
      <alignment horizontal="center"/>
    </xf>
    <xf numFmtId="49" fontId="20" fillId="0" borderId="0" xfId="0" applyNumberFormat="1" applyFont="1" applyAlignment="1">
      <alignment horizontal="left"/>
    </xf>
    <xf numFmtId="0" fontId="23" fillId="0" borderId="0" xfId="0" applyNumberFormat="1" applyFont="1" applyAlignment="1">
      <alignment horizontal="center"/>
    </xf>
    <xf numFmtId="176" fontId="20" fillId="0" borderId="0" xfId="0" applyNumberFormat="1" applyFont="1" applyAlignment="1">
      <alignment horizontal="center"/>
    </xf>
    <xf numFmtId="177" fontId="21" fillId="0" borderId="0" xfId="0" applyNumberFormat="1" applyFont="1"/>
    <xf numFmtId="49" fontId="21" fillId="0" borderId="0" xfId="0" applyNumberFormat="1" applyFont="1" applyAlignment="1">
      <alignment horizontal="center" wrapText="1"/>
    </xf>
    <xf numFmtId="0" fontId="19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20" fillId="0" borderId="0" xfId="0" applyNumberFormat="1" applyFont="1" applyAlignment="1">
      <alignment horizontal="center"/>
    </xf>
    <xf numFmtId="0" fontId="18" fillId="0" borderId="0" xfId="0" applyNumberFormat="1" applyFont="1"/>
    <xf numFmtId="0" fontId="18" fillId="0" borderId="0" xfId="0" applyNumberFormat="1" applyFont="1" applyAlignment="1">
      <alignment horizontal="center"/>
    </xf>
    <xf numFmtId="0" fontId="19" fillId="0" borderId="0" xfId="0" applyNumberFormat="1" applyFont="1"/>
    <xf numFmtId="0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left"/>
    </xf>
    <xf numFmtId="0" fontId="21" fillId="0" borderId="0" xfId="0" applyNumberFormat="1" applyFont="1" applyFill="1"/>
    <xf numFmtId="0" fontId="27" fillId="0" borderId="0" xfId="0" applyNumberFormat="1" applyFont="1" applyAlignment="1">
      <alignment horizontal="center"/>
    </xf>
    <xf numFmtId="0" fontId="18" fillId="0" borderId="0" xfId="0" applyNumberFormat="1" applyFont="1" applyBorder="1" applyAlignment="1">
      <alignment horizontal="center"/>
    </xf>
    <xf numFmtId="0" fontId="18" fillId="0" borderId="15" xfId="0" applyNumberFormat="1" applyFont="1" applyBorder="1" applyAlignment="1">
      <alignment horizontal="center"/>
    </xf>
    <xf numFmtId="0" fontId="20" fillId="0" borderId="0" xfId="0" applyNumberFormat="1" applyFont="1" applyBorder="1" applyAlignment="1">
      <alignment horizontal="center"/>
    </xf>
    <xf numFmtId="0" fontId="20" fillId="0" borderId="15" xfId="0" applyNumberFormat="1" applyFont="1" applyBorder="1" applyAlignment="1">
      <alignment horizontal="center"/>
    </xf>
    <xf numFmtId="0" fontId="21" fillId="0" borderId="0" xfId="0" applyNumberFormat="1" applyFont="1" applyBorder="1" applyAlignment="1">
      <alignment horizontal="center"/>
    </xf>
    <xf numFmtId="0" fontId="21" fillId="0" borderId="15" xfId="0" applyNumberFormat="1" applyFont="1" applyBorder="1" applyAlignment="1">
      <alignment horizontal="center"/>
    </xf>
    <xf numFmtId="0" fontId="18" fillId="0" borderId="20" xfId="0" applyNumberFormat="1" applyFont="1" applyBorder="1" applyAlignment="1">
      <alignment horizontal="center"/>
    </xf>
    <xf numFmtId="0" fontId="20" fillId="0" borderId="20" xfId="0" applyNumberFormat="1" applyFont="1" applyBorder="1" applyAlignment="1">
      <alignment horizontal="center"/>
    </xf>
    <xf numFmtId="0" fontId="21" fillId="0" borderId="20" xfId="0" applyNumberFormat="1" applyFont="1" applyBorder="1" applyAlignment="1">
      <alignment horizontal="center"/>
    </xf>
    <xf numFmtId="0" fontId="24" fillId="0" borderId="20" xfId="0" applyNumberFormat="1" applyFont="1" applyBorder="1" applyAlignment="1">
      <alignment horizontal="center"/>
    </xf>
    <xf numFmtId="0" fontId="24" fillId="0" borderId="15" xfId="0" applyNumberFormat="1" applyFont="1" applyBorder="1" applyAlignment="1">
      <alignment horizontal="center"/>
    </xf>
    <xf numFmtId="0" fontId="25" fillId="0" borderId="20" xfId="0" applyNumberFormat="1" applyFont="1" applyBorder="1" applyAlignment="1">
      <alignment horizontal="center"/>
    </xf>
    <xf numFmtId="0" fontId="25" fillId="0" borderId="15" xfId="0" applyNumberFormat="1" applyFont="1" applyBorder="1" applyAlignment="1">
      <alignment horizontal="center"/>
    </xf>
    <xf numFmtId="0" fontId="26" fillId="0" borderId="20" xfId="0" applyNumberFormat="1" applyFont="1" applyBorder="1" applyAlignment="1">
      <alignment horizontal="center"/>
    </xf>
    <xf numFmtId="0" fontId="26" fillId="0" borderId="15" xfId="0" applyNumberFormat="1" applyFont="1" applyBorder="1" applyAlignment="1">
      <alignment horizontal="center"/>
    </xf>
    <xf numFmtId="0" fontId="24" fillId="0" borderId="0" xfId="0" applyNumberFormat="1" applyFont="1" applyBorder="1" applyAlignment="1">
      <alignment horizontal="center"/>
    </xf>
    <xf numFmtId="0" fontId="25" fillId="0" borderId="22" xfId="0" applyNumberFormat="1" applyFont="1" applyBorder="1" applyAlignment="1">
      <alignment horizontal="center"/>
    </xf>
    <xf numFmtId="0" fontId="25" fillId="0" borderId="14" xfId="0" applyNumberFormat="1" applyFont="1" applyBorder="1" applyAlignment="1">
      <alignment horizontal="center"/>
    </xf>
    <xf numFmtId="0" fontId="18" fillId="0" borderId="11" xfId="0" applyNumberFormat="1" applyFont="1" applyBorder="1"/>
    <xf numFmtId="0" fontId="19" fillId="0" borderId="11" xfId="0" applyNumberFormat="1" applyFont="1" applyBorder="1" applyAlignment="1">
      <alignment horizontal="center"/>
    </xf>
    <xf numFmtId="0" fontId="19" fillId="0" borderId="11" xfId="0" applyNumberFormat="1" applyFont="1" applyBorder="1"/>
    <xf numFmtId="0" fontId="20" fillId="0" borderId="11" xfId="0" applyNumberFormat="1" applyFont="1" applyBorder="1" applyAlignment="1">
      <alignment horizontal="center"/>
    </xf>
    <xf numFmtId="0" fontId="20" fillId="0" borderId="21" xfId="0" applyNumberFormat="1" applyFont="1" applyBorder="1" applyAlignment="1">
      <alignment horizontal="center"/>
    </xf>
    <xf numFmtId="0" fontId="20" fillId="0" borderId="17" xfId="0" applyNumberFormat="1" applyFont="1" applyBorder="1" applyAlignment="1">
      <alignment horizontal="center"/>
    </xf>
    <xf numFmtId="0" fontId="28" fillId="0" borderId="11" xfId="0" applyNumberFormat="1" applyFont="1" applyBorder="1" applyAlignment="1">
      <alignment horizontal="center"/>
    </xf>
    <xf numFmtId="178" fontId="18" fillId="0" borderId="0" xfId="0" applyNumberFormat="1" applyFont="1"/>
    <xf numFmtId="178" fontId="20" fillId="0" borderId="0" xfId="0" applyNumberFormat="1" applyFont="1" applyAlignment="1">
      <alignment horizontal="center"/>
    </xf>
    <xf numFmtId="178" fontId="21" fillId="0" borderId="0" xfId="0" applyNumberFormat="1" applyFont="1" applyAlignment="1">
      <alignment horizontal="center"/>
    </xf>
    <xf numFmtId="179" fontId="18" fillId="0" borderId="0" xfId="0" applyNumberFormat="1" applyFont="1"/>
    <xf numFmtId="179" fontId="20" fillId="0" borderId="0" xfId="0" applyNumberFormat="1" applyFont="1" applyAlignment="1">
      <alignment horizontal="center"/>
    </xf>
    <xf numFmtId="179" fontId="21" fillId="0" borderId="0" xfId="0" applyNumberFormat="1" applyFont="1" applyAlignment="1">
      <alignment horizontal="center"/>
    </xf>
    <xf numFmtId="180" fontId="21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9" fillId="0" borderId="0" xfId="0" applyNumberFormat="1" applyFont="1" applyBorder="1" applyAlignment="1">
      <alignment vertical="center"/>
    </xf>
    <xf numFmtId="0" fontId="14" fillId="21" borderId="0" xfId="0" applyFont="1" applyFill="1" applyBorder="1" applyAlignment="1">
      <alignment vertical="center"/>
    </xf>
    <xf numFmtId="0" fontId="30" fillId="18" borderId="0" xfId="0" applyFont="1" applyFill="1"/>
    <xf numFmtId="0" fontId="7" fillId="7" borderId="0" xfId="0" applyNumberFormat="1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10" borderId="0" xfId="0" applyNumberFormat="1" applyFont="1" applyFill="1" applyAlignment="1">
      <alignment horizontal="center" vertical="center"/>
    </xf>
    <xf numFmtId="0" fontId="7" fillId="6" borderId="0" xfId="0" applyNumberFormat="1" applyFont="1" applyFill="1" applyAlignment="1">
      <alignment horizontal="center" vertical="center"/>
    </xf>
    <xf numFmtId="0" fontId="28" fillId="0" borderId="0" xfId="0" applyNumberFormat="1" applyFont="1"/>
    <xf numFmtId="0" fontId="28" fillId="0" borderId="0" xfId="0" applyNumberFormat="1" applyFont="1" applyAlignment="1">
      <alignment horizontal="left"/>
    </xf>
    <xf numFmtId="0" fontId="6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6" fillId="20" borderId="0" xfId="0" applyNumberFormat="1" applyFont="1" applyFill="1" applyAlignment="1">
      <alignment horizontal="center" vertical="center"/>
    </xf>
    <xf numFmtId="9" fontId="6" fillId="9" borderId="0" xfId="0" applyNumberFormat="1" applyFont="1" applyFill="1" applyAlignment="1">
      <alignment horizontal="center" vertical="center"/>
    </xf>
    <xf numFmtId="0" fontId="9" fillId="4" borderId="0" xfId="0" applyNumberFormat="1" applyFont="1" applyFill="1" applyBorder="1" applyAlignment="1">
      <alignment horizontal="center" vertical="center"/>
    </xf>
    <xf numFmtId="0" fontId="17" fillId="8" borderId="0" xfId="0" applyFont="1" applyFill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quotePrefix="1" applyFont="1" applyBorder="1" applyAlignment="1">
      <alignment horizontal="center" vertical="center"/>
    </xf>
    <xf numFmtId="0" fontId="6" fillId="0" borderId="26" xfId="0" quotePrefix="1" applyFont="1" applyBorder="1" applyAlignment="1">
      <alignment horizontal="center" vertical="center"/>
    </xf>
    <xf numFmtId="0" fontId="6" fillId="0" borderId="27" xfId="0" quotePrefix="1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0" xfId="0" applyNumberFormat="1" applyFont="1" applyBorder="1" applyAlignment="1">
      <alignment horizontal="center" vertical="center"/>
    </xf>
    <xf numFmtId="0" fontId="9" fillId="19" borderId="26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20" fillId="0" borderId="0" xfId="0" applyFont="1" applyAlignment="1">
      <alignment horizontal="center"/>
    </xf>
    <xf numFmtId="181" fontId="18" fillId="0" borderId="0" xfId="0" applyNumberFormat="1" applyFont="1" applyAlignment="1">
      <alignment horizontal="left"/>
    </xf>
    <xf numFmtId="181" fontId="20" fillId="0" borderId="0" xfId="0" applyNumberFormat="1" applyFont="1" applyAlignment="1">
      <alignment horizontal="left"/>
    </xf>
    <xf numFmtId="181" fontId="21" fillId="0" borderId="0" xfId="0" applyNumberFormat="1" applyFont="1" applyAlignment="1">
      <alignment horizontal="left"/>
    </xf>
    <xf numFmtId="181" fontId="9" fillId="15" borderId="0" xfId="0" applyNumberFormat="1" applyFont="1" applyFill="1" applyBorder="1" applyAlignment="1">
      <alignment horizontal="center" vertical="center"/>
    </xf>
    <xf numFmtId="0" fontId="9" fillId="12" borderId="0" xfId="0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176" fontId="18" fillId="0" borderId="0" xfId="0" applyNumberFormat="1" applyFont="1"/>
    <xf numFmtId="176" fontId="19" fillId="0" borderId="11" xfId="0" applyNumberFormat="1" applyFont="1" applyBorder="1"/>
    <xf numFmtId="176" fontId="19" fillId="0" borderId="0" xfId="0" applyNumberFormat="1" applyFont="1"/>
    <xf numFmtId="0" fontId="20" fillId="0" borderId="11" xfId="0" applyNumberFormat="1" applyFont="1" applyBorder="1"/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33" fillId="10" borderId="0" xfId="0" applyFont="1" applyFill="1" applyBorder="1" applyAlignment="1">
      <alignment horizontal="center"/>
    </xf>
    <xf numFmtId="0" fontId="37" fillId="31" borderId="0" xfId="0" applyFont="1" applyFill="1" applyAlignment="1">
      <alignment horizontal="center"/>
    </xf>
    <xf numFmtId="0" fontId="35" fillId="30" borderId="0" xfId="0" applyFont="1" applyFill="1" applyAlignment="1">
      <alignment horizontal="center"/>
    </xf>
    <xf numFmtId="49" fontId="18" fillId="0" borderId="0" xfId="0" applyNumberFormat="1" applyFont="1"/>
    <xf numFmtId="0" fontId="36" fillId="32" borderId="0" xfId="0" applyFont="1" applyFill="1" applyAlignment="1">
      <alignment horizontal="center"/>
    </xf>
    <xf numFmtId="0" fontId="36" fillId="18" borderId="0" xfId="0" applyFont="1" applyFill="1" applyAlignment="1">
      <alignment horizontal="center"/>
    </xf>
    <xf numFmtId="0" fontId="36" fillId="19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0" fontId="26" fillId="2" borderId="0" xfId="0" applyFont="1" applyFill="1" applyAlignment="1">
      <alignment horizontal="center"/>
    </xf>
    <xf numFmtId="49" fontId="9" fillId="15" borderId="0" xfId="0" applyNumberFormat="1" applyFont="1" applyFill="1" applyBorder="1" applyAlignment="1">
      <alignment horizontal="center" vertical="center"/>
    </xf>
    <xf numFmtId="0" fontId="9" fillId="14" borderId="0" xfId="0" quotePrefix="1" applyFont="1" applyFill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34" fillId="0" borderId="0" xfId="0" applyFont="1"/>
    <xf numFmtId="0" fontId="38" fillId="0" borderId="0" xfId="0" applyFont="1" applyAlignment="1">
      <alignment horizontal="center"/>
    </xf>
    <xf numFmtId="0" fontId="9" fillId="0" borderId="43" xfId="0" applyFont="1" applyBorder="1" applyAlignment="1">
      <alignment horizontal="center" vertical="center"/>
    </xf>
    <xf numFmtId="176" fontId="19" fillId="0" borderId="0" xfId="0" applyNumberFormat="1" applyFont="1" applyAlignment="1">
      <alignment horizontal="center"/>
    </xf>
    <xf numFmtId="182" fontId="21" fillId="0" borderId="0" xfId="0" applyNumberFormat="1" applyFont="1"/>
    <xf numFmtId="183" fontId="18" fillId="0" borderId="0" xfId="0" applyNumberFormat="1" applyFont="1"/>
    <xf numFmtId="183" fontId="19" fillId="0" borderId="0" xfId="0" applyNumberFormat="1" applyFont="1" applyAlignment="1">
      <alignment horizontal="center"/>
    </xf>
    <xf numFmtId="183" fontId="21" fillId="0" borderId="0" xfId="0" applyNumberFormat="1" applyFont="1"/>
    <xf numFmtId="0" fontId="21" fillId="0" borderId="0" xfId="0" applyFont="1" applyAlignment="1">
      <alignment wrapText="1"/>
    </xf>
    <xf numFmtId="0" fontId="26" fillId="33" borderId="0" xfId="0" applyFont="1" applyFill="1" applyAlignment="1">
      <alignment horizontal="center"/>
    </xf>
    <xf numFmtId="0" fontId="36" fillId="34" borderId="0" xfId="0" applyFont="1" applyFill="1" applyAlignment="1">
      <alignment horizontal="center"/>
    </xf>
    <xf numFmtId="0" fontId="21" fillId="35" borderId="0" xfId="0" applyFont="1" applyFill="1" applyAlignment="1">
      <alignment horizontal="center"/>
    </xf>
    <xf numFmtId="0" fontId="39" fillId="36" borderId="0" xfId="0" applyFont="1" applyFill="1" applyAlignment="1">
      <alignment horizontal="center"/>
    </xf>
    <xf numFmtId="0" fontId="40" fillId="37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84" fontId="21" fillId="0" borderId="0" xfId="0" applyNumberFormat="1" applyFont="1" applyAlignment="1">
      <alignment horizontal="center"/>
    </xf>
    <xf numFmtId="185" fontId="21" fillId="0" borderId="0" xfId="0" applyNumberFormat="1" applyFont="1" applyAlignment="1">
      <alignment horizontal="center"/>
    </xf>
    <xf numFmtId="49" fontId="41" fillId="0" borderId="0" xfId="0" applyNumberFormat="1" applyFont="1" applyAlignment="1">
      <alignment horizontal="center"/>
    </xf>
    <xf numFmtId="186" fontId="2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21" fillId="0" borderId="0" xfId="0" applyFont="1" applyFill="1" applyAlignment="1">
      <alignment horizontal="center"/>
    </xf>
    <xf numFmtId="0" fontId="26" fillId="38" borderId="0" xfId="0" applyFont="1" applyFill="1" applyAlignment="1">
      <alignment horizontal="center"/>
    </xf>
    <xf numFmtId="187" fontId="21" fillId="0" borderId="0" xfId="0" applyNumberFormat="1" applyFont="1" applyAlignment="1">
      <alignment horizontal="center"/>
    </xf>
    <xf numFmtId="187" fontId="18" fillId="0" borderId="0" xfId="0" applyNumberFormat="1" applyFont="1"/>
    <xf numFmtId="187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88" fontId="18" fillId="0" borderId="0" xfId="0" applyNumberFormat="1" applyFont="1"/>
    <xf numFmtId="188" fontId="19" fillId="0" borderId="0" xfId="0" applyNumberFormat="1" applyFont="1" applyAlignment="1">
      <alignment horizontal="center"/>
    </xf>
    <xf numFmtId="188" fontId="21" fillId="0" borderId="0" xfId="0" applyNumberFormat="1" applyFont="1" applyAlignment="1">
      <alignment horizontal="center"/>
    </xf>
    <xf numFmtId="0" fontId="21" fillId="39" borderId="0" xfId="0" applyFont="1" applyFill="1" applyAlignment="1">
      <alignment horizontal="center"/>
    </xf>
    <xf numFmtId="0" fontId="26" fillId="40" borderId="0" xfId="0" applyFont="1" applyFill="1" applyAlignment="1">
      <alignment horizontal="center"/>
    </xf>
    <xf numFmtId="0" fontId="21" fillId="0" borderId="0" xfId="0" quotePrefix="1" applyFont="1" applyAlignment="1">
      <alignment horizontal="left"/>
    </xf>
    <xf numFmtId="0" fontId="20" fillId="0" borderId="0" xfId="0" quotePrefix="1" applyFont="1" applyAlignment="1">
      <alignment horizontal="left"/>
    </xf>
    <xf numFmtId="0" fontId="44" fillId="0" borderId="0" xfId="0" applyFont="1" applyAlignment="1">
      <alignment horizontal="center"/>
    </xf>
    <xf numFmtId="0" fontId="21" fillId="41" borderId="0" xfId="0" applyFont="1" applyFill="1" applyAlignment="1">
      <alignment horizontal="center"/>
    </xf>
    <xf numFmtId="188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189" fontId="20" fillId="0" borderId="0" xfId="0" applyNumberFormat="1" applyFont="1" applyAlignment="1">
      <alignment horizontal="center"/>
    </xf>
    <xf numFmtId="189" fontId="21" fillId="0" borderId="0" xfId="0" applyNumberFormat="1" applyFont="1" applyAlignment="1">
      <alignment horizontal="center"/>
    </xf>
    <xf numFmtId="189" fontId="34" fillId="0" borderId="0" xfId="0" applyNumberFormat="1" applyFont="1" applyAlignment="1">
      <alignment horizontal="center"/>
    </xf>
    <xf numFmtId="189" fontId="18" fillId="0" borderId="0" xfId="0" applyNumberFormat="1" applyFont="1" applyAlignment="1">
      <alignment horizontal="center"/>
    </xf>
    <xf numFmtId="188" fontId="20" fillId="0" borderId="0" xfId="0" applyNumberFormat="1" applyFont="1" applyAlignment="1">
      <alignment horizontal="center"/>
    </xf>
    <xf numFmtId="188" fontId="18" fillId="0" borderId="0" xfId="0" applyNumberFormat="1" applyFont="1" applyAlignment="1">
      <alignment horizontal="center"/>
    </xf>
    <xf numFmtId="188" fontId="7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190" fontId="21" fillId="0" borderId="0" xfId="0" applyNumberFormat="1" applyFont="1"/>
    <xf numFmtId="190" fontId="20" fillId="0" borderId="0" xfId="0" applyNumberFormat="1" applyFont="1" applyAlignment="1">
      <alignment horizontal="center"/>
    </xf>
    <xf numFmtId="190" fontId="46" fillId="0" borderId="0" xfId="0" applyNumberFormat="1" applyFont="1" applyAlignment="1">
      <alignment horizontal="center"/>
    </xf>
    <xf numFmtId="190" fontId="21" fillId="0" borderId="0" xfId="0" applyNumberFormat="1" applyFont="1" applyAlignment="1">
      <alignment horizontal="center"/>
    </xf>
    <xf numFmtId="191" fontId="21" fillId="0" borderId="0" xfId="0" applyNumberFormat="1" applyFont="1"/>
    <xf numFmtId="191" fontId="20" fillId="0" borderId="0" xfId="0" applyNumberFormat="1" applyFont="1" applyAlignment="1">
      <alignment horizontal="center"/>
    </xf>
    <xf numFmtId="191" fontId="21" fillId="0" borderId="0" xfId="0" applyNumberFormat="1" applyFont="1" applyAlignment="1">
      <alignment horizontal="center"/>
    </xf>
    <xf numFmtId="192" fontId="21" fillId="0" borderId="0" xfId="0" applyNumberFormat="1" applyFont="1"/>
    <xf numFmtId="192" fontId="20" fillId="0" borderId="0" xfId="0" applyNumberFormat="1" applyFont="1" applyAlignment="1">
      <alignment horizontal="center"/>
    </xf>
    <xf numFmtId="192" fontId="21" fillId="0" borderId="0" xfId="0" applyNumberFormat="1" applyFont="1" applyAlignment="1">
      <alignment horizontal="center"/>
    </xf>
    <xf numFmtId="193" fontId="21" fillId="0" borderId="0" xfId="0" applyNumberFormat="1" applyFont="1"/>
    <xf numFmtId="193" fontId="20" fillId="0" borderId="0" xfId="0" applyNumberFormat="1" applyFont="1" applyAlignment="1">
      <alignment horizontal="center"/>
    </xf>
    <xf numFmtId="193" fontId="21" fillId="0" borderId="0" xfId="0" applyNumberFormat="1" applyFont="1" applyAlignment="1">
      <alignment horizontal="center"/>
    </xf>
    <xf numFmtId="193" fontId="45" fillId="0" borderId="0" xfId="0" applyNumberFormat="1" applyFont="1" applyAlignment="1">
      <alignment horizontal="center"/>
    </xf>
    <xf numFmtId="190" fontId="45" fillId="0" borderId="0" xfId="0" applyNumberFormat="1" applyFont="1" applyAlignment="1">
      <alignment horizontal="center"/>
    </xf>
    <xf numFmtId="191" fontId="7" fillId="0" borderId="0" xfId="0" applyNumberFormat="1" applyFont="1" applyAlignment="1">
      <alignment horizontal="center"/>
    </xf>
    <xf numFmtId="194" fontId="21" fillId="0" borderId="0" xfId="0" applyNumberFormat="1" applyFont="1"/>
    <xf numFmtId="194" fontId="45" fillId="0" borderId="0" xfId="0" applyNumberFormat="1" applyFont="1" applyAlignment="1">
      <alignment horizontal="center"/>
    </xf>
    <xf numFmtId="194" fontId="20" fillId="0" borderId="0" xfId="0" applyNumberFormat="1" applyFont="1" applyAlignment="1">
      <alignment horizontal="center"/>
    </xf>
    <xf numFmtId="194" fontId="2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76" fontId="7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0" fontId="49" fillId="0" borderId="0" xfId="0" applyFont="1"/>
    <xf numFmtId="195" fontId="18" fillId="0" borderId="0" xfId="0" applyNumberFormat="1" applyFont="1"/>
    <xf numFmtId="195" fontId="20" fillId="0" borderId="0" xfId="0" applyNumberFormat="1" applyFont="1" applyAlignment="1">
      <alignment horizontal="center"/>
    </xf>
    <xf numFmtId="195" fontId="21" fillId="0" borderId="0" xfId="0" applyNumberFormat="1" applyFont="1" applyAlignment="1">
      <alignment horizontal="center"/>
    </xf>
    <xf numFmtId="196" fontId="18" fillId="0" borderId="0" xfId="0" applyNumberFormat="1" applyFont="1"/>
    <xf numFmtId="196" fontId="20" fillId="0" borderId="0" xfId="0" applyNumberFormat="1" applyFont="1" applyAlignment="1">
      <alignment horizontal="center"/>
    </xf>
    <xf numFmtId="196" fontId="21" fillId="0" borderId="0" xfId="0" applyNumberFormat="1" applyFont="1" applyAlignment="1">
      <alignment horizontal="center"/>
    </xf>
    <xf numFmtId="197" fontId="18" fillId="0" borderId="0" xfId="0" applyNumberFormat="1" applyFont="1"/>
    <xf numFmtId="197" fontId="20" fillId="0" borderId="0" xfId="0" applyNumberFormat="1" applyFont="1" applyAlignment="1">
      <alignment horizontal="center"/>
    </xf>
    <xf numFmtId="197" fontId="21" fillId="0" borderId="0" xfId="0" applyNumberFormat="1" applyFont="1" applyAlignment="1">
      <alignment horizontal="center"/>
    </xf>
    <xf numFmtId="198" fontId="20" fillId="0" borderId="0" xfId="0" applyNumberFormat="1" applyFont="1" applyAlignment="1">
      <alignment horizontal="center"/>
    </xf>
    <xf numFmtId="198" fontId="21" fillId="0" borderId="0" xfId="0" applyNumberFormat="1" applyFont="1" applyAlignment="1">
      <alignment horizontal="center"/>
    </xf>
    <xf numFmtId="199" fontId="20" fillId="0" borderId="0" xfId="0" applyNumberFormat="1" applyFont="1" applyAlignment="1">
      <alignment horizontal="center"/>
    </xf>
    <xf numFmtId="199" fontId="2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98" fontId="18" fillId="0" borderId="0" xfId="0" applyNumberFormat="1" applyFont="1" applyAlignment="1">
      <alignment horizontal="center"/>
    </xf>
    <xf numFmtId="198" fontId="21" fillId="0" borderId="0" xfId="0" applyNumberFormat="1" applyFont="1"/>
    <xf numFmtId="199" fontId="21" fillId="0" borderId="0" xfId="0" applyNumberFormat="1" applyFont="1"/>
    <xf numFmtId="0" fontId="50" fillId="0" borderId="0" xfId="11" applyFont="1"/>
    <xf numFmtId="0" fontId="18" fillId="10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8" fillId="0" borderId="11" xfId="0" applyFont="1" applyBorder="1" applyAlignment="1">
      <alignment horizontal="center"/>
    </xf>
    <xf numFmtId="176" fontId="18" fillId="0" borderId="0" xfId="0" applyNumberFormat="1" applyFont="1" applyAlignment="1">
      <alignment horizontal="center"/>
    </xf>
    <xf numFmtId="0" fontId="18" fillId="11" borderId="11" xfId="0" applyFont="1" applyFill="1" applyBorder="1" applyAlignment="1">
      <alignment horizontal="center"/>
    </xf>
    <xf numFmtId="178" fontId="19" fillId="0" borderId="0" xfId="0" applyNumberFormat="1" applyFont="1" applyAlignment="1">
      <alignment horizontal="center"/>
    </xf>
    <xf numFmtId="178" fontId="19" fillId="0" borderId="0" xfId="0" applyNumberFormat="1" applyFont="1"/>
    <xf numFmtId="178" fontId="21" fillId="0" borderId="0" xfId="0" applyNumberFormat="1" applyFont="1"/>
    <xf numFmtId="200" fontId="18" fillId="0" borderId="0" xfId="0" applyNumberFormat="1" applyFont="1" applyAlignment="1">
      <alignment horizontal="center"/>
    </xf>
    <xf numFmtId="200" fontId="19" fillId="0" borderId="0" xfId="0" applyNumberFormat="1" applyFont="1" applyAlignment="1">
      <alignment horizontal="center"/>
    </xf>
    <xf numFmtId="200" fontId="21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201" fontId="18" fillId="0" borderId="0" xfId="0" applyNumberFormat="1" applyFont="1" applyAlignment="1">
      <alignment horizontal="center"/>
    </xf>
    <xf numFmtId="201" fontId="19" fillId="0" borderId="0" xfId="0" applyNumberFormat="1" applyFont="1" applyAlignment="1">
      <alignment horizontal="center"/>
    </xf>
    <xf numFmtId="201" fontId="21" fillId="0" borderId="0" xfId="0" applyNumberFormat="1" applyFont="1" applyAlignment="1">
      <alignment horizontal="center"/>
    </xf>
    <xf numFmtId="202" fontId="18" fillId="0" borderId="0" xfId="0" applyNumberFormat="1" applyFont="1" applyAlignment="1">
      <alignment horizontal="center"/>
    </xf>
    <xf numFmtId="202" fontId="20" fillId="0" borderId="0" xfId="0" applyNumberFormat="1" applyFont="1" applyAlignment="1">
      <alignment horizontal="center"/>
    </xf>
    <xf numFmtId="202" fontId="21" fillId="0" borderId="0" xfId="0" applyNumberFormat="1" applyFont="1" applyAlignment="1">
      <alignment horizontal="center"/>
    </xf>
    <xf numFmtId="201" fontId="42" fillId="0" borderId="0" xfId="0" applyNumberFormat="1" applyFont="1" applyAlignment="1">
      <alignment horizontal="center"/>
    </xf>
    <xf numFmtId="203" fontId="34" fillId="0" borderId="0" xfId="0" applyNumberFormat="1" applyFont="1" applyAlignment="1">
      <alignment horizontal="center"/>
    </xf>
    <xf numFmtId="203" fontId="27" fillId="0" borderId="0" xfId="0" applyNumberFormat="1" applyFont="1" applyAlignment="1">
      <alignment horizontal="center"/>
    </xf>
    <xf numFmtId="203" fontId="19" fillId="0" borderId="0" xfId="0" applyNumberFormat="1" applyFont="1" applyAlignment="1">
      <alignment horizontal="center"/>
    </xf>
    <xf numFmtId="203" fontId="21" fillId="0" borderId="0" xfId="0" applyNumberFormat="1" applyFont="1" applyAlignment="1">
      <alignment horizontal="center"/>
    </xf>
    <xf numFmtId="203" fontId="18" fillId="0" borderId="0" xfId="0" applyNumberFormat="1" applyFont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89" fontId="7" fillId="0" borderId="4" xfId="0" applyNumberFormat="1" applyFont="1" applyBorder="1"/>
    <xf numFmtId="189" fontId="6" fillId="7" borderId="0" xfId="0" applyNumberFormat="1" applyFont="1" applyFill="1"/>
    <xf numFmtId="189" fontId="6" fillId="6" borderId="0" xfId="0" applyNumberFormat="1" applyFont="1" applyFill="1"/>
    <xf numFmtId="189" fontId="6" fillId="10" borderId="0" xfId="0" applyNumberFormat="1" applyFont="1" applyFill="1"/>
    <xf numFmtId="189" fontId="6" fillId="11" borderId="0" xfId="0" applyNumberFormat="1" applyFont="1" applyFill="1"/>
    <xf numFmtId="189" fontId="6" fillId="12" borderId="0" xfId="0" applyNumberFormat="1" applyFont="1" applyFill="1"/>
    <xf numFmtId="189" fontId="6" fillId="0" borderId="0" xfId="0" applyNumberFormat="1" applyFont="1"/>
    <xf numFmtId="204" fontId="21" fillId="0" borderId="0" xfId="0" applyNumberFormat="1" applyFont="1" applyAlignment="1">
      <alignment horizontal="center"/>
    </xf>
    <xf numFmtId="0" fontId="6" fillId="0" borderId="27" xfId="0" applyFont="1" applyFill="1" applyBorder="1" applyAlignment="1">
      <alignment horizontal="center" vertical="center"/>
    </xf>
    <xf numFmtId="0" fontId="6" fillId="7" borderId="0" xfId="0" quotePrefix="1" applyFont="1" applyFill="1" applyBorder="1" applyAlignment="1">
      <alignment horizontal="center" vertical="center"/>
    </xf>
    <xf numFmtId="0" fontId="6" fillId="7" borderId="0" xfId="0" applyFont="1" applyFill="1" applyBorder="1" applyAlignment="1">
      <alignment horizontal="center" vertical="center"/>
    </xf>
    <xf numFmtId="0" fontId="6" fillId="7" borderId="27" xfId="0" applyFont="1" applyFill="1" applyBorder="1" applyAlignment="1">
      <alignment horizontal="center" vertical="center"/>
    </xf>
    <xf numFmtId="205" fontId="6" fillId="0" borderId="0" xfId="0" applyNumberFormat="1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206" fontId="6" fillId="0" borderId="0" xfId="0" applyNumberFormat="1" applyFont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19" borderId="21" xfId="0" applyFont="1" applyFill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11" xfId="0" quotePrefix="1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48" xfId="0" quotePrefix="1" applyFont="1" applyBorder="1" applyAlignment="1">
      <alignment horizontal="center" vertical="center"/>
    </xf>
    <xf numFmtId="0" fontId="6" fillId="0" borderId="47" xfId="0" quotePrefix="1" applyFont="1" applyBorder="1" applyAlignment="1">
      <alignment horizontal="center" vertical="center"/>
    </xf>
    <xf numFmtId="0" fontId="6" fillId="0" borderId="21" xfId="0" applyNumberFormat="1" applyFont="1" applyBorder="1" applyAlignment="1">
      <alignment horizontal="center" vertical="center"/>
    </xf>
    <xf numFmtId="0" fontId="6" fillId="7" borderId="48" xfId="0" applyFont="1" applyFill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quotePrefix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9" fillId="7" borderId="1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42" borderId="27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2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2" fillId="0" borderId="43" xfId="0" applyFont="1" applyBorder="1" applyAlignment="1">
      <alignment horizontal="center" vertical="center"/>
    </xf>
    <xf numFmtId="0" fontId="52" fillId="4" borderId="26" xfId="11" applyFont="1" applyFill="1" applyBorder="1" applyAlignment="1">
      <alignment horizontal="center" vertical="center"/>
    </xf>
    <xf numFmtId="0" fontId="33" fillId="4" borderId="34" xfId="11" applyFont="1" applyFill="1" applyBorder="1" applyAlignment="1">
      <alignment horizontal="center" vertical="center"/>
    </xf>
    <xf numFmtId="0" fontId="52" fillId="4" borderId="37" xfId="11" applyFont="1" applyFill="1" applyBorder="1" applyAlignment="1">
      <alignment horizontal="center" vertical="center"/>
    </xf>
    <xf numFmtId="0" fontId="52" fillId="4" borderId="46" xfId="11" applyFont="1" applyFill="1" applyBorder="1" applyAlignment="1">
      <alignment horizontal="center" vertical="center"/>
    </xf>
    <xf numFmtId="0" fontId="52" fillId="4" borderId="38" xfId="11" applyFont="1" applyFill="1" applyBorder="1" applyAlignment="1">
      <alignment horizontal="center" vertical="center"/>
    </xf>
    <xf numFmtId="207" fontId="9" fillId="13" borderId="0" xfId="0" applyNumberFormat="1" applyFont="1" applyFill="1" applyBorder="1" applyAlignment="1">
      <alignment horizontal="center" vertical="center"/>
    </xf>
    <xf numFmtId="0" fontId="51" fillId="13" borderId="0" xfId="11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Alignment="1"/>
    <xf numFmtId="0" fontId="9" fillId="0" borderId="18" xfId="0" applyFont="1" applyBorder="1"/>
    <xf numFmtId="0" fontId="9" fillId="0" borderId="19" xfId="0" applyFont="1" applyBorder="1"/>
    <xf numFmtId="0" fontId="9" fillId="0" borderId="13" xfId="0" applyFont="1" applyBorder="1"/>
    <xf numFmtId="0" fontId="9" fillId="0" borderId="20" xfId="0" applyFont="1" applyBorder="1"/>
    <xf numFmtId="0" fontId="9" fillId="0" borderId="0" xfId="0" applyFont="1" applyBorder="1"/>
    <xf numFmtId="0" fontId="9" fillId="0" borderId="15" xfId="0" applyFont="1" applyBorder="1"/>
    <xf numFmtId="0" fontId="9" fillId="0" borderId="21" xfId="0" applyFont="1" applyBorder="1"/>
    <xf numFmtId="0" fontId="9" fillId="0" borderId="11" xfId="0" applyFont="1" applyBorder="1"/>
    <xf numFmtId="0" fontId="16" fillId="43" borderId="26" xfId="0" applyFont="1" applyFill="1" applyBorder="1" applyAlignment="1">
      <alignment horizontal="center"/>
    </xf>
    <xf numFmtId="0" fontId="9" fillId="43" borderId="26" xfId="0" applyFont="1" applyFill="1" applyBorder="1" applyAlignment="1">
      <alignment horizontal="center"/>
    </xf>
    <xf numFmtId="0" fontId="16" fillId="43" borderId="23" xfId="0" applyFont="1" applyFill="1" applyBorder="1" applyAlignment="1">
      <alignment vertical="center"/>
    </xf>
    <xf numFmtId="0" fontId="9" fillId="43" borderId="24" xfId="0" applyFont="1" applyFill="1" applyBorder="1" applyAlignment="1">
      <alignment vertical="center"/>
    </xf>
    <xf numFmtId="0" fontId="16" fillId="43" borderId="26" xfId="0" applyFont="1" applyFill="1" applyBorder="1" applyAlignment="1">
      <alignment vertical="center"/>
    </xf>
    <xf numFmtId="0" fontId="9" fillId="43" borderId="0" xfId="0" applyFont="1" applyFill="1" applyBorder="1" applyAlignment="1">
      <alignment vertical="center"/>
    </xf>
    <xf numFmtId="0" fontId="9" fillId="43" borderId="47" xfId="0" applyFont="1" applyFill="1" applyBorder="1" applyAlignment="1">
      <alignment vertical="center"/>
    </xf>
    <xf numFmtId="0" fontId="9" fillId="43" borderId="28" xfId="0" applyFont="1" applyFill="1" applyBorder="1" applyAlignment="1">
      <alignment vertical="center"/>
    </xf>
    <xf numFmtId="0" fontId="9" fillId="43" borderId="29" xfId="0" applyFont="1" applyFill="1" applyBorder="1" applyAlignment="1">
      <alignment vertical="center"/>
    </xf>
    <xf numFmtId="181" fontId="9" fillId="12" borderId="0" xfId="0" applyNumberFormat="1" applyFont="1" applyFill="1" applyBorder="1" applyAlignment="1">
      <alignment horizontal="center" vertical="center"/>
    </xf>
    <xf numFmtId="181" fontId="9" fillId="14" borderId="0" xfId="0" applyNumberFormat="1" applyFont="1" applyFill="1" applyBorder="1" applyAlignment="1">
      <alignment horizontal="center" vertical="center"/>
    </xf>
    <xf numFmtId="0" fontId="14" fillId="46" borderId="0" xfId="0" applyFont="1" applyFill="1" applyBorder="1" applyAlignment="1">
      <alignment vertical="center"/>
    </xf>
    <xf numFmtId="0" fontId="14" fillId="46" borderId="0" xfId="0" applyFont="1" applyFill="1" applyBorder="1" applyAlignment="1">
      <alignment horizontal="center" vertical="center"/>
    </xf>
    <xf numFmtId="0" fontId="14" fillId="46" borderId="27" xfId="0" applyFont="1" applyFill="1" applyBorder="1" applyAlignment="1">
      <alignment horizontal="center" vertical="center"/>
    </xf>
    <xf numFmtId="0" fontId="14" fillId="46" borderId="29" xfId="0" applyFont="1" applyFill="1" applyBorder="1" applyAlignment="1">
      <alignment horizontal="center" vertical="center"/>
    </xf>
    <xf numFmtId="0" fontId="14" fillId="46" borderId="30" xfId="0" applyFont="1" applyFill="1" applyBorder="1" applyAlignment="1">
      <alignment horizontal="center" vertical="center"/>
    </xf>
    <xf numFmtId="0" fontId="57" fillId="46" borderId="0" xfId="0" applyNumberFormat="1" applyFont="1" applyFill="1" applyBorder="1" applyAlignment="1">
      <alignment vertical="center"/>
    </xf>
    <xf numFmtId="0" fontId="57" fillId="46" borderId="29" xfId="0" applyNumberFormat="1" applyFont="1" applyFill="1" applyBorder="1" applyAlignment="1">
      <alignment vertical="center"/>
    </xf>
    <xf numFmtId="0" fontId="9" fillId="0" borderId="17" xfId="0" applyFont="1" applyBorder="1"/>
    <xf numFmtId="0" fontId="9" fillId="14" borderId="0" xfId="0" applyFont="1" applyFill="1" applyBorder="1"/>
    <xf numFmtId="0" fontId="9" fillId="14" borderId="0" xfId="0" applyFont="1" applyFill="1"/>
    <xf numFmtId="0" fontId="6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Fill="1" applyBorder="1"/>
    <xf numFmtId="0" fontId="6" fillId="0" borderId="0" xfId="0" applyFont="1" applyAlignment="1">
      <alignment horizontal="center" vertical="center"/>
    </xf>
    <xf numFmtId="208" fontId="21" fillId="0" borderId="0" xfId="0" applyNumberFormat="1" applyFont="1" applyAlignment="1">
      <alignment horizontal="center"/>
    </xf>
    <xf numFmtId="181" fontId="9" fillId="0" borderId="0" xfId="0" applyNumberFormat="1" applyFont="1"/>
    <xf numFmtId="0" fontId="52" fillId="5" borderId="0" xfId="0" applyFont="1" applyFill="1" applyBorder="1" applyAlignment="1">
      <alignment vertical="center"/>
    </xf>
    <xf numFmtId="0" fontId="52" fillId="5" borderId="0" xfId="0" applyFont="1" applyFill="1" applyBorder="1" applyAlignment="1">
      <alignment horizontal="center" vertical="center"/>
    </xf>
    <xf numFmtId="0" fontId="52" fillId="5" borderId="27" xfId="0" applyFont="1" applyFill="1" applyBorder="1" applyAlignment="1">
      <alignment horizontal="center" vertical="center"/>
    </xf>
    <xf numFmtId="0" fontId="52" fillId="5" borderId="29" xfId="0" applyFont="1" applyFill="1" applyBorder="1" applyAlignment="1">
      <alignment horizontal="center" vertical="center"/>
    </xf>
    <xf numFmtId="0" fontId="52" fillId="5" borderId="30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52" fillId="0" borderId="0" xfId="0" applyFont="1" applyFill="1" applyBorder="1"/>
    <xf numFmtId="0" fontId="52" fillId="0" borderId="0" xfId="0" quotePrefix="1" applyFont="1" applyFill="1" applyBorder="1"/>
    <xf numFmtId="0" fontId="52" fillId="0" borderId="0" xfId="0" applyFont="1" applyFill="1" applyBorder="1" applyAlignment="1">
      <alignment horizontal="center"/>
    </xf>
    <xf numFmtId="0" fontId="52" fillId="5" borderId="24" xfId="0" applyFont="1" applyFill="1" applyBorder="1" applyAlignment="1">
      <alignment vertical="center"/>
    </xf>
    <xf numFmtId="0" fontId="52" fillId="5" borderId="27" xfId="0" applyFont="1" applyFill="1" applyBorder="1" applyAlignment="1">
      <alignment vertical="center"/>
    </xf>
    <xf numFmtId="0" fontId="52" fillId="5" borderId="24" xfId="0" applyFont="1" applyFill="1" applyBorder="1" applyAlignment="1">
      <alignment horizontal="center" vertical="center"/>
    </xf>
    <xf numFmtId="0" fontId="52" fillId="0" borderId="0" xfId="0" applyFont="1" applyFill="1" applyBorder="1" applyAlignment="1"/>
    <xf numFmtId="0" fontId="0" fillId="11" borderId="50" xfId="0" applyFill="1" applyBorder="1" applyAlignment="1">
      <alignment vertical="center"/>
    </xf>
    <xf numFmtId="0" fontId="0" fillId="11" borderId="20" xfId="0" applyFill="1" applyBorder="1" applyAlignment="1">
      <alignment vertical="center"/>
    </xf>
    <xf numFmtId="0" fontId="6" fillId="20" borderId="0" xfId="0" applyFont="1" applyFill="1" applyAlignment="1">
      <alignment horizontal="center" vertical="center"/>
    </xf>
    <xf numFmtId="0" fontId="52" fillId="5" borderId="25" xfId="0" applyFont="1" applyFill="1" applyBorder="1" applyAlignment="1">
      <alignment horizontal="center" vertical="center"/>
    </xf>
    <xf numFmtId="0" fontId="15" fillId="8" borderId="0" xfId="0" applyNumberFormat="1" applyFont="1" applyFill="1" applyBorder="1" applyAlignment="1">
      <alignment vertical="center"/>
    </xf>
    <xf numFmtId="0" fontId="15" fillId="8" borderId="29" xfId="0" applyNumberFormat="1" applyFont="1" applyFill="1" applyBorder="1" applyAlignment="1">
      <alignment vertical="center"/>
    </xf>
    <xf numFmtId="0" fontId="6" fillId="0" borderId="0" xfId="0" quotePrefix="1" applyNumberFormat="1" applyFont="1"/>
    <xf numFmtId="0" fontId="6" fillId="0" borderId="0" xfId="0" quotePrefix="1" applyFont="1"/>
    <xf numFmtId="0" fontId="6" fillId="0" borderId="0" xfId="0" applyFont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2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23" borderId="23" xfId="0" applyFont="1" applyFill="1" applyBorder="1" applyAlignment="1">
      <alignment horizontal="center" vertical="center"/>
    </xf>
    <xf numFmtId="0" fontId="9" fillId="23" borderId="24" xfId="0" applyFont="1" applyFill="1" applyBorder="1" applyAlignment="1">
      <alignment horizontal="center" vertical="center"/>
    </xf>
    <xf numFmtId="0" fontId="9" fillId="23" borderId="25" xfId="0" applyFont="1" applyFill="1" applyBorder="1" applyAlignment="1">
      <alignment horizontal="center" vertical="center"/>
    </xf>
    <xf numFmtId="0" fontId="9" fillId="24" borderId="23" xfId="0" applyFont="1" applyFill="1" applyBorder="1" applyAlignment="1">
      <alignment horizontal="center" vertical="center"/>
    </xf>
    <xf numFmtId="0" fontId="9" fillId="24" borderId="24" xfId="0" applyFont="1" applyFill="1" applyBorder="1" applyAlignment="1">
      <alignment horizontal="center" vertical="center"/>
    </xf>
    <xf numFmtId="0" fontId="9" fillId="24" borderId="25" xfId="0" applyFont="1" applyFill="1" applyBorder="1" applyAlignment="1">
      <alignment horizontal="center" vertical="center"/>
    </xf>
    <xf numFmtId="0" fontId="9" fillId="27" borderId="23" xfId="0" applyFont="1" applyFill="1" applyBorder="1" applyAlignment="1">
      <alignment horizontal="center" vertical="center"/>
    </xf>
    <xf numFmtId="0" fontId="9" fillId="27" borderId="24" xfId="0" applyFont="1" applyFill="1" applyBorder="1" applyAlignment="1">
      <alignment horizontal="center" vertical="center"/>
    </xf>
    <xf numFmtId="0" fontId="9" fillId="27" borderId="25" xfId="0" applyFont="1" applyFill="1" applyBorder="1" applyAlignment="1">
      <alignment horizontal="center" vertical="center"/>
    </xf>
    <xf numFmtId="0" fontId="14" fillId="29" borderId="23" xfId="0" applyFont="1" applyFill="1" applyBorder="1" applyAlignment="1">
      <alignment horizontal="center" vertical="center"/>
    </xf>
    <xf numFmtId="0" fontId="14" fillId="29" borderId="24" xfId="0" applyFont="1" applyFill="1" applyBorder="1" applyAlignment="1">
      <alignment horizontal="center" vertical="center"/>
    </xf>
    <xf numFmtId="0" fontId="14" fillId="29" borderId="25" xfId="0" applyFont="1" applyFill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22" borderId="23" xfId="0" applyFont="1" applyFill="1" applyBorder="1" applyAlignment="1">
      <alignment horizontal="center" vertical="center"/>
    </xf>
    <xf numFmtId="0" fontId="9" fillId="22" borderId="24" xfId="0" applyFont="1" applyFill="1" applyBorder="1" applyAlignment="1">
      <alignment horizontal="center" vertical="center"/>
    </xf>
    <xf numFmtId="0" fontId="9" fillId="22" borderId="25" xfId="0" applyFont="1" applyFill="1" applyBorder="1" applyAlignment="1">
      <alignment horizontal="center" vertical="center"/>
    </xf>
    <xf numFmtId="0" fontId="9" fillId="25" borderId="23" xfId="0" applyFont="1" applyFill="1" applyBorder="1" applyAlignment="1">
      <alignment horizontal="center" vertical="center"/>
    </xf>
    <xf numFmtId="0" fontId="9" fillId="25" borderId="24" xfId="0" applyFont="1" applyFill="1" applyBorder="1" applyAlignment="1">
      <alignment horizontal="center" vertical="center"/>
    </xf>
    <xf numFmtId="0" fontId="9" fillId="25" borderId="25" xfId="0" applyFont="1" applyFill="1" applyBorder="1" applyAlignment="1">
      <alignment horizontal="center" vertical="center"/>
    </xf>
    <xf numFmtId="0" fontId="14" fillId="26" borderId="23" xfId="0" applyFont="1" applyFill="1" applyBorder="1" applyAlignment="1">
      <alignment horizontal="center" vertical="center"/>
    </xf>
    <xf numFmtId="0" fontId="14" fillId="26" borderId="24" xfId="0" applyFont="1" applyFill="1" applyBorder="1" applyAlignment="1">
      <alignment horizontal="center" vertical="center"/>
    </xf>
    <xf numFmtId="0" fontId="14" fillId="26" borderId="25" xfId="0" applyFont="1" applyFill="1" applyBorder="1" applyAlignment="1">
      <alignment horizontal="center" vertical="center"/>
    </xf>
    <xf numFmtId="0" fontId="14" fillId="28" borderId="23" xfId="0" applyFont="1" applyFill="1" applyBorder="1" applyAlignment="1">
      <alignment horizontal="center" vertical="center"/>
    </xf>
    <xf numFmtId="0" fontId="14" fillId="28" borderId="24" xfId="0" applyFont="1" applyFill="1" applyBorder="1" applyAlignment="1">
      <alignment horizontal="center" vertical="center"/>
    </xf>
    <xf numFmtId="0" fontId="14" fillId="28" borderId="25" xfId="0" applyFont="1" applyFill="1" applyBorder="1" applyAlignment="1">
      <alignment horizontal="center" vertical="center"/>
    </xf>
    <xf numFmtId="0" fontId="10" fillId="18" borderId="6" xfId="0" applyFont="1" applyFill="1" applyBorder="1" applyAlignment="1">
      <alignment horizontal="center"/>
    </xf>
    <xf numFmtId="0" fontId="10" fillId="18" borderId="7" xfId="0" applyFont="1" applyFill="1" applyBorder="1" applyAlignment="1">
      <alignment horizontal="center"/>
    </xf>
    <xf numFmtId="0" fontId="10" fillId="18" borderId="8" xfId="0" applyFont="1" applyFill="1" applyBorder="1" applyAlignment="1">
      <alignment horizontal="center"/>
    </xf>
    <xf numFmtId="0" fontId="11" fillId="18" borderId="6" xfId="0" applyFont="1" applyFill="1" applyBorder="1" applyAlignment="1">
      <alignment horizontal="center"/>
    </xf>
    <xf numFmtId="0" fontId="11" fillId="18" borderId="8" xfId="0" applyFont="1" applyFill="1" applyBorder="1" applyAlignment="1">
      <alignment horizontal="center"/>
    </xf>
    <xf numFmtId="0" fontId="11" fillId="18" borderId="7" xfId="0" applyFont="1" applyFill="1" applyBorder="1" applyAlignment="1">
      <alignment horizontal="center"/>
    </xf>
    <xf numFmtId="0" fontId="14" fillId="21" borderId="0" xfId="0" applyFont="1" applyFill="1" applyBorder="1" applyAlignment="1">
      <alignment horizontal="center" vertical="center"/>
    </xf>
    <xf numFmtId="0" fontId="13" fillId="21" borderId="0" xfId="0" applyFont="1" applyFill="1" applyBorder="1" applyAlignment="1">
      <alignment horizontal="center" vertical="center"/>
    </xf>
    <xf numFmtId="0" fontId="31" fillId="18" borderId="6" xfId="0" applyFont="1" applyFill="1" applyBorder="1" applyAlignment="1">
      <alignment horizontal="center"/>
    </xf>
    <xf numFmtId="0" fontId="31" fillId="18" borderId="8" xfId="0" applyFont="1" applyFill="1" applyBorder="1" applyAlignment="1">
      <alignment horizontal="center"/>
    </xf>
    <xf numFmtId="0" fontId="52" fillId="5" borderId="23" xfId="0" applyFont="1" applyFill="1" applyBorder="1" applyAlignment="1">
      <alignment horizontal="center" vertical="center"/>
    </xf>
    <xf numFmtId="0" fontId="52" fillId="5" borderId="24" xfId="0" applyFont="1" applyFill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9" fillId="0" borderId="18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26" fillId="5" borderId="47" xfId="0" applyFont="1" applyFill="1" applyBorder="1" applyAlignment="1">
      <alignment horizontal="center" vertical="center"/>
    </xf>
    <xf numFmtId="0" fontId="26" fillId="5" borderId="11" xfId="0" applyFont="1" applyFill="1" applyBorder="1" applyAlignment="1">
      <alignment horizontal="center" vertical="center"/>
    </xf>
    <xf numFmtId="0" fontId="26" fillId="5" borderId="26" xfId="0" applyFont="1" applyFill="1" applyBorder="1" applyAlignment="1">
      <alignment horizontal="center" vertical="center"/>
    </xf>
    <xf numFmtId="0" fontId="26" fillId="5" borderId="28" xfId="0" applyFont="1" applyFill="1" applyBorder="1" applyAlignment="1">
      <alignment horizontal="center" vertical="center"/>
    </xf>
    <xf numFmtId="0" fontId="26" fillId="5" borderId="29" xfId="0" applyFont="1" applyFill="1" applyBorder="1" applyAlignment="1">
      <alignment horizontal="center" vertical="center"/>
    </xf>
    <xf numFmtId="209" fontId="21" fillId="2" borderId="21" xfId="0" applyNumberFormat="1" applyFont="1" applyFill="1" applyBorder="1" applyAlignment="1">
      <alignment horizontal="center"/>
    </xf>
    <xf numFmtId="209" fontId="21" fillId="2" borderId="11" xfId="0" applyNumberFormat="1" applyFont="1" applyFill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9" fillId="2" borderId="17" xfId="0" applyFont="1" applyFill="1" applyBorder="1" applyAlignment="1">
      <alignment horizontal="center"/>
    </xf>
    <xf numFmtId="0" fontId="58" fillId="5" borderId="18" xfId="0" applyFont="1" applyFill="1" applyBorder="1" applyAlignment="1">
      <alignment horizontal="center" vertical="center"/>
    </xf>
    <xf numFmtId="0" fontId="58" fillId="5" borderId="19" xfId="0" applyFont="1" applyFill="1" applyBorder="1" applyAlignment="1">
      <alignment horizontal="center" vertical="center"/>
    </xf>
    <xf numFmtId="0" fontId="58" fillId="5" borderId="21" xfId="0" applyFont="1" applyFill="1" applyBorder="1" applyAlignment="1">
      <alignment horizontal="center" vertical="center"/>
    </xf>
    <xf numFmtId="0" fontId="58" fillId="5" borderId="11" xfId="0" applyFont="1" applyFill="1" applyBorder="1" applyAlignment="1">
      <alignment horizontal="center" vertical="center"/>
    </xf>
    <xf numFmtId="0" fontId="52" fillId="5" borderId="18" xfId="0" applyFont="1" applyFill="1" applyBorder="1" applyAlignment="1">
      <alignment horizontal="center" vertical="center" wrapText="1"/>
    </xf>
    <xf numFmtId="0" fontId="52" fillId="5" borderId="19" xfId="0" applyFont="1" applyFill="1" applyBorder="1" applyAlignment="1">
      <alignment horizontal="center" vertical="center" wrapText="1"/>
    </xf>
    <xf numFmtId="0" fontId="52" fillId="5" borderId="13" xfId="0" applyFont="1" applyFill="1" applyBorder="1" applyAlignment="1">
      <alignment horizontal="center" vertical="center" wrapText="1"/>
    </xf>
    <xf numFmtId="0" fontId="52" fillId="5" borderId="20" xfId="0" applyFont="1" applyFill="1" applyBorder="1" applyAlignment="1">
      <alignment horizontal="center" vertical="center" wrapText="1"/>
    </xf>
    <xf numFmtId="0" fontId="52" fillId="5" borderId="0" xfId="0" applyFont="1" applyFill="1" applyBorder="1" applyAlignment="1">
      <alignment horizontal="center" vertical="center" wrapText="1"/>
    </xf>
    <xf numFmtId="0" fontId="52" fillId="5" borderId="15" xfId="0" applyFont="1" applyFill="1" applyBorder="1" applyAlignment="1">
      <alignment horizontal="center" vertical="center" wrapText="1"/>
    </xf>
    <xf numFmtId="0" fontId="0" fillId="11" borderId="50" xfId="0" applyFill="1" applyBorder="1" applyAlignment="1">
      <alignment horizontal="center" vertical="center"/>
    </xf>
    <xf numFmtId="0" fontId="0" fillId="11" borderId="51" xfId="0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209" fontId="21" fillId="2" borderId="17" xfId="0" applyNumberFormat="1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59" fillId="46" borderId="18" xfId="0" applyFont="1" applyFill="1" applyBorder="1" applyAlignment="1">
      <alignment horizontal="center" vertical="center"/>
    </xf>
    <xf numFmtId="0" fontId="59" fillId="46" borderId="19" xfId="0" applyFont="1" applyFill="1" applyBorder="1" applyAlignment="1">
      <alignment horizontal="center" vertical="center"/>
    </xf>
    <xf numFmtId="0" fontId="59" fillId="46" borderId="13" xfId="0" applyFont="1" applyFill="1" applyBorder="1" applyAlignment="1">
      <alignment horizontal="center" vertical="center"/>
    </xf>
    <xf numFmtId="0" fontId="59" fillId="46" borderId="20" xfId="0" applyFont="1" applyFill="1" applyBorder="1" applyAlignment="1">
      <alignment horizontal="center" vertical="center"/>
    </xf>
    <xf numFmtId="0" fontId="59" fillId="46" borderId="0" xfId="0" applyFont="1" applyFill="1" applyBorder="1" applyAlignment="1">
      <alignment horizontal="center" vertical="center"/>
    </xf>
    <xf numFmtId="0" fontId="59" fillId="46" borderId="15" xfId="0" applyFont="1" applyFill="1" applyBorder="1" applyAlignment="1">
      <alignment horizontal="center" vertical="center"/>
    </xf>
    <xf numFmtId="0" fontId="59" fillId="46" borderId="21" xfId="0" applyFont="1" applyFill="1" applyBorder="1" applyAlignment="1">
      <alignment horizontal="center" vertical="center"/>
    </xf>
    <xf numFmtId="0" fontId="59" fillId="46" borderId="11" xfId="0" applyFont="1" applyFill="1" applyBorder="1" applyAlignment="1">
      <alignment horizontal="center" vertical="center"/>
    </xf>
    <xf numFmtId="0" fontId="59" fillId="46" borderId="17" xfId="0" applyFont="1" applyFill="1" applyBorder="1" applyAlignment="1">
      <alignment horizontal="center" vertical="center"/>
    </xf>
    <xf numFmtId="0" fontId="52" fillId="5" borderId="11" xfId="0" applyFont="1" applyFill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54" fillId="44" borderId="23" xfId="0" applyFont="1" applyFill="1" applyBorder="1" applyAlignment="1">
      <alignment horizontal="center" vertical="center"/>
    </xf>
    <xf numFmtId="0" fontId="54" fillId="44" borderId="24" xfId="0" applyFont="1" applyFill="1" applyBorder="1" applyAlignment="1">
      <alignment horizontal="center" vertical="center"/>
    </xf>
    <xf numFmtId="0" fontId="54" fillId="44" borderId="25" xfId="0" applyFont="1" applyFill="1" applyBorder="1" applyAlignment="1">
      <alignment horizontal="center" vertical="center"/>
    </xf>
    <xf numFmtId="0" fontId="54" fillId="44" borderId="28" xfId="0" applyFont="1" applyFill="1" applyBorder="1" applyAlignment="1">
      <alignment horizontal="center" vertical="center"/>
    </xf>
    <xf numFmtId="0" fontId="54" fillId="44" borderId="29" xfId="0" applyFont="1" applyFill="1" applyBorder="1" applyAlignment="1">
      <alignment horizontal="center" vertical="center"/>
    </xf>
    <xf numFmtId="0" fontId="54" fillId="44" borderId="30" xfId="0" applyFont="1" applyFill="1" applyBorder="1" applyAlignment="1">
      <alignment horizontal="center" vertical="center"/>
    </xf>
    <xf numFmtId="0" fontId="9" fillId="9" borderId="0" xfId="0" applyFont="1" applyFill="1" applyBorder="1" applyAlignment="1">
      <alignment horizontal="center" vertical="center"/>
    </xf>
    <xf numFmtId="0" fontId="17" fillId="15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42" fontId="9" fillId="0" borderId="0" xfId="0" applyNumberFormat="1" applyFont="1" applyBorder="1" applyAlignment="1">
      <alignment horizontal="right" vertical="center"/>
    </xf>
    <xf numFmtId="42" fontId="9" fillId="0" borderId="27" xfId="0" applyNumberFormat="1" applyFont="1" applyBorder="1" applyAlignment="1">
      <alignment horizontal="right" vertical="center"/>
    </xf>
    <xf numFmtId="42" fontId="9" fillId="0" borderId="4" xfId="0" applyNumberFormat="1" applyFont="1" applyBorder="1" applyAlignment="1">
      <alignment horizontal="right" vertical="center"/>
    </xf>
    <xf numFmtId="42" fontId="9" fillId="0" borderId="31" xfId="0" applyNumberFormat="1" applyFont="1" applyBorder="1" applyAlignment="1">
      <alignment horizontal="right" vertical="center"/>
    </xf>
    <xf numFmtId="0" fontId="9" fillId="0" borderId="24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9" fillId="0" borderId="49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56" fillId="46" borderId="26" xfId="0" applyFont="1" applyFill="1" applyBorder="1" applyAlignment="1">
      <alignment horizontal="center" vertical="center"/>
    </xf>
    <xf numFmtId="0" fontId="56" fillId="46" borderId="0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4" fillId="46" borderId="0" xfId="0" applyFont="1" applyFill="1" applyBorder="1" applyAlignment="1">
      <alignment horizontal="center" vertical="center"/>
    </xf>
    <xf numFmtId="0" fontId="14" fillId="46" borderId="26" xfId="0" applyFont="1" applyFill="1" applyBorder="1" applyAlignment="1">
      <alignment horizontal="center" vertical="center"/>
    </xf>
    <xf numFmtId="0" fontId="17" fillId="13" borderId="0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42" fontId="9" fillId="0" borderId="22" xfId="0" applyNumberFormat="1" applyFont="1" applyBorder="1" applyAlignment="1">
      <alignment horizontal="right" vertical="center"/>
    </xf>
    <xf numFmtId="42" fontId="9" fillId="0" borderId="12" xfId="0" applyNumberFormat="1" applyFont="1" applyBorder="1" applyAlignment="1">
      <alignment horizontal="right" vertical="center"/>
    </xf>
    <xf numFmtId="42" fontId="9" fillId="0" borderId="45" xfId="0" applyNumberFormat="1" applyFont="1" applyBorder="1" applyAlignment="1">
      <alignment horizontal="right" vertical="center"/>
    </xf>
    <xf numFmtId="0" fontId="29" fillId="13" borderId="0" xfId="0" applyFont="1" applyFill="1" applyBorder="1" applyAlignment="1">
      <alignment horizontal="center" vertical="center"/>
    </xf>
    <xf numFmtId="0" fontId="56" fillId="46" borderId="47" xfId="0" applyFont="1" applyFill="1" applyBorder="1" applyAlignment="1">
      <alignment horizontal="center" vertical="center"/>
    </xf>
    <xf numFmtId="0" fontId="56" fillId="46" borderId="11" xfId="0" applyFont="1" applyFill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56" fillId="46" borderId="28" xfId="0" applyFont="1" applyFill="1" applyBorder="1" applyAlignment="1">
      <alignment horizontal="center" vertical="center"/>
    </xf>
    <xf numFmtId="0" fontId="56" fillId="46" borderId="29" xfId="0" applyFont="1" applyFill="1" applyBorder="1" applyAlignment="1">
      <alignment horizontal="center" vertical="center"/>
    </xf>
    <xf numFmtId="0" fontId="14" fillId="45" borderId="23" xfId="0" applyFont="1" applyFill="1" applyBorder="1" applyAlignment="1">
      <alignment horizontal="center" vertical="center" wrapText="1"/>
    </xf>
    <xf numFmtId="0" fontId="14" fillId="45" borderId="24" xfId="0" applyFont="1" applyFill="1" applyBorder="1" applyAlignment="1">
      <alignment horizontal="center" vertical="center"/>
    </xf>
    <xf numFmtId="0" fontId="14" fillId="45" borderId="25" xfId="0" applyFont="1" applyFill="1" applyBorder="1" applyAlignment="1">
      <alignment horizontal="center" vertical="center"/>
    </xf>
    <xf numFmtId="0" fontId="14" fillId="45" borderId="26" xfId="0" applyFont="1" applyFill="1" applyBorder="1" applyAlignment="1">
      <alignment horizontal="center" vertical="center"/>
    </xf>
    <xf numFmtId="0" fontId="14" fillId="45" borderId="0" xfId="0" applyFont="1" applyFill="1" applyBorder="1" applyAlignment="1">
      <alignment horizontal="center" vertical="center"/>
    </xf>
    <xf numFmtId="0" fontId="14" fillId="45" borderId="27" xfId="0" applyFont="1" applyFill="1" applyBorder="1" applyAlignment="1">
      <alignment horizontal="center" vertical="center"/>
    </xf>
    <xf numFmtId="0" fontId="14" fillId="45" borderId="28" xfId="0" applyFont="1" applyFill="1" applyBorder="1" applyAlignment="1">
      <alignment horizontal="center" vertical="center"/>
    </xf>
    <xf numFmtId="0" fontId="14" fillId="45" borderId="29" xfId="0" applyFont="1" applyFill="1" applyBorder="1" applyAlignment="1">
      <alignment horizontal="center" vertical="center"/>
    </xf>
    <xf numFmtId="0" fontId="14" fillId="45" borderId="3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 wrapText="1"/>
    </xf>
    <xf numFmtId="0" fontId="14" fillId="46" borderId="23" xfId="0" applyFont="1" applyFill="1" applyBorder="1" applyAlignment="1">
      <alignment horizontal="center" vertical="center" wrapText="1"/>
    </xf>
    <xf numFmtId="0" fontId="14" fillId="46" borderId="24" xfId="0" applyFont="1" applyFill="1" applyBorder="1" applyAlignment="1">
      <alignment horizontal="center" vertical="center"/>
    </xf>
    <xf numFmtId="0" fontId="14" fillId="46" borderId="25" xfId="0" applyFont="1" applyFill="1" applyBorder="1" applyAlignment="1">
      <alignment horizontal="center" vertical="center"/>
    </xf>
    <xf numFmtId="0" fontId="14" fillId="46" borderId="27" xfId="0" applyFont="1" applyFill="1" applyBorder="1" applyAlignment="1">
      <alignment horizontal="center" vertical="center"/>
    </xf>
    <xf numFmtId="42" fontId="9" fillId="0" borderId="24" xfId="0" applyNumberFormat="1" applyFont="1" applyBorder="1" applyAlignment="1">
      <alignment horizontal="right" vertical="center"/>
    </xf>
    <xf numFmtId="42" fontId="9" fillId="0" borderId="25" xfId="0" applyNumberFormat="1" applyFont="1" applyBorder="1" applyAlignment="1">
      <alignment horizontal="right" vertical="center"/>
    </xf>
    <xf numFmtId="42" fontId="9" fillId="0" borderId="32" xfId="0" applyNumberFormat="1" applyFont="1" applyBorder="1" applyAlignment="1">
      <alignment horizontal="right" vertical="center"/>
    </xf>
    <xf numFmtId="42" fontId="9" fillId="0" borderId="33" xfId="0" applyNumberFormat="1" applyFont="1" applyBorder="1" applyAlignment="1">
      <alignment horizontal="right" vertical="center"/>
    </xf>
    <xf numFmtId="42" fontId="9" fillId="0" borderId="42" xfId="0" applyNumberFormat="1" applyFont="1" applyBorder="1" applyAlignment="1">
      <alignment horizontal="right" vertical="center"/>
    </xf>
    <xf numFmtId="42" fontId="9" fillId="0" borderId="29" xfId="0" applyNumberFormat="1" applyFont="1" applyBorder="1" applyAlignment="1">
      <alignment horizontal="right" vertical="center"/>
    </xf>
    <xf numFmtId="42" fontId="9" fillId="0" borderId="30" xfId="0" applyNumberFormat="1" applyFont="1" applyBorder="1" applyAlignment="1">
      <alignment horizontal="right" vertical="center"/>
    </xf>
    <xf numFmtId="0" fontId="17" fillId="4" borderId="0" xfId="0" applyFont="1" applyFill="1" applyBorder="1" applyAlignment="1">
      <alignment horizontal="center" vertical="center"/>
    </xf>
    <xf numFmtId="42" fontId="9" fillId="0" borderId="20" xfId="0" applyNumberFormat="1" applyFont="1" applyBorder="1" applyAlignment="1">
      <alignment horizontal="right" vertical="center"/>
    </xf>
    <xf numFmtId="42" fontId="9" fillId="0" borderId="15" xfId="0" applyNumberFormat="1" applyFont="1" applyBorder="1" applyAlignment="1">
      <alignment horizontal="right" vertical="center"/>
    </xf>
    <xf numFmtId="0" fontId="9" fillId="0" borderId="36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42" fontId="9" fillId="0" borderId="36" xfId="0" applyNumberFormat="1" applyFont="1" applyBorder="1" applyAlignment="1">
      <alignment horizontal="right" vertical="center"/>
    </xf>
    <xf numFmtId="42" fontId="9" fillId="0" borderId="35" xfId="0" applyNumberFormat="1" applyFont="1" applyBorder="1" applyAlignment="1">
      <alignment horizontal="right" vertical="center"/>
    </xf>
    <xf numFmtId="0" fontId="20" fillId="0" borderId="22" xfId="0" applyNumberFormat="1" applyFont="1" applyBorder="1" applyAlignment="1">
      <alignment horizontal="center"/>
    </xf>
    <xf numFmtId="0" fontId="20" fillId="0" borderId="12" xfId="0" applyNumberFormat="1" applyFont="1" applyBorder="1" applyAlignment="1">
      <alignment horizontal="center"/>
    </xf>
    <xf numFmtId="0" fontId="20" fillId="0" borderId="14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</cellXfs>
  <cellStyles count="12">
    <cellStyle name="표준" xfId="0" builtinId="0"/>
    <cellStyle name="표준 2" xfId="2"/>
    <cellStyle name="표준 3" xfId="1"/>
    <cellStyle name="표준 3 2" xfId="5"/>
    <cellStyle name="표준 3 2 2" xfId="10"/>
    <cellStyle name="표준 3 3" xfId="8"/>
    <cellStyle name="표준 4" xfId="4"/>
    <cellStyle name="표준 5" xfId="3"/>
    <cellStyle name="표준 5 2" xfId="9"/>
    <cellStyle name="표준 6" xfId="7"/>
    <cellStyle name="표준 7" xfId="6"/>
    <cellStyle name="하이퍼링크" xfId="11" builtinId="8"/>
  </cellStyles>
  <dxfs count="373"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92D050"/>
        </patternFill>
      </fill>
    </dxf>
    <dxf>
      <fill>
        <patternFill>
          <bgColor rgb="FFFF7C8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b/>
        <i val="0"/>
        <color rgb="FF0099FF"/>
      </font>
    </dxf>
    <dxf>
      <font>
        <b/>
        <i val="0"/>
        <color theme="6" tint="-0.24994659260841701"/>
      </font>
    </dxf>
    <dxf>
      <font>
        <b/>
        <i val="0"/>
        <color rgb="FFFF6600"/>
      </font>
    </dxf>
    <dxf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6" tint="0.59996337778862885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7" tint="0.39994506668294322"/>
      </font>
      <fill>
        <patternFill>
          <bgColor rgb="FF7030A0"/>
        </patternFill>
      </fill>
    </dxf>
    <dxf>
      <font>
        <color theme="3" tint="0.59996337778862885"/>
      </font>
      <fill>
        <patternFill>
          <bgColor rgb="FF0070C0"/>
        </patternFill>
      </fill>
    </dxf>
    <dxf>
      <font>
        <color theme="8" tint="0.59996337778862885"/>
      </font>
      <fill>
        <patternFill>
          <bgColor rgb="FF00B0F0"/>
        </patternFill>
      </fill>
    </dxf>
    <dxf>
      <font>
        <color theme="6" tint="0.79998168889431442"/>
      </font>
      <fill>
        <patternFill>
          <bgColor rgb="FF92D050"/>
        </patternFill>
      </fill>
    </dxf>
    <dxf>
      <font>
        <color theme="2" tint="-0.499984740745262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rgb="FFFFC000"/>
        </patternFill>
      </fill>
    </dxf>
    <dxf>
      <font>
        <color theme="5" tint="-0.24994659260841701"/>
      </font>
      <fill>
        <patternFill>
          <bgColor rgb="FFFF6464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rgb="FF66FFFF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E9E909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E9E909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E9E909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rgb="FF0099FF"/>
      </font>
    </dxf>
    <dxf>
      <font>
        <b/>
        <i val="0"/>
        <color theme="6" tint="-0.24994659260841701"/>
      </font>
    </dxf>
    <dxf>
      <font>
        <b/>
        <i val="0"/>
        <color rgb="FFFF6600"/>
      </font>
    </dxf>
    <dxf>
      <font>
        <color theme="0" tint="-0.34998626667073579"/>
      </font>
      <numFmt numFmtId="210" formatCode="&quot;0&quot;"/>
    </dxf>
    <dxf>
      <font>
        <b/>
        <i val="0"/>
        <color rgb="FF0099FF"/>
      </font>
    </dxf>
    <dxf>
      <font>
        <b/>
        <i val="0"/>
        <color theme="6" tint="-0.24994659260841701"/>
      </font>
    </dxf>
    <dxf>
      <font>
        <b/>
        <i val="0"/>
        <color rgb="FFFF6600"/>
      </font>
    </dxf>
    <dxf>
      <font>
        <color theme="5" tint="-0.24994659260841701"/>
      </font>
      <fill>
        <patternFill>
          <bgColor rgb="FFFF6464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7" tint="0.39994506668294322"/>
      </font>
      <fill>
        <patternFill>
          <bgColor rgb="FF7030A0"/>
        </patternFill>
      </fill>
    </dxf>
    <dxf>
      <font>
        <color theme="3" tint="0.59996337778862885"/>
      </font>
      <fill>
        <patternFill>
          <bgColor rgb="FF0070C0"/>
        </patternFill>
      </fill>
    </dxf>
    <dxf>
      <font>
        <color theme="8" tint="0.59996337778862885"/>
      </font>
      <fill>
        <patternFill>
          <bgColor rgb="FF00B0F0"/>
        </patternFill>
      </fill>
    </dxf>
    <dxf>
      <font>
        <color theme="6" tint="0.79998168889431442"/>
      </font>
      <fill>
        <patternFill>
          <bgColor rgb="FF92D050"/>
        </patternFill>
      </fill>
    </dxf>
    <dxf>
      <font>
        <color theme="2" tint="-0.499984740745262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7" tint="0.39994506668294322"/>
      </font>
      <fill>
        <patternFill>
          <bgColor rgb="FF7030A0"/>
        </patternFill>
      </fill>
    </dxf>
    <dxf>
      <font>
        <color theme="3" tint="0.59996337778862885"/>
      </font>
      <fill>
        <patternFill>
          <bgColor rgb="FF0070C0"/>
        </patternFill>
      </fill>
    </dxf>
    <dxf>
      <font>
        <color theme="8" tint="0.59996337778862885"/>
      </font>
      <fill>
        <patternFill>
          <bgColor rgb="FF00B0F0"/>
        </patternFill>
      </fill>
    </dxf>
    <dxf>
      <font>
        <color theme="6" tint="0.79998168889431442"/>
      </font>
      <fill>
        <patternFill>
          <bgColor rgb="FF92D050"/>
        </patternFill>
      </fill>
    </dxf>
    <dxf>
      <font>
        <color theme="2" tint="-0.499984740745262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rgb="FFFFC000"/>
        </patternFill>
      </fill>
    </dxf>
    <dxf>
      <font>
        <color theme="5" tint="-0.24994659260841701"/>
      </font>
      <fill>
        <patternFill>
          <bgColor rgb="FFFF6464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372"/>
      <tableStyleElement type="headerRow" dxfId="371"/>
    </tableStyle>
  </tableStyles>
  <colors>
    <mruColors>
      <color rgb="FFFF7C80"/>
      <color rgb="FF6666FF"/>
      <color rgb="FFE9E909"/>
      <color rgb="FFCCCC00"/>
      <color rgb="FFFFFF00"/>
      <color rgb="FFE3E2C8"/>
      <color rgb="FFFFFFCC"/>
      <color rgb="FF99FF99"/>
      <color rgb="FF33CC33"/>
      <color rgb="FFB6AF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im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im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im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98611</xdr:colOff>
      <xdr:row>1</xdr:row>
      <xdr:rowOff>93681</xdr:rowOff>
    </xdr:from>
    <xdr:to>
      <xdr:col>37</xdr:col>
      <xdr:colOff>126043</xdr:colOff>
      <xdr:row>2</xdr:row>
      <xdr:rowOff>183505</xdr:rowOff>
    </xdr:to>
    <xdr:pic>
      <xdr:nvPicPr>
        <xdr:cNvPr id="2" name="그림 1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5671" y="291801"/>
          <a:ext cx="804672" cy="287945"/>
        </a:xfrm>
        <a:prstGeom prst="rect">
          <a:avLst/>
        </a:prstGeom>
      </xdr:spPr>
    </xdr:pic>
    <xdr:clientData/>
  </xdr:twoCellAnchor>
  <xdr:twoCellAnchor>
    <xdr:from>
      <xdr:col>38</xdr:col>
      <xdr:colOff>38546</xdr:colOff>
      <xdr:row>6</xdr:row>
      <xdr:rowOff>15240</xdr:rowOff>
    </xdr:from>
    <xdr:to>
      <xdr:col>44</xdr:col>
      <xdr:colOff>39891</xdr:colOff>
      <xdr:row>7</xdr:row>
      <xdr:rowOff>77854</xdr:rowOff>
    </xdr:to>
    <xdr:sp macro="[0]!Sheet24.성능테스트_초기화" textlink="">
      <xdr:nvSpPr>
        <xdr:cNvPr id="3" name="직사각형 2"/>
        <xdr:cNvSpPr/>
      </xdr:nvSpPr>
      <xdr:spPr>
        <a:xfrm>
          <a:off x="8031926" y="1280160"/>
          <a:ext cx="908125" cy="28359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초기화</a:t>
          </a:r>
          <a:endParaRPr lang="en-US" altLang="ko-KR" sz="1000"/>
        </a:p>
      </xdr:txBody>
    </xdr:sp>
    <xdr:clientData/>
  </xdr:twoCellAnchor>
  <xdr:twoCellAnchor>
    <xdr:from>
      <xdr:col>38</xdr:col>
      <xdr:colOff>38100</xdr:colOff>
      <xdr:row>9</xdr:row>
      <xdr:rowOff>6723</xdr:rowOff>
    </xdr:from>
    <xdr:to>
      <xdr:col>43</xdr:col>
      <xdr:colOff>142091</xdr:colOff>
      <xdr:row>10</xdr:row>
      <xdr:rowOff>93093</xdr:rowOff>
    </xdr:to>
    <xdr:sp macro="[0]!Sheet24.성능테스트_전체복사" textlink="">
      <xdr:nvSpPr>
        <xdr:cNvPr id="5" name="직사각형 4"/>
        <xdr:cNvSpPr/>
      </xdr:nvSpPr>
      <xdr:spPr>
        <a:xfrm>
          <a:off x="8031480" y="1911723"/>
          <a:ext cx="858371" cy="28449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전체복사</a:t>
          </a:r>
          <a:endParaRPr lang="en-US" altLang="ko-KR" sz="1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48855</xdr:colOff>
      <xdr:row>16</xdr:row>
      <xdr:rowOff>8965</xdr:rowOff>
    </xdr:from>
    <xdr:to>
      <xdr:col>46</xdr:col>
      <xdr:colOff>42580</xdr:colOff>
      <xdr:row>17</xdr:row>
      <xdr:rowOff>95335</xdr:rowOff>
    </xdr:to>
    <xdr:sp macro="[0]!Sheet23.자동견적_초기화" textlink="">
      <xdr:nvSpPr>
        <xdr:cNvPr id="3" name="직사각형 2"/>
        <xdr:cNvSpPr/>
      </xdr:nvSpPr>
      <xdr:spPr>
        <a:xfrm>
          <a:off x="8475679" y="3236259"/>
          <a:ext cx="908125" cy="28359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초기화</a:t>
          </a:r>
          <a:endParaRPr lang="en-US" altLang="ko-KR" sz="1000"/>
        </a:p>
      </xdr:txBody>
    </xdr:sp>
    <xdr:clientData/>
  </xdr:twoCellAnchor>
  <xdr:twoCellAnchor>
    <xdr:from>
      <xdr:col>40</xdr:col>
      <xdr:colOff>40789</xdr:colOff>
      <xdr:row>24</xdr:row>
      <xdr:rowOff>4930</xdr:rowOff>
    </xdr:from>
    <xdr:to>
      <xdr:col>45</xdr:col>
      <xdr:colOff>133574</xdr:colOff>
      <xdr:row>25</xdr:row>
      <xdr:rowOff>84577</xdr:rowOff>
    </xdr:to>
    <xdr:sp macro="[0]!Sheet23.자동견적_견적복사" textlink="">
      <xdr:nvSpPr>
        <xdr:cNvPr id="4" name="직사각형 3"/>
        <xdr:cNvSpPr/>
      </xdr:nvSpPr>
      <xdr:spPr>
        <a:xfrm>
          <a:off x="8468509" y="4782670"/>
          <a:ext cx="854785" cy="285387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견적복사</a:t>
          </a:r>
          <a:endParaRPr lang="en-US" altLang="ko-KR" sz="800"/>
        </a:p>
      </xdr:txBody>
    </xdr:sp>
    <xdr:clientData/>
  </xdr:twoCellAnchor>
  <xdr:twoCellAnchor>
    <xdr:from>
      <xdr:col>40</xdr:col>
      <xdr:colOff>40789</xdr:colOff>
      <xdr:row>21</xdr:row>
      <xdr:rowOff>111610</xdr:rowOff>
    </xdr:from>
    <xdr:to>
      <xdr:col>45</xdr:col>
      <xdr:colOff>137160</xdr:colOff>
      <xdr:row>22</xdr:row>
      <xdr:rowOff>198877</xdr:rowOff>
    </xdr:to>
    <xdr:sp macro="[0]!Sheet23.자동견적_전체복사" textlink="">
      <xdr:nvSpPr>
        <xdr:cNvPr id="5" name="직사각형 4"/>
        <xdr:cNvSpPr/>
      </xdr:nvSpPr>
      <xdr:spPr>
        <a:xfrm>
          <a:off x="8925709" y="4333090"/>
          <a:ext cx="858371" cy="285387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전체복사</a:t>
          </a:r>
          <a:endParaRPr lang="en-US" altLang="ko-KR" sz="1000" b="1"/>
        </a:p>
      </xdr:txBody>
    </xdr:sp>
    <xdr:clientData/>
  </xdr:twoCellAnchor>
  <xdr:twoCellAnchor editAs="oneCell">
    <xdr:from>
      <xdr:col>34</xdr:col>
      <xdr:colOff>90991</xdr:colOff>
      <xdr:row>1</xdr:row>
      <xdr:rowOff>108921</xdr:rowOff>
    </xdr:from>
    <xdr:to>
      <xdr:col>39</xdr:col>
      <xdr:colOff>133663</xdr:colOff>
      <xdr:row>2</xdr:row>
      <xdr:rowOff>191126</xdr:rowOff>
    </xdr:to>
    <xdr:pic>
      <xdr:nvPicPr>
        <xdr:cNvPr id="6" name="그림 5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1511" y="314661"/>
          <a:ext cx="804672" cy="2803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29135</xdr:colOff>
      <xdr:row>10</xdr:row>
      <xdr:rowOff>104888</xdr:rowOff>
    </xdr:from>
    <xdr:to>
      <xdr:col>40</xdr:col>
      <xdr:colOff>883920</xdr:colOff>
      <xdr:row>11</xdr:row>
      <xdr:rowOff>189018</xdr:rowOff>
    </xdr:to>
    <xdr:sp macro="[0]!Sheet6.본체만복사" textlink="">
      <xdr:nvSpPr>
        <xdr:cNvPr id="2" name="직사각형 1"/>
        <xdr:cNvSpPr/>
      </xdr:nvSpPr>
      <xdr:spPr>
        <a:xfrm>
          <a:off x="8251115" y="2108948"/>
          <a:ext cx="854785" cy="28225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본체만 복사</a:t>
          </a:r>
          <a:endParaRPr lang="en-US" altLang="ko-KR" sz="900"/>
        </a:p>
      </xdr:txBody>
    </xdr:sp>
    <xdr:clientData/>
  </xdr:twoCellAnchor>
  <xdr:twoCellAnchor>
    <xdr:from>
      <xdr:col>40</xdr:col>
      <xdr:colOff>897815</xdr:colOff>
      <xdr:row>10</xdr:row>
      <xdr:rowOff>104888</xdr:rowOff>
    </xdr:from>
    <xdr:to>
      <xdr:col>40</xdr:col>
      <xdr:colOff>1805940</xdr:colOff>
      <xdr:row>11</xdr:row>
      <xdr:rowOff>189018</xdr:rowOff>
    </xdr:to>
    <xdr:sp macro="[0]!Sheet6.본체만초기화" textlink="">
      <xdr:nvSpPr>
        <xdr:cNvPr id="3" name="직사각형 2"/>
        <xdr:cNvSpPr/>
      </xdr:nvSpPr>
      <xdr:spPr>
        <a:xfrm>
          <a:off x="9119795" y="2108948"/>
          <a:ext cx="908125" cy="2822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본체만 초기화</a:t>
          </a:r>
          <a:endParaRPr lang="en-US" altLang="ko-KR" sz="900"/>
        </a:p>
      </xdr:txBody>
    </xdr:sp>
    <xdr:clientData/>
  </xdr:twoCellAnchor>
  <xdr:twoCellAnchor>
    <xdr:from>
      <xdr:col>40</xdr:col>
      <xdr:colOff>15240</xdr:colOff>
      <xdr:row>25</xdr:row>
      <xdr:rowOff>0</xdr:rowOff>
    </xdr:from>
    <xdr:to>
      <xdr:col>40</xdr:col>
      <xdr:colOff>870025</xdr:colOff>
      <xdr:row>26</xdr:row>
      <xdr:rowOff>61270</xdr:rowOff>
    </xdr:to>
    <xdr:sp macro="[0]!Sheet6.견적전체복사" textlink="">
      <xdr:nvSpPr>
        <xdr:cNvPr id="4" name="직사각형 3"/>
        <xdr:cNvSpPr/>
      </xdr:nvSpPr>
      <xdr:spPr>
        <a:xfrm>
          <a:off x="8237220" y="5021580"/>
          <a:ext cx="854785" cy="28225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/>
            <a:t>견적전체복사</a:t>
          </a:r>
          <a:endParaRPr lang="en-US" altLang="ko-KR" sz="800"/>
        </a:p>
      </xdr:txBody>
    </xdr:sp>
    <xdr:clientData/>
  </xdr:twoCellAnchor>
  <xdr:twoCellAnchor>
    <xdr:from>
      <xdr:col>40</xdr:col>
      <xdr:colOff>876300</xdr:colOff>
      <xdr:row>25</xdr:row>
      <xdr:rowOff>0</xdr:rowOff>
    </xdr:from>
    <xdr:to>
      <xdr:col>40</xdr:col>
      <xdr:colOff>1784425</xdr:colOff>
      <xdr:row>26</xdr:row>
      <xdr:rowOff>61270</xdr:rowOff>
    </xdr:to>
    <xdr:sp macro="[0]!Sheet6.견적전체초기화" textlink="">
      <xdr:nvSpPr>
        <xdr:cNvPr id="5" name="직사각형 4"/>
        <xdr:cNvSpPr/>
      </xdr:nvSpPr>
      <xdr:spPr>
        <a:xfrm>
          <a:off x="9098280" y="5021580"/>
          <a:ext cx="908125" cy="2822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/>
            <a:t>견적전체초기화</a:t>
          </a:r>
          <a:endParaRPr lang="en-US" altLang="ko-KR" sz="800"/>
        </a:p>
      </xdr:txBody>
    </xdr:sp>
    <xdr:clientData/>
  </xdr:twoCellAnchor>
  <xdr:twoCellAnchor>
    <xdr:from>
      <xdr:col>40</xdr:col>
      <xdr:colOff>21515</xdr:colOff>
      <xdr:row>8</xdr:row>
      <xdr:rowOff>29136</xdr:rowOff>
    </xdr:from>
    <xdr:to>
      <xdr:col>40</xdr:col>
      <xdr:colOff>876300</xdr:colOff>
      <xdr:row>9</xdr:row>
      <xdr:rowOff>113266</xdr:rowOff>
    </xdr:to>
    <xdr:sp macro="[0]!Sheet6.견적저장" textlink="">
      <xdr:nvSpPr>
        <xdr:cNvPr id="9" name="직사각형 8"/>
        <xdr:cNvSpPr/>
      </xdr:nvSpPr>
      <xdr:spPr>
        <a:xfrm>
          <a:off x="8161468" y="1633818"/>
          <a:ext cx="854785" cy="281354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견적저장</a:t>
          </a:r>
          <a:endParaRPr lang="en-US" altLang="ko-KR" sz="900"/>
        </a:p>
      </xdr:txBody>
    </xdr:sp>
    <xdr:clientData/>
  </xdr:twoCellAnchor>
  <xdr:twoCellAnchor>
    <xdr:from>
      <xdr:col>40</xdr:col>
      <xdr:colOff>890195</xdr:colOff>
      <xdr:row>8</xdr:row>
      <xdr:rowOff>29136</xdr:rowOff>
    </xdr:from>
    <xdr:to>
      <xdr:col>40</xdr:col>
      <xdr:colOff>1798320</xdr:colOff>
      <xdr:row>9</xdr:row>
      <xdr:rowOff>113266</xdr:rowOff>
    </xdr:to>
    <xdr:sp macro="[0]!Sheet6.견적불러오기" textlink="">
      <xdr:nvSpPr>
        <xdr:cNvPr id="10" name="직사각형 9"/>
        <xdr:cNvSpPr/>
      </xdr:nvSpPr>
      <xdr:spPr>
        <a:xfrm>
          <a:off x="9030148" y="1633818"/>
          <a:ext cx="908125" cy="28135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견적불러오기</a:t>
          </a:r>
          <a:endParaRPr lang="en-US" altLang="ko-KR" sz="900"/>
        </a:p>
      </xdr:txBody>
    </xdr:sp>
    <xdr:clientData/>
  </xdr:twoCellAnchor>
  <xdr:twoCellAnchor>
    <xdr:from>
      <xdr:col>40</xdr:col>
      <xdr:colOff>25549</xdr:colOff>
      <xdr:row>33</xdr:row>
      <xdr:rowOff>19274</xdr:rowOff>
    </xdr:from>
    <xdr:to>
      <xdr:col>40</xdr:col>
      <xdr:colOff>880334</xdr:colOff>
      <xdr:row>34</xdr:row>
      <xdr:rowOff>107437</xdr:rowOff>
    </xdr:to>
    <xdr:sp macro="[0]!Sheet6.BINIMARK복사" textlink="">
      <xdr:nvSpPr>
        <xdr:cNvPr id="15" name="직사각형 14"/>
        <xdr:cNvSpPr/>
      </xdr:nvSpPr>
      <xdr:spPr>
        <a:xfrm>
          <a:off x="8165502" y="6662121"/>
          <a:ext cx="854785" cy="285387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00"/>
            <a:t>BINIMARK</a:t>
          </a:r>
          <a:r>
            <a:rPr lang="ko-KR" altLang="en-US" sz="800"/>
            <a:t>복사</a:t>
          </a:r>
          <a:endParaRPr lang="en-US" altLang="ko-KR" sz="800"/>
        </a:p>
      </xdr:txBody>
    </xdr:sp>
    <xdr:clientData/>
  </xdr:twoCellAnchor>
  <xdr:twoCellAnchor>
    <xdr:from>
      <xdr:col>40</xdr:col>
      <xdr:colOff>886609</xdr:colOff>
      <xdr:row>33</xdr:row>
      <xdr:rowOff>19274</xdr:rowOff>
    </xdr:from>
    <xdr:to>
      <xdr:col>40</xdr:col>
      <xdr:colOff>1794734</xdr:colOff>
      <xdr:row>34</xdr:row>
      <xdr:rowOff>107437</xdr:rowOff>
    </xdr:to>
    <xdr:sp macro="[0]!Sheet6.전체복사" textlink="">
      <xdr:nvSpPr>
        <xdr:cNvPr id="16" name="직사각형 15"/>
        <xdr:cNvSpPr/>
      </xdr:nvSpPr>
      <xdr:spPr>
        <a:xfrm>
          <a:off x="9026562" y="6662121"/>
          <a:ext cx="908125" cy="285387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전체복사</a:t>
          </a:r>
          <a:endParaRPr lang="en-US" altLang="ko-KR" sz="1000" b="1"/>
        </a:p>
      </xdr:txBody>
    </xdr:sp>
    <xdr:clientData/>
  </xdr:twoCellAnchor>
  <xdr:twoCellAnchor editAs="oneCell">
    <xdr:from>
      <xdr:col>34</xdr:col>
      <xdr:colOff>134470</xdr:colOff>
      <xdr:row>5</xdr:row>
      <xdr:rowOff>116542</xdr:rowOff>
    </xdr:from>
    <xdr:to>
      <xdr:col>38</xdr:col>
      <xdr:colOff>186106</xdr:colOff>
      <xdr:row>6</xdr:row>
      <xdr:rowOff>198747</xdr:rowOff>
    </xdr:to>
    <xdr:pic>
      <xdr:nvPicPr>
        <xdr:cNvPr id="6" name="그림 5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0046" y="1819836"/>
          <a:ext cx="804672" cy="2794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25738</xdr:colOff>
      <xdr:row>0</xdr:row>
      <xdr:rowOff>17584</xdr:rowOff>
    </xdr:from>
    <xdr:to>
      <xdr:col>3</xdr:col>
      <xdr:colOff>410307</xdr:colOff>
      <xdr:row>0</xdr:row>
      <xdr:rowOff>298938</xdr:rowOff>
    </xdr:to>
    <xdr:sp macro="[0]!장바구니로" textlink="">
      <xdr:nvSpPr>
        <xdr:cNvPr id="2" name="직사각형 1"/>
        <xdr:cNvSpPr/>
      </xdr:nvSpPr>
      <xdr:spPr>
        <a:xfrm>
          <a:off x="1209769" y="17584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19878</xdr:colOff>
      <xdr:row>0</xdr:row>
      <xdr:rowOff>17584</xdr:rowOff>
    </xdr:from>
    <xdr:to>
      <xdr:col>2</xdr:col>
      <xdr:colOff>0</xdr:colOff>
      <xdr:row>0</xdr:row>
      <xdr:rowOff>298938</xdr:rowOff>
    </xdr:to>
    <xdr:sp macro="[0]!메인시트로" textlink="">
      <xdr:nvSpPr>
        <xdr:cNvPr id="3" name="직사각형 2"/>
        <xdr:cNvSpPr/>
      </xdr:nvSpPr>
      <xdr:spPr>
        <a:xfrm>
          <a:off x="19878" y="17584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1188718</xdr:colOff>
      <xdr:row>0</xdr:row>
      <xdr:rowOff>0</xdr:rowOff>
    </xdr:from>
    <xdr:to>
      <xdr:col>1</xdr:col>
      <xdr:colOff>2535669</xdr:colOff>
      <xdr:row>1</xdr:row>
      <xdr:rowOff>158261</xdr:rowOff>
    </xdr:to>
    <xdr:sp macro="[0]!장바구니로" textlink="">
      <xdr:nvSpPr>
        <xdr:cNvPr id="2" name="직사각형 1"/>
        <xdr:cNvSpPr/>
      </xdr:nvSpPr>
      <xdr:spPr>
        <a:xfrm>
          <a:off x="1370426" y="0"/>
          <a:ext cx="1346951" cy="32824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1163887</xdr:colOff>
      <xdr:row>1</xdr:row>
      <xdr:rowOff>158261</xdr:rowOff>
    </xdr:to>
    <xdr:sp macro="[0]!메인시트로" textlink="">
      <xdr:nvSpPr>
        <xdr:cNvPr id="3" name="직사각형 2"/>
        <xdr:cNvSpPr/>
      </xdr:nvSpPr>
      <xdr:spPr>
        <a:xfrm>
          <a:off x="0" y="0"/>
          <a:ext cx="1345595" cy="32824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1010986</xdr:colOff>
      <xdr:row>0</xdr:row>
      <xdr:rowOff>13252</xdr:rowOff>
    </xdr:from>
    <xdr:to>
      <xdr:col>1</xdr:col>
      <xdr:colOff>2175139</xdr:colOff>
      <xdr:row>0</xdr:row>
      <xdr:rowOff>294606</xdr:rowOff>
    </xdr:to>
    <xdr:sp macro="[0]!장바구니로" textlink="">
      <xdr:nvSpPr>
        <xdr:cNvPr id="4" name="직사각형 3"/>
        <xdr:cNvSpPr/>
      </xdr:nvSpPr>
      <xdr:spPr>
        <a:xfrm>
          <a:off x="1203143" y="13252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13252</xdr:colOff>
      <xdr:row>0</xdr:row>
      <xdr:rowOff>13252</xdr:rowOff>
    </xdr:from>
    <xdr:to>
      <xdr:col>1</xdr:col>
      <xdr:colOff>985248</xdr:colOff>
      <xdr:row>0</xdr:row>
      <xdr:rowOff>294606</xdr:rowOff>
    </xdr:to>
    <xdr:sp macro="[0]!메인시트로" textlink="">
      <xdr:nvSpPr>
        <xdr:cNvPr id="5" name="직사각형 4"/>
        <xdr:cNvSpPr/>
      </xdr:nvSpPr>
      <xdr:spPr>
        <a:xfrm>
          <a:off x="13252" y="13252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984482</xdr:colOff>
      <xdr:row>0</xdr:row>
      <xdr:rowOff>19879</xdr:rowOff>
    </xdr:from>
    <xdr:to>
      <xdr:col>1</xdr:col>
      <xdr:colOff>2148635</xdr:colOff>
      <xdr:row>0</xdr:row>
      <xdr:rowOff>301233</xdr:rowOff>
    </xdr:to>
    <xdr:sp macro="[0]!장바구니로" textlink="">
      <xdr:nvSpPr>
        <xdr:cNvPr id="2" name="직사각형 1"/>
        <xdr:cNvSpPr/>
      </xdr:nvSpPr>
      <xdr:spPr>
        <a:xfrm>
          <a:off x="1196517" y="19879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6626</xdr:colOff>
      <xdr:row>0</xdr:row>
      <xdr:rowOff>19879</xdr:rowOff>
    </xdr:from>
    <xdr:to>
      <xdr:col>1</xdr:col>
      <xdr:colOff>958744</xdr:colOff>
      <xdr:row>0</xdr:row>
      <xdr:rowOff>301233</xdr:rowOff>
    </xdr:to>
    <xdr:sp macro="[0]!메인시트로" textlink="">
      <xdr:nvSpPr>
        <xdr:cNvPr id="3" name="직사각형 2"/>
        <xdr:cNvSpPr/>
      </xdr:nvSpPr>
      <xdr:spPr>
        <a:xfrm>
          <a:off x="6626" y="19879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997734</xdr:colOff>
      <xdr:row>0</xdr:row>
      <xdr:rowOff>13252</xdr:rowOff>
    </xdr:from>
    <xdr:to>
      <xdr:col>1</xdr:col>
      <xdr:colOff>2161887</xdr:colOff>
      <xdr:row>0</xdr:row>
      <xdr:rowOff>294606</xdr:rowOff>
    </xdr:to>
    <xdr:sp macro="[0]!장바구니로" textlink="">
      <xdr:nvSpPr>
        <xdr:cNvPr id="2" name="직사각형 1"/>
        <xdr:cNvSpPr/>
      </xdr:nvSpPr>
      <xdr:spPr>
        <a:xfrm>
          <a:off x="1189891" y="13252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0</xdr:row>
      <xdr:rowOff>13252</xdr:rowOff>
    </xdr:from>
    <xdr:to>
      <xdr:col>1</xdr:col>
      <xdr:colOff>971996</xdr:colOff>
      <xdr:row>0</xdr:row>
      <xdr:rowOff>294606</xdr:rowOff>
    </xdr:to>
    <xdr:sp macro="[0]!메인시트로" textlink="">
      <xdr:nvSpPr>
        <xdr:cNvPr id="3" name="직사각형 2"/>
        <xdr:cNvSpPr/>
      </xdr:nvSpPr>
      <xdr:spPr>
        <a:xfrm>
          <a:off x="0" y="13252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997734</xdr:colOff>
      <xdr:row>0</xdr:row>
      <xdr:rowOff>13252</xdr:rowOff>
    </xdr:from>
    <xdr:to>
      <xdr:col>1</xdr:col>
      <xdr:colOff>2161887</xdr:colOff>
      <xdr:row>0</xdr:row>
      <xdr:rowOff>294606</xdr:rowOff>
    </xdr:to>
    <xdr:sp macro="[0]!장바구니로" textlink="">
      <xdr:nvSpPr>
        <xdr:cNvPr id="2" name="직사각형 1"/>
        <xdr:cNvSpPr/>
      </xdr:nvSpPr>
      <xdr:spPr>
        <a:xfrm>
          <a:off x="1189891" y="13252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0</xdr:row>
      <xdr:rowOff>13252</xdr:rowOff>
    </xdr:from>
    <xdr:to>
      <xdr:col>1</xdr:col>
      <xdr:colOff>971996</xdr:colOff>
      <xdr:row>0</xdr:row>
      <xdr:rowOff>294606</xdr:rowOff>
    </xdr:to>
    <xdr:sp macro="[0]!메인시트로" textlink="">
      <xdr:nvSpPr>
        <xdr:cNvPr id="3" name="직사각형 2"/>
        <xdr:cNvSpPr/>
      </xdr:nvSpPr>
      <xdr:spPr>
        <a:xfrm>
          <a:off x="0" y="13252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1010987</xdr:colOff>
      <xdr:row>0</xdr:row>
      <xdr:rowOff>19878</xdr:rowOff>
    </xdr:from>
    <xdr:to>
      <xdr:col>1</xdr:col>
      <xdr:colOff>2175140</xdr:colOff>
      <xdr:row>0</xdr:row>
      <xdr:rowOff>301232</xdr:rowOff>
    </xdr:to>
    <xdr:sp macro="[0]!장바구니로" textlink="">
      <xdr:nvSpPr>
        <xdr:cNvPr id="2" name="직사각형 1"/>
        <xdr:cNvSpPr/>
      </xdr:nvSpPr>
      <xdr:spPr>
        <a:xfrm>
          <a:off x="1209770" y="19878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19879</xdr:colOff>
      <xdr:row>0</xdr:row>
      <xdr:rowOff>19878</xdr:rowOff>
    </xdr:from>
    <xdr:to>
      <xdr:col>1</xdr:col>
      <xdr:colOff>985249</xdr:colOff>
      <xdr:row>0</xdr:row>
      <xdr:rowOff>301232</xdr:rowOff>
    </xdr:to>
    <xdr:sp macro="[0]!메인시트로" textlink="">
      <xdr:nvSpPr>
        <xdr:cNvPr id="3" name="직사각형 2"/>
        <xdr:cNvSpPr/>
      </xdr:nvSpPr>
      <xdr:spPr>
        <a:xfrm>
          <a:off x="19879" y="19878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1010986</xdr:colOff>
      <xdr:row>0</xdr:row>
      <xdr:rowOff>19878</xdr:rowOff>
    </xdr:from>
    <xdr:to>
      <xdr:col>1</xdr:col>
      <xdr:colOff>2175139</xdr:colOff>
      <xdr:row>0</xdr:row>
      <xdr:rowOff>301232</xdr:rowOff>
    </xdr:to>
    <xdr:sp macro="[0]!장바구니로" textlink="">
      <xdr:nvSpPr>
        <xdr:cNvPr id="2" name="직사각형 1"/>
        <xdr:cNvSpPr/>
      </xdr:nvSpPr>
      <xdr:spPr>
        <a:xfrm>
          <a:off x="1209769" y="19878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19878</xdr:colOff>
      <xdr:row>0</xdr:row>
      <xdr:rowOff>19878</xdr:rowOff>
    </xdr:from>
    <xdr:to>
      <xdr:col>1</xdr:col>
      <xdr:colOff>985248</xdr:colOff>
      <xdr:row>0</xdr:row>
      <xdr:rowOff>301232</xdr:rowOff>
    </xdr:to>
    <xdr:sp macro="[0]!메인시트로" textlink="">
      <xdr:nvSpPr>
        <xdr:cNvPr id="3" name="직사각형 2"/>
        <xdr:cNvSpPr/>
      </xdr:nvSpPr>
      <xdr:spPr>
        <a:xfrm>
          <a:off x="19878" y="19878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997734</xdr:colOff>
      <xdr:row>0</xdr:row>
      <xdr:rowOff>19878</xdr:rowOff>
    </xdr:from>
    <xdr:to>
      <xdr:col>1</xdr:col>
      <xdr:colOff>2161887</xdr:colOff>
      <xdr:row>0</xdr:row>
      <xdr:rowOff>301232</xdr:rowOff>
    </xdr:to>
    <xdr:sp macro="[0]!장바구니로" textlink="">
      <xdr:nvSpPr>
        <xdr:cNvPr id="2" name="직사각형 1"/>
        <xdr:cNvSpPr/>
      </xdr:nvSpPr>
      <xdr:spPr>
        <a:xfrm>
          <a:off x="1189891" y="19878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0</xdr:row>
      <xdr:rowOff>19878</xdr:rowOff>
    </xdr:from>
    <xdr:to>
      <xdr:col>1</xdr:col>
      <xdr:colOff>971996</xdr:colOff>
      <xdr:row>0</xdr:row>
      <xdr:rowOff>301232</xdr:rowOff>
    </xdr:to>
    <xdr:sp macro="[0]!메인시트로" textlink="">
      <xdr:nvSpPr>
        <xdr:cNvPr id="3" name="직사각형 2"/>
        <xdr:cNvSpPr/>
      </xdr:nvSpPr>
      <xdr:spPr>
        <a:xfrm>
          <a:off x="0" y="19878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1030865</xdr:colOff>
      <xdr:row>0</xdr:row>
      <xdr:rowOff>19878</xdr:rowOff>
    </xdr:from>
    <xdr:to>
      <xdr:col>1</xdr:col>
      <xdr:colOff>2195018</xdr:colOff>
      <xdr:row>0</xdr:row>
      <xdr:rowOff>301232</xdr:rowOff>
    </xdr:to>
    <xdr:sp macro="[0]!장바구니로" textlink="">
      <xdr:nvSpPr>
        <xdr:cNvPr id="2" name="직사각형 1"/>
        <xdr:cNvSpPr/>
      </xdr:nvSpPr>
      <xdr:spPr>
        <a:xfrm>
          <a:off x="1189891" y="19878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0</xdr:row>
      <xdr:rowOff>19878</xdr:rowOff>
    </xdr:from>
    <xdr:to>
      <xdr:col>1</xdr:col>
      <xdr:colOff>1005127</xdr:colOff>
      <xdr:row>0</xdr:row>
      <xdr:rowOff>301232</xdr:rowOff>
    </xdr:to>
    <xdr:sp macro="[0]!메인시트로" textlink="">
      <xdr:nvSpPr>
        <xdr:cNvPr id="3" name="직사각형 2"/>
        <xdr:cNvSpPr/>
      </xdr:nvSpPr>
      <xdr:spPr>
        <a:xfrm>
          <a:off x="0" y="19878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915571</xdr:colOff>
      <xdr:row>0</xdr:row>
      <xdr:rowOff>19878</xdr:rowOff>
    </xdr:from>
    <xdr:to>
      <xdr:col>1</xdr:col>
      <xdr:colOff>2079724</xdr:colOff>
      <xdr:row>0</xdr:row>
      <xdr:rowOff>301232</xdr:rowOff>
    </xdr:to>
    <xdr:sp macro="[0]!장바구니로" textlink="">
      <xdr:nvSpPr>
        <xdr:cNvPr id="2" name="직사각형 1"/>
        <xdr:cNvSpPr/>
      </xdr:nvSpPr>
      <xdr:spPr>
        <a:xfrm>
          <a:off x="1187241" y="19878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0</xdr:row>
      <xdr:rowOff>19878</xdr:rowOff>
    </xdr:from>
    <xdr:to>
      <xdr:col>1</xdr:col>
      <xdr:colOff>889833</xdr:colOff>
      <xdr:row>0</xdr:row>
      <xdr:rowOff>301232</xdr:rowOff>
    </xdr:to>
    <xdr:sp macro="[0]!메인시트로" textlink="">
      <xdr:nvSpPr>
        <xdr:cNvPr id="3" name="직사각형 2"/>
        <xdr:cNvSpPr/>
      </xdr:nvSpPr>
      <xdr:spPr>
        <a:xfrm>
          <a:off x="0" y="19878"/>
          <a:ext cx="116150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984482</xdr:colOff>
      <xdr:row>0</xdr:row>
      <xdr:rowOff>13253</xdr:rowOff>
    </xdr:from>
    <xdr:to>
      <xdr:col>1</xdr:col>
      <xdr:colOff>2148635</xdr:colOff>
      <xdr:row>0</xdr:row>
      <xdr:rowOff>294607</xdr:rowOff>
    </xdr:to>
    <xdr:sp macro="[0]!장바구니로" textlink="">
      <xdr:nvSpPr>
        <xdr:cNvPr id="2" name="직사각형 1"/>
        <xdr:cNvSpPr/>
      </xdr:nvSpPr>
      <xdr:spPr>
        <a:xfrm>
          <a:off x="1196517" y="13253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6626</xdr:colOff>
      <xdr:row>0</xdr:row>
      <xdr:rowOff>13253</xdr:rowOff>
    </xdr:from>
    <xdr:to>
      <xdr:col>1</xdr:col>
      <xdr:colOff>958744</xdr:colOff>
      <xdr:row>0</xdr:row>
      <xdr:rowOff>294607</xdr:rowOff>
    </xdr:to>
    <xdr:sp macro="[0]!메인시트로" textlink="">
      <xdr:nvSpPr>
        <xdr:cNvPr id="3" name="직사각형 2"/>
        <xdr:cNvSpPr/>
      </xdr:nvSpPr>
      <xdr:spPr>
        <a:xfrm>
          <a:off x="6626" y="13253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977856</xdr:colOff>
      <xdr:row>0</xdr:row>
      <xdr:rowOff>19878</xdr:rowOff>
    </xdr:from>
    <xdr:to>
      <xdr:col>1</xdr:col>
      <xdr:colOff>2142009</xdr:colOff>
      <xdr:row>0</xdr:row>
      <xdr:rowOff>301232</xdr:rowOff>
    </xdr:to>
    <xdr:sp macro="[0]!장바구니로" textlink="">
      <xdr:nvSpPr>
        <xdr:cNvPr id="2" name="직사각형 1"/>
        <xdr:cNvSpPr/>
      </xdr:nvSpPr>
      <xdr:spPr>
        <a:xfrm>
          <a:off x="1189891" y="19878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0</xdr:row>
      <xdr:rowOff>19878</xdr:rowOff>
    </xdr:from>
    <xdr:to>
      <xdr:col>1</xdr:col>
      <xdr:colOff>952118</xdr:colOff>
      <xdr:row>0</xdr:row>
      <xdr:rowOff>301232</xdr:rowOff>
    </xdr:to>
    <xdr:sp macro="[0]!메인시트로" textlink="">
      <xdr:nvSpPr>
        <xdr:cNvPr id="3" name="직사각형 2"/>
        <xdr:cNvSpPr/>
      </xdr:nvSpPr>
      <xdr:spPr>
        <a:xfrm>
          <a:off x="0" y="19878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931474</xdr:colOff>
      <xdr:row>0</xdr:row>
      <xdr:rowOff>19878</xdr:rowOff>
    </xdr:from>
    <xdr:to>
      <xdr:col>1</xdr:col>
      <xdr:colOff>2095627</xdr:colOff>
      <xdr:row>0</xdr:row>
      <xdr:rowOff>301232</xdr:rowOff>
    </xdr:to>
    <xdr:sp macro="[0]!장바구니로" textlink="">
      <xdr:nvSpPr>
        <xdr:cNvPr id="2" name="직사각형 1"/>
        <xdr:cNvSpPr/>
      </xdr:nvSpPr>
      <xdr:spPr>
        <a:xfrm>
          <a:off x="1189891" y="19878"/>
          <a:ext cx="1164153" cy="28135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장바구니로</a:t>
          </a:r>
          <a:r>
            <a:rPr lang="en-US" altLang="ko-KR" sz="9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0</xdr:row>
      <xdr:rowOff>19878</xdr:rowOff>
    </xdr:from>
    <xdr:to>
      <xdr:col>1</xdr:col>
      <xdr:colOff>905736</xdr:colOff>
      <xdr:row>0</xdr:row>
      <xdr:rowOff>301232</xdr:rowOff>
    </xdr:to>
    <xdr:sp macro="[0]!메인시트로" textlink="">
      <xdr:nvSpPr>
        <xdr:cNvPr id="3" name="직사각형 2"/>
        <xdr:cNvSpPr/>
      </xdr:nvSpPr>
      <xdr:spPr>
        <a:xfrm>
          <a:off x="0" y="19878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19878</xdr:colOff>
      <xdr:row>0</xdr:row>
      <xdr:rowOff>13252</xdr:rowOff>
    </xdr:from>
    <xdr:to>
      <xdr:col>1</xdr:col>
      <xdr:colOff>971996</xdr:colOff>
      <xdr:row>0</xdr:row>
      <xdr:rowOff>294606</xdr:rowOff>
    </xdr:to>
    <xdr:sp macro="[0]!메인시트로" textlink="">
      <xdr:nvSpPr>
        <xdr:cNvPr id="3" name="직사각형 2"/>
        <xdr:cNvSpPr/>
      </xdr:nvSpPr>
      <xdr:spPr>
        <a:xfrm>
          <a:off x="19878" y="13252"/>
          <a:ext cx="1164153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13252</xdr:rowOff>
    </xdr:from>
    <xdr:to>
      <xdr:col>1</xdr:col>
      <xdr:colOff>920313</xdr:colOff>
      <xdr:row>0</xdr:row>
      <xdr:rowOff>294606</xdr:rowOff>
    </xdr:to>
    <xdr:sp macro="[0]!메인시트로" textlink="">
      <xdr:nvSpPr>
        <xdr:cNvPr id="2" name="직사각형 1"/>
        <xdr:cNvSpPr/>
      </xdr:nvSpPr>
      <xdr:spPr>
        <a:xfrm>
          <a:off x="0" y="13252"/>
          <a:ext cx="1165478" cy="28135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메인시트로</a:t>
          </a:r>
          <a:r>
            <a:rPr lang="en-US" altLang="ko-KR" sz="900"/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XFD227"/>
  <sheetViews>
    <sheetView workbookViewId="0">
      <pane xSplit="2" ySplit="1" topLeftCell="C116" activePane="bottomRight" state="frozen"/>
      <selection pane="topRight" activeCell="C1" sqref="C1"/>
      <selection pane="bottomLeft" activeCell="A2" sqref="A2"/>
      <selection pane="bottomRight" activeCell="AA168" sqref="AA168"/>
    </sheetView>
  </sheetViews>
  <sheetFormatPr defaultColWidth="8.69921875" defaultRowHeight="10.8" x14ac:dyDescent="0.25"/>
  <cols>
    <col min="1" max="1" width="7.69921875" style="4" bestFit="1" customWidth="1"/>
    <col min="2" max="2" width="12.5" style="5" bestFit="1" customWidth="1"/>
    <col min="3" max="3" width="9.8984375" style="4" bestFit="1" customWidth="1"/>
    <col min="4" max="4" width="11.3984375" style="4" bestFit="1" customWidth="1"/>
    <col min="5" max="5" width="5.8984375" style="4" bestFit="1" customWidth="1"/>
    <col min="6" max="6" width="4.5" style="4" bestFit="1" customWidth="1"/>
    <col min="7" max="7" width="6" style="4" bestFit="1" customWidth="1"/>
    <col min="8" max="8" width="5" style="4" customWidth="1"/>
    <col min="9" max="9" width="5.19921875" style="4" bestFit="1" customWidth="1"/>
    <col min="10" max="10" width="3.69921875" style="5" bestFit="1" customWidth="1"/>
    <col min="11" max="11" width="4.5" style="5" bestFit="1" customWidth="1"/>
    <col min="12" max="12" width="5.19921875" style="5" bestFit="1" customWidth="1"/>
    <col min="13" max="13" width="4.19921875" style="4" bestFit="1" customWidth="1"/>
    <col min="14" max="14" width="0.69921875" style="5" customWidth="1"/>
    <col min="15" max="15" width="3.69921875" style="5" customWidth="1"/>
    <col min="16" max="16" width="4.5" style="5" bestFit="1" customWidth="1"/>
    <col min="17" max="17" width="4.3984375" style="5" customWidth="1"/>
    <col min="18" max="18" width="1.09765625" style="5" customWidth="1"/>
    <col min="19" max="20" width="4.3984375" style="11" customWidth="1"/>
    <col min="21" max="22" width="4.8984375" style="11" customWidth="1"/>
    <col min="23" max="23" width="5.09765625" style="11" customWidth="1"/>
    <col min="24" max="24" width="0.69921875" style="5" customWidth="1"/>
    <col min="25" max="16384" width="8.69921875" style="5"/>
  </cols>
  <sheetData>
    <row r="1" spans="1:23" x14ac:dyDescent="0.25">
      <c r="A1" s="3" t="s">
        <v>770</v>
      </c>
      <c r="B1" s="1" t="s">
        <v>371</v>
      </c>
      <c r="C1" s="10" t="s">
        <v>725</v>
      </c>
      <c r="D1" s="3" t="s">
        <v>724</v>
      </c>
      <c r="E1" s="10" t="s">
        <v>372</v>
      </c>
      <c r="F1" s="10" t="s">
        <v>737</v>
      </c>
      <c r="G1" s="10" t="s">
        <v>767</v>
      </c>
      <c r="H1" s="3" t="s">
        <v>373</v>
      </c>
      <c r="I1" s="3" t="s">
        <v>723</v>
      </c>
      <c r="J1" s="3" t="s">
        <v>726</v>
      </c>
      <c r="K1" s="3" t="s">
        <v>727</v>
      </c>
      <c r="L1" s="3" t="s">
        <v>728</v>
      </c>
      <c r="M1" s="3" t="s">
        <v>729</v>
      </c>
      <c r="N1" s="2"/>
      <c r="O1" s="2" t="s">
        <v>730</v>
      </c>
      <c r="P1" s="2" t="s">
        <v>769</v>
      </c>
      <c r="Q1" s="209" t="s">
        <v>731</v>
      </c>
      <c r="R1" s="209"/>
      <c r="S1" s="210" t="s">
        <v>732</v>
      </c>
      <c r="T1" s="210" t="s">
        <v>733</v>
      </c>
      <c r="U1" s="210" t="s">
        <v>734</v>
      </c>
      <c r="V1" s="210" t="s">
        <v>735</v>
      </c>
      <c r="W1" s="210" t="s">
        <v>736</v>
      </c>
    </row>
    <row r="2" spans="1:23" x14ac:dyDescent="0.25">
      <c r="A2" s="38" t="s">
        <v>772</v>
      </c>
      <c r="B2" s="47" t="s">
        <v>2963</v>
      </c>
      <c r="C2" s="38" t="s">
        <v>529</v>
      </c>
      <c r="D2" s="38" t="s">
        <v>529</v>
      </c>
      <c r="E2" s="38">
        <v>1151</v>
      </c>
      <c r="F2" s="38">
        <v>4</v>
      </c>
      <c r="G2" s="38">
        <v>8</v>
      </c>
      <c r="H2" s="38">
        <v>4</v>
      </c>
      <c r="I2" s="38">
        <v>4.2</v>
      </c>
      <c r="J2" s="38">
        <v>64</v>
      </c>
      <c r="K2" s="38">
        <v>256</v>
      </c>
      <c r="L2" s="38">
        <v>8192</v>
      </c>
      <c r="M2" s="38" t="s">
        <v>749</v>
      </c>
      <c r="N2" s="47"/>
      <c r="O2" s="47">
        <f>(2*8*(1-POWER(0.5,(L2/2048)))/100)+1</f>
        <v>1.1499999999999999</v>
      </c>
      <c r="P2" s="47">
        <f>IF(M2="O",IF(UPPER(A2)="INTEL",1.46,1.5),1)</f>
        <v>1.46</v>
      </c>
      <c r="Q2" s="47">
        <f t="shared" ref="Q2:Q13" si="0">Q3</f>
        <v>1.2481340179360001</v>
      </c>
      <c r="R2" s="47"/>
      <c r="S2" s="48">
        <f>FLOOR(H2*O2*Q2/($H$58*$O$58*$Q$58),0.0001)</f>
        <v>1.2285000000000001</v>
      </c>
      <c r="T2" s="48">
        <f>IF(F2=1,IF(M2="O",S2*P2,S2),S2*2)</f>
        <v>2.4570000000000003</v>
      </c>
      <c r="U2" s="48">
        <f>IF(G2&lt;4,W2,IF(F2=2,2*S2*P2,IF(F2=3,2*S2+S2*P2,S2*4)))</f>
        <v>4.9140000000000006</v>
      </c>
      <c r="V2" s="48">
        <f>IF(G2&lt;8,W2,IF(F2=4,4*S2*P2,IF(F2=6,4*S2+2*S2*P2,8*S2)))</f>
        <v>7.1744400000000006</v>
      </c>
      <c r="W2" s="48">
        <f>F2*P2*S2</f>
        <v>7.1744400000000006</v>
      </c>
    </row>
    <row r="3" spans="1:23" x14ac:dyDescent="0.25">
      <c r="A3" s="38" t="s">
        <v>772</v>
      </c>
      <c r="B3" s="47" t="s">
        <v>537</v>
      </c>
      <c r="C3" s="38" t="s">
        <v>529</v>
      </c>
      <c r="D3" s="38" t="s">
        <v>529</v>
      </c>
      <c r="E3" s="38">
        <v>1151</v>
      </c>
      <c r="F3" s="38">
        <v>4</v>
      </c>
      <c r="G3" s="38">
        <v>8</v>
      </c>
      <c r="H3" s="38">
        <v>3.4</v>
      </c>
      <c r="I3" s="38">
        <v>4</v>
      </c>
      <c r="J3" s="38">
        <v>64</v>
      </c>
      <c r="K3" s="38">
        <v>256</v>
      </c>
      <c r="L3" s="38">
        <v>8192</v>
      </c>
      <c r="M3" s="38" t="s">
        <v>749</v>
      </c>
      <c r="N3" s="47"/>
      <c r="O3" s="47">
        <f t="shared" ref="O3:O66" si="1">(2*8*(1-POWER(0.5,(L3/2048)))/100)+1</f>
        <v>1.1499999999999999</v>
      </c>
      <c r="P3" s="47">
        <f t="shared" ref="P3:P68" si="2">IF(M3="O",IF(UPPER(A3)="INTEL",1.46,1.5),1)</f>
        <v>1.46</v>
      </c>
      <c r="Q3" s="47">
        <f t="shared" si="0"/>
        <v>1.2481340179360001</v>
      </c>
      <c r="R3" s="47"/>
      <c r="S3" s="48">
        <f t="shared" ref="S3:S66" si="3">FLOOR(H3*O3*Q3/($H$58*$O$58*$Q$58),0.0001)</f>
        <v>1.0442</v>
      </c>
      <c r="T3" s="48">
        <f t="shared" ref="T3:T68" si="4">IF(F3=1,IF(M3="O",S3*P3,S3),S3*2)</f>
        <v>2.0884</v>
      </c>
      <c r="U3" s="48">
        <f t="shared" ref="U3:U68" si="5">IF(G3&lt;4,W3,IF(F3=2,2*S3*P3,IF(F3=3,2*S3+S3*P3,S3*4)))</f>
        <v>4.1768000000000001</v>
      </c>
      <c r="V3" s="48">
        <f t="shared" ref="V3:V68" si="6">IF(G3&lt;8,W3,IF(F3=4,4*S3*P3,IF(F3=6,4*S3+2*S3*P3,8*S3)))</f>
        <v>6.098128</v>
      </c>
      <c r="W3" s="48">
        <f t="shared" ref="W3:W68" si="7">F3*P3*S3</f>
        <v>6.098128</v>
      </c>
    </row>
    <row r="4" spans="1:23" x14ac:dyDescent="0.25">
      <c r="A4" s="38" t="s">
        <v>772</v>
      </c>
      <c r="B4" s="47" t="s">
        <v>536</v>
      </c>
      <c r="C4" s="38" t="s">
        <v>529</v>
      </c>
      <c r="D4" s="38" t="s">
        <v>529</v>
      </c>
      <c r="E4" s="38">
        <v>1151</v>
      </c>
      <c r="F4" s="38">
        <v>4</v>
      </c>
      <c r="G4" s="38">
        <v>4</v>
      </c>
      <c r="H4" s="38">
        <v>3.5</v>
      </c>
      <c r="I4" s="38">
        <v>3.9</v>
      </c>
      <c r="J4" s="38">
        <v>64</v>
      </c>
      <c r="K4" s="38">
        <v>256</v>
      </c>
      <c r="L4" s="38">
        <v>6144</v>
      </c>
      <c r="M4" s="38"/>
      <c r="N4" s="47"/>
      <c r="O4" s="47">
        <f t="shared" si="1"/>
        <v>1.1400000000000001</v>
      </c>
      <c r="P4" s="47">
        <f t="shared" si="2"/>
        <v>1</v>
      </c>
      <c r="Q4" s="47">
        <f t="shared" si="0"/>
        <v>1.2481340179360001</v>
      </c>
      <c r="R4" s="47"/>
      <c r="S4" s="48">
        <f t="shared" si="3"/>
        <v>1.0656000000000001</v>
      </c>
      <c r="T4" s="48">
        <f t="shared" si="4"/>
        <v>2.1312000000000002</v>
      </c>
      <c r="U4" s="48">
        <f t="shared" si="5"/>
        <v>4.2624000000000004</v>
      </c>
      <c r="V4" s="48">
        <f t="shared" si="6"/>
        <v>4.2624000000000004</v>
      </c>
      <c r="W4" s="48">
        <f t="shared" si="7"/>
        <v>4.2624000000000004</v>
      </c>
    </row>
    <row r="5" spans="1:23" x14ac:dyDescent="0.25">
      <c r="A5" s="38" t="s">
        <v>772</v>
      </c>
      <c r="B5" s="47" t="s">
        <v>535</v>
      </c>
      <c r="C5" s="38" t="s">
        <v>529</v>
      </c>
      <c r="D5" s="38" t="s">
        <v>529</v>
      </c>
      <c r="E5" s="38">
        <v>1151</v>
      </c>
      <c r="F5" s="38">
        <v>4</v>
      </c>
      <c r="G5" s="38">
        <v>4</v>
      </c>
      <c r="H5" s="38">
        <v>3.3</v>
      </c>
      <c r="I5" s="38">
        <v>3.9</v>
      </c>
      <c r="J5" s="38">
        <v>64</v>
      </c>
      <c r="K5" s="38">
        <v>256</v>
      </c>
      <c r="L5" s="38">
        <v>6144</v>
      </c>
      <c r="M5" s="38"/>
      <c r="N5" s="47"/>
      <c r="O5" s="47">
        <f t="shared" si="1"/>
        <v>1.1400000000000001</v>
      </c>
      <c r="P5" s="47">
        <f t="shared" si="2"/>
        <v>1</v>
      </c>
      <c r="Q5" s="47">
        <f t="shared" si="0"/>
        <v>1.2481340179360001</v>
      </c>
      <c r="R5" s="47"/>
      <c r="S5" s="48">
        <f t="shared" si="3"/>
        <v>1.0047000000000001</v>
      </c>
      <c r="T5" s="48">
        <f t="shared" si="4"/>
        <v>2.0094000000000003</v>
      </c>
      <c r="U5" s="48">
        <f t="shared" si="5"/>
        <v>4.0188000000000006</v>
      </c>
      <c r="V5" s="48">
        <f t="shared" si="6"/>
        <v>4.0188000000000006</v>
      </c>
      <c r="W5" s="48">
        <f t="shared" si="7"/>
        <v>4.0188000000000006</v>
      </c>
    </row>
    <row r="6" spans="1:23" x14ac:dyDescent="0.25">
      <c r="A6" s="38" t="s">
        <v>772</v>
      </c>
      <c r="B6" s="47" t="s">
        <v>534</v>
      </c>
      <c r="C6" s="38" t="s">
        <v>529</v>
      </c>
      <c r="D6" s="38" t="s">
        <v>529</v>
      </c>
      <c r="E6" s="38">
        <v>1151</v>
      </c>
      <c r="F6" s="38">
        <v>4</v>
      </c>
      <c r="G6" s="38">
        <v>4</v>
      </c>
      <c r="H6" s="38">
        <v>3.2</v>
      </c>
      <c r="I6" s="38">
        <v>3.6</v>
      </c>
      <c r="J6" s="38">
        <v>64</v>
      </c>
      <c r="K6" s="38">
        <v>256</v>
      </c>
      <c r="L6" s="38">
        <v>6144</v>
      </c>
      <c r="M6" s="38"/>
      <c r="N6" s="47"/>
      <c r="O6" s="47">
        <f t="shared" si="1"/>
        <v>1.1400000000000001</v>
      </c>
      <c r="P6" s="47">
        <f t="shared" si="2"/>
        <v>1</v>
      </c>
      <c r="Q6" s="47">
        <f t="shared" si="0"/>
        <v>1.2481340179360001</v>
      </c>
      <c r="R6" s="47"/>
      <c r="S6" s="48">
        <f t="shared" si="3"/>
        <v>0.97420000000000007</v>
      </c>
      <c r="T6" s="48">
        <f t="shared" si="4"/>
        <v>1.9484000000000001</v>
      </c>
      <c r="U6" s="48">
        <f t="shared" si="5"/>
        <v>3.8968000000000003</v>
      </c>
      <c r="V6" s="48">
        <f t="shared" si="6"/>
        <v>3.8968000000000003</v>
      </c>
      <c r="W6" s="48">
        <f t="shared" si="7"/>
        <v>3.8968000000000003</v>
      </c>
    </row>
    <row r="7" spans="1:23" x14ac:dyDescent="0.25">
      <c r="A7" s="38" t="s">
        <v>772</v>
      </c>
      <c r="B7" s="47" t="s">
        <v>533</v>
      </c>
      <c r="C7" s="38" t="s">
        <v>529</v>
      </c>
      <c r="D7" s="38" t="s">
        <v>529</v>
      </c>
      <c r="E7" s="38">
        <v>1151</v>
      </c>
      <c r="F7" s="38">
        <v>4</v>
      </c>
      <c r="G7" s="38">
        <v>4</v>
      </c>
      <c r="H7" s="38">
        <v>2.7</v>
      </c>
      <c r="I7" s="38">
        <v>3.3</v>
      </c>
      <c r="J7" s="38">
        <v>64</v>
      </c>
      <c r="K7" s="38">
        <v>256</v>
      </c>
      <c r="L7" s="38">
        <v>6144</v>
      </c>
      <c r="M7" s="38"/>
      <c r="N7" s="47"/>
      <c r="O7" s="47">
        <f t="shared" si="1"/>
        <v>1.1400000000000001</v>
      </c>
      <c r="P7" s="47">
        <f t="shared" si="2"/>
        <v>1</v>
      </c>
      <c r="Q7" s="47">
        <f t="shared" si="0"/>
        <v>1.2481340179360001</v>
      </c>
      <c r="R7" s="47"/>
      <c r="S7" s="48">
        <f t="shared" si="3"/>
        <v>0.82200000000000006</v>
      </c>
      <c r="T7" s="48">
        <f t="shared" si="4"/>
        <v>1.6440000000000001</v>
      </c>
      <c r="U7" s="48">
        <f t="shared" si="5"/>
        <v>3.2880000000000003</v>
      </c>
      <c r="V7" s="48">
        <f t="shared" si="6"/>
        <v>3.2880000000000003</v>
      </c>
      <c r="W7" s="48">
        <f t="shared" si="7"/>
        <v>3.2880000000000003</v>
      </c>
    </row>
    <row r="8" spans="1:23" x14ac:dyDescent="0.25">
      <c r="A8" s="38" t="s">
        <v>772</v>
      </c>
      <c r="B8" s="47" t="s">
        <v>532</v>
      </c>
      <c r="C8" s="38" t="s">
        <v>529</v>
      </c>
      <c r="D8" s="38" t="s">
        <v>529</v>
      </c>
      <c r="E8" s="38">
        <v>1151</v>
      </c>
      <c r="F8" s="38">
        <v>2</v>
      </c>
      <c r="G8" s="38">
        <v>4</v>
      </c>
      <c r="H8" s="38">
        <v>3.9</v>
      </c>
      <c r="I8" s="38">
        <v>3.9</v>
      </c>
      <c r="J8" s="38">
        <v>64</v>
      </c>
      <c r="K8" s="38">
        <v>256</v>
      </c>
      <c r="L8" s="38">
        <v>4096</v>
      </c>
      <c r="M8" s="38" t="s">
        <v>749</v>
      </c>
      <c r="N8" s="47"/>
      <c r="O8" s="47">
        <f t="shared" si="1"/>
        <v>1.1200000000000001</v>
      </c>
      <c r="P8" s="47">
        <f t="shared" si="2"/>
        <v>1.46</v>
      </c>
      <c r="Q8" s="47">
        <f t="shared" si="0"/>
        <v>1.2481340179360001</v>
      </c>
      <c r="R8" s="47"/>
      <c r="S8" s="48">
        <f t="shared" si="3"/>
        <v>1.1665000000000001</v>
      </c>
      <c r="T8" s="48">
        <f t="shared" si="4"/>
        <v>2.3330000000000002</v>
      </c>
      <c r="U8" s="48">
        <f t="shared" si="5"/>
        <v>3.40618</v>
      </c>
      <c r="V8" s="48">
        <f t="shared" si="6"/>
        <v>3.40618</v>
      </c>
      <c r="W8" s="48">
        <f t="shared" si="7"/>
        <v>3.40618</v>
      </c>
    </row>
    <row r="9" spans="1:23" x14ac:dyDescent="0.25">
      <c r="A9" s="38" t="s">
        <v>772</v>
      </c>
      <c r="B9" s="47" t="s">
        <v>531</v>
      </c>
      <c r="C9" s="38" t="s">
        <v>529</v>
      </c>
      <c r="D9" s="38" t="s">
        <v>529</v>
      </c>
      <c r="E9" s="38">
        <v>1151</v>
      </c>
      <c r="F9" s="38">
        <v>2</v>
      </c>
      <c r="G9" s="38">
        <v>4</v>
      </c>
      <c r="H9" s="38">
        <v>3.8</v>
      </c>
      <c r="I9" s="38">
        <v>3.8</v>
      </c>
      <c r="J9" s="38">
        <v>64</v>
      </c>
      <c r="K9" s="38">
        <v>256</v>
      </c>
      <c r="L9" s="38">
        <v>4096</v>
      </c>
      <c r="M9" s="38" t="s">
        <v>749</v>
      </c>
      <c r="N9" s="47"/>
      <c r="O9" s="47">
        <f t="shared" si="1"/>
        <v>1.1200000000000001</v>
      </c>
      <c r="P9" s="47">
        <f t="shared" si="2"/>
        <v>1.46</v>
      </c>
      <c r="Q9" s="47">
        <f t="shared" si="0"/>
        <v>1.2481340179360001</v>
      </c>
      <c r="R9" s="47"/>
      <c r="S9" s="48">
        <f t="shared" si="3"/>
        <v>1.1366000000000001</v>
      </c>
      <c r="T9" s="48">
        <f t="shared" si="4"/>
        <v>2.2732000000000001</v>
      </c>
      <c r="U9" s="48">
        <f t="shared" si="5"/>
        <v>3.3188720000000003</v>
      </c>
      <c r="V9" s="48">
        <f t="shared" si="6"/>
        <v>3.3188720000000003</v>
      </c>
      <c r="W9" s="48">
        <f t="shared" si="7"/>
        <v>3.3188720000000003</v>
      </c>
    </row>
    <row r="10" spans="1:23" x14ac:dyDescent="0.25">
      <c r="A10" s="38" t="s">
        <v>772</v>
      </c>
      <c r="B10" s="47" t="s">
        <v>528</v>
      </c>
      <c r="C10" s="38" t="s">
        <v>529</v>
      </c>
      <c r="D10" s="38" t="s">
        <v>529</v>
      </c>
      <c r="E10" s="38">
        <v>1151</v>
      </c>
      <c r="F10" s="38">
        <v>2</v>
      </c>
      <c r="G10" s="38">
        <v>4</v>
      </c>
      <c r="H10" s="38">
        <v>3.7</v>
      </c>
      <c r="I10" s="38">
        <v>3.7</v>
      </c>
      <c r="J10" s="38">
        <v>64</v>
      </c>
      <c r="K10" s="38">
        <v>256</v>
      </c>
      <c r="L10" s="38">
        <v>3072</v>
      </c>
      <c r="M10" s="38" t="s">
        <v>749</v>
      </c>
      <c r="N10" s="47"/>
      <c r="O10" s="47">
        <f t="shared" si="1"/>
        <v>1.1034314575050761</v>
      </c>
      <c r="P10" s="47">
        <f t="shared" si="2"/>
        <v>1.46</v>
      </c>
      <c r="Q10" s="47">
        <f t="shared" si="0"/>
        <v>1.2481340179360001</v>
      </c>
      <c r="R10" s="47"/>
      <c r="S10" s="48">
        <f t="shared" si="3"/>
        <v>1.0903</v>
      </c>
      <c r="T10" s="48">
        <f t="shared" si="4"/>
        <v>2.1806000000000001</v>
      </c>
      <c r="U10" s="48">
        <f t="shared" si="5"/>
        <v>3.1836760000000002</v>
      </c>
      <c r="V10" s="48">
        <f t="shared" si="6"/>
        <v>3.1836760000000002</v>
      </c>
      <c r="W10" s="48">
        <f t="shared" si="7"/>
        <v>3.1836760000000002</v>
      </c>
    </row>
    <row r="11" spans="1:23" x14ac:dyDescent="0.25">
      <c r="A11" s="38" t="s">
        <v>772</v>
      </c>
      <c r="B11" s="47" t="s">
        <v>541</v>
      </c>
      <c r="C11" s="38" t="s">
        <v>529</v>
      </c>
      <c r="D11" s="38" t="s">
        <v>529</v>
      </c>
      <c r="E11" s="38">
        <v>1151</v>
      </c>
      <c r="F11" s="38">
        <v>2</v>
      </c>
      <c r="G11" s="38">
        <v>2</v>
      </c>
      <c r="H11" s="38">
        <v>3.6</v>
      </c>
      <c r="I11" s="38">
        <v>3.6</v>
      </c>
      <c r="J11" s="38">
        <v>64</v>
      </c>
      <c r="K11" s="38">
        <v>256</v>
      </c>
      <c r="L11" s="38">
        <v>3072</v>
      </c>
      <c r="M11" s="38"/>
      <c r="N11" s="47"/>
      <c r="O11" s="47">
        <f t="shared" si="1"/>
        <v>1.1034314575050761</v>
      </c>
      <c r="P11" s="47">
        <f t="shared" si="2"/>
        <v>1</v>
      </c>
      <c r="Q11" s="47">
        <f t="shared" si="0"/>
        <v>1.2481340179360001</v>
      </c>
      <c r="R11" s="47"/>
      <c r="S11" s="48">
        <f t="shared" si="3"/>
        <v>1.0608</v>
      </c>
      <c r="T11" s="48">
        <f t="shared" si="4"/>
        <v>2.1215999999999999</v>
      </c>
      <c r="U11" s="48">
        <f t="shared" si="5"/>
        <v>2.1215999999999999</v>
      </c>
      <c r="V11" s="48">
        <f t="shared" si="6"/>
        <v>2.1215999999999999</v>
      </c>
      <c r="W11" s="48">
        <f t="shared" si="7"/>
        <v>2.1215999999999999</v>
      </c>
    </row>
    <row r="12" spans="1:23" x14ac:dyDescent="0.25">
      <c r="A12" s="38" t="s">
        <v>772</v>
      </c>
      <c r="B12" s="47" t="s">
        <v>540</v>
      </c>
      <c r="C12" s="38" t="s">
        <v>529</v>
      </c>
      <c r="D12" s="38" t="s">
        <v>529</v>
      </c>
      <c r="E12" s="38">
        <v>1151</v>
      </c>
      <c r="F12" s="38">
        <v>2</v>
      </c>
      <c r="G12" s="38">
        <v>2</v>
      </c>
      <c r="H12" s="38">
        <v>3.5</v>
      </c>
      <c r="I12" s="38">
        <v>3.5</v>
      </c>
      <c r="J12" s="38">
        <v>64</v>
      </c>
      <c r="K12" s="38">
        <v>256</v>
      </c>
      <c r="L12" s="38">
        <v>3072</v>
      </c>
      <c r="M12" s="38"/>
      <c r="N12" s="47"/>
      <c r="O12" s="47">
        <f t="shared" si="1"/>
        <v>1.1034314575050761</v>
      </c>
      <c r="P12" s="47">
        <f t="shared" si="2"/>
        <v>1</v>
      </c>
      <c r="Q12" s="47">
        <f t="shared" si="0"/>
        <v>1.2481340179360001</v>
      </c>
      <c r="R12" s="47"/>
      <c r="S12" s="48">
        <f t="shared" si="3"/>
        <v>1.0314000000000001</v>
      </c>
      <c r="T12" s="48">
        <f t="shared" si="4"/>
        <v>2.0628000000000002</v>
      </c>
      <c r="U12" s="48">
        <f t="shared" si="5"/>
        <v>2.0628000000000002</v>
      </c>
      <c r="V12" s="48">
        <f t="shared" si="6"/>
        <v>2.0628000000000002</v>
      </c>
      <c r="W12" s="48">
        <f t="shared" si="7"/>
        <v>2.0628000000000002</v>
      </c>
    </row>
    <row r="13" spans="1:23" x14ac:dyDescent="0.25">
      <c r="A13" s="38" t="s">
        <v>772</v>
      </c>
      <c r="B13" s="47" t="s">
        <v>538</v>
      </c>
      <c r="C13" s="38" t="s">
        <v>529</v>
      </c>
      <c r="D13" s="38" t="s">
        <v>529</v>
      </c>
      <c r="E13" s="38">
        <v>1151</v>
      </c>
      <c r="F13" s="38">
        <v>2</v>
      </c>
      <c r="G13" s="38">
        <v>2</v>
      </c>
      <c r="H13" s="38">
        <v>3.3</v>
      </c>
      <c r="I13" s="38">
        <v>3.3</v>
      </c>
      <c r="J13" s="38">
        <v>64</v>
      </c>
      <c r="K13" s="38">
        <v>256</v>
      </c>
      <c r="L13" s="38">
        <v>3072</v>
      </c>
      <c r="M13" s="38"/>
      <c r="N13" s="47"/>
      <c r="O13" s="47">
        <f t="shared" si="1"/>
        <v>1.1034314575050761</v>
      </c>
      <c r="P13" s="47">
        <f t="shared" si="2"/>
        <v>1</v>
      </c>
      <c r="Q13" s="47">
        <f t="shared" si="0"/>
        <v>1.2481340179360001</v>
      </c>
      <c r="R13" s="47"/>
      <c r="S13" s="48">
        <f t="shared" si="3"/>
        <v>0.97240000000000004</v>
      </c>
      <c r="T13" s="48">
        <f t="shared" si="4"/>
        <v>1.9448000000000001</v>
      </c>
      <c r="U13" s="48">
        <f t="shared" si="5"/>
        <v>1.9448000000000001</v>
      </c>
      <c r="V13" s="48">
        <f t="shared" si="6"/>
        <v>1.9448000000000001</v>
      </c>
      <c r="W13" s="48">
        <f t="shared" si="7"/>
        <v>1.9448000000000001</v>
      </c>
    </row>
    <row r="14" spans="1:23" x14ac:dyDescent="0.25">
      <c r="A14" s="38" t="s">
        <v>772</v>
      </c>
      <c r="B14" s="47" t="s">
        <v>543</v>
      </c>
      <c r="C14" s="38" t="s">
        <v>529</v>
      </c>
      <c r="D14" s="38" t="s">
        <v>529</v>
      </c>
      <c r="E14" s="38">
        <v>1151</v>
      </c>
      <c r="F14" s="38">
        <v>2</v>
      </c>
      <c r="G14" s="38">
        <v>2</v>
      </c>
      <c r="H14" s="38">
        <v>2.9</v>
      </c>
      <c r="I14" s="38">
        <v>2.9</v>
      </c>
      <c r="J14" s="38">
        <v>64</v>
      </c>
      <c r="K14" s="38">
        <v>256</v>
      </c>
      <c r="L14" s="38">
        <v>2048</v>
      </c>
      <c r="M14" s="38"/>
      <c r="N14" s="47"/>
      <c r="O14" s="47">
        <f t="shared" si="1"/>
        <v>1.08</v>
      </c>
      <c r="P14" s="47">
        <f t="shared" si="2"/>
        <v>1</v>
      </c>
      <c r="Q14" s="47">
        <f>Q15</f>
        <v>1.2481340179360001</v>
      </c>
      <c r="R14" s="47"/>
      <c r="S14" s="48">
        <f t="shared" si="3"/>
        <v>0.83640000000000003</v>
      </c>
      <c r="T14" s="48">
        <f t="shared" si="4"/>
        <v>1.6728000000000001</v>
      </c>
      <c r="U14" s="48">
        <f t="shared" si="5"/>
        <v>1.6728000000000001</v>
      </c>
      <c r="V14" s="48">
        <f t="shared" si="6"/>
        <v>1.6728000000000001</v>
      </c>
      <c r="W14" s="48">
        <f t="shared" si="7"/>
        <v>1.6728000000000001</v>
      </c>
    </row>
    <row r="15" spans="1:23" x14ac:dyDescent="0.25">
      <c r="A15" s="38" t="s">
        <v>772</v>
      </c>
      <c r="B15" s="47" t="s">
        <v>542</v>
      </c>
      <c r="C15" s="38" t="s">
        <v>529</v>
      </c>
      <c r="D15" s="38" t="s">
        <v>748</v>
      </c>
      <c r="E15" s="38">
        <v>1151</v>
      </c>
      <c r="F15" s="38">
        <v>2</v>
      </c>
      <c r="G15" s="38">
        <v>2</v>
      </c>
      <c r="H15" s="38">
        <v>2.8</v>
      </c>
      <c r="I15" s="38">
        <v>2.8</v>
      </c>
      <c r="J15" s="38">
        <v>64</v>
      </c>
      <c r="K15" s="38">
        <v>256</v>
      </c>
      <c r="L15" s="38">
        <v>2048</v>
      </c>
      <c r="M15" s="38"/>
      <c r="N15" s="47"/>
      <c r="O15" s="47">
        <f t="shared" si="1"/>
        <v>1.08</v>
      </c>
      <c r="P15" s="47">
        <f t="shared" si="2"/>
        <v>1</v>
      </c>
      <c r="Q15" s="47">
        <f>Q16*1.027</f>
        <v>1.2481340179360001</v>
      </c>
      <c r="R15" s="47"/>
      <c r="S15" s="48">
        <f t="shared" si="3"/>
        <v>0.80759999999999998</v>
      </c>
      <c r="T15" s="48">
        <f t="shared" si="4"/>
        <v>1.6152</v>
      </c>
      <c r="U15" s="48">
        <f t="shared" si="5"/>
        <v>1.6152</v>
      </c>
      <c r="V15" s="48">
        <f t="shared" si="6"/>
        <v>1.6152</v>
      </c>
      <c r="W15" s="48">
        <f t="shared" si="7"/>
        <v>1.6152</v>
      </c>
    </row>
    <row r="16" spans="1:23" x14ac:dyDescent="0.25">
      <c r="A16" s="38" t="s">
        <v>772</v>
      </c>
      <c r="B16" s="47" t="s">
        <v>377</v>
      </c>
      <c r="C16" s="38" t="s">
        <v>375</v>
      </c>
      <c r="D16" s="38" t="s">
        <v>375</v>
      </c>
      <c r="E16" s="38">
        <v>1150</v>
      </c>
      <c r="F16" s="38">
        <v>4</v>
      </c>
      <c r="G16" s="38">
        <v>8</v>
      </c>
      <c r="H16" s="38">
        <v>3.3</v>
      </c>
      <c r="I16" s="38">
        <v>3.7</v>
      </c>
      <c r="J16" s="38">
        <v>64</v>
      </c>
      <c r="K16" s="38">
        <v>256</v>
      </c>
      <c r="L16" s="38">
        <v>6144</v>
      </c>
      <c r="M16" s="38" t="s">
        <v>749</v>
      </c>
      <c r="N16" s="47"/>
      <c r="O16" s="47">
        <f t="shared" si="1"/>
        <v>1.1400000000000001</v>
      </c>
      <c r="P16" s="47">
        <f t="shared" si="2"/>
        <v>1.46</v>
      </c>
      <c r="Q16" s="47">
        <f>Q17</f>
        <v>1.2153203680000002</v>
      </c>
      <c r="R16" s="47"/>
      <c r="S16" s="48">
        <f t="shared" si="3"/>
        <v>0.97820000000000007</v>
      </c>
      <c r="T16" s="48">
        <f t="shared" si="4"/>
        <v>1.9564000000000001</v>
      </c>
      <c r="U16" s="48">
        <f t="shared" si="5"/>
        <v>3.9128000000000003</v>
      </c>
      <c r="V16" s="48">
        <f t="shared" si="6"/>
        <v>5.712688</v>
      </c>
      <c r="W16" s="48">
        <f t="shared" si="7"/>
        <v>5.712688</v>
      </c>
    </row>
    <row r="17" spans="1:23" x14ac:dyDescent="0.25">
      <c r="A17" s="38" t="s">
        <v>772</v>
      </c>
      <c r="B17" s="47" t="s">
        <v>374</v>
      </c>
      <c r="C17" s="38" t="s">
        <v>375</v>
      </c>
      <c r="D17" s="38" t="s">
        <v>375</v>
      </c>
      <c r="E17" s="38">
        <v>1150</v>
      </c>
      <c r="F17" s="38">
        <v>4</v>
      </c>
      <c r="G17" s="38">
        <v>4</v>
      </c>
      <c r="H17" s="38">
        <v>3.1</v>
      </c>
      <c r="I17" s="38">
        <v>3.6</v>
      </c>
      <c r="J17" s="38">
        <v>64</v>
      </c>
      <c r="K17" s="38">
        <v>256</v>
      </c>
      <c r="L17" s="38">
        <v>4096</v>
      </c>
      <c r="M17" s="38"/>
      <c r="N17" s="47"/>
      <c r="O17" s="47">
        <f t="shared" si="1"/>
        <v>1.1200000000000001</v>
      </c>
      <c r="P17" s="47">
        <f t="shared" si="2"/>
        <v>1</v>
      </c>
      <c r="Q17" s="47">
        <f>Q18*1.033</f>
        <v>1.2153203680000002</v>
      </c>
      <c r="R17" s="47"/>
      <c r="S17" s="48">
        <f t="shared" si="3"/>
        <v>0.90280000000000005</v>
      </c>
      <c r="T17" s="48">
        <f t="shared" si="4"/>
        <v>1.8056000000000001</v>
      </c>
      <c r="U17" s="48">
        <f t="shared" si="5"/>
        <v>3.6112000000000002</v>
      </c>
      <c r="V17" s="48">
        <f t="shared" si="6"/>
        <v>3.6112000000000002</v>
      </c>
      <c r="W17" s="48">
        <f t="shared" si="7"/>
        <v>3.6112000000000002</v>
      </c>
    </row>
    <row r="18" spans="1:23" x14ac:dyDescent="0.25">
      <c r="A18" s="38" t="s">
        <v>772</v>
      </c>
      <c r="B18" s="47" t="s">
        <v>421</v>
      </c>
      <c r="C18" s="38" t="s">
        <v>379</v>
      </c>
      <c r="D18" s="38" t="s">
        <v>418</v>
      </c>
      <c r="E18" s="38" t="s">
        <v>419</v>
      </c>
      <c r="F18" s="38">
        <v>8</v>
      </c>
      <c r="G18" s="38">
        <v>16</v>
      </c>
      <c r="H18" s="38">
        <v>3</v>
      </c>
      <c r="I18" s="38">
        <v>3.5</v>
      </c>
      <c r="J18" s="38">
        <v>64</v>
      </c>
      <c r="K18" s="38">
        <v>256</v>
      </c>
      <c r="L18" s="38">
        <v>20480</v>
      </c>
      <c r="M18" s="38" t="s">
        <v>749</v>
      </c>
      <c r="N18" s="47"/>
      <c r="O18" s="47">
        <f t="shared" si="1"/>
        <v>1.1598437500000001</v>
      </c>
      <c r="P18" s="47">
        <f t="shared" si="2"/>
        <v>1.46</v>
      </c>
      <c r="Q18" s="47">
        <f t="shared" ref="Q18:Q74" si="8">Q19</f>
        <v>1.1764960000000002</v>
      </c>
      <c r="R18" s="47"/>
      <c r="S18" s="48">
        <f t="shared" si="3"/>
        <v>0.87590000000000001</v>
      </c>
      <c r="T18" s="48">
        <f t="shared" si="4"/>
        <v>1.7518</v>
      </c>
      <c r="U18" s="48">
        <f t="shared" si="5"/>
        <v>3.5036</v>
      </c>
      <c r="V18" s="48">
        <f t="shared" si="6"/>
        <v>7.0072000000000001</v>
      </c>
      <c r="W18" s="48">
        <f t="shared" si="7"/>
        <v>10.230511999999999</v>
      </c>
    </row>
    <row r="19" spans="1:23" x14ac:dyDescent="0.25">
      <c r="A19" s="38" t="s">
        <v>772</v>
      </c>
      <c r="B19" s="47" t="s">
        <v>420</v>
      </c>
      <c r="C19" s="38" t="s">
        <v>379</v>
      </c>
      <c r="D19" s="38" t="s">
        <v>418</v>
      </c>
      <c r="E19" s="38" t="s">
        <v>419</v>
      </c>
      <c r="F19" s="38">
        <v>6</v>
      </c>
      <c r="G19" s="38">
        <v>12</v>
      </c>
      <c r="H19" s="38">
        <v>3.5</v>
      </c>
      <c r="I19" s="38">
        <v>3.7</v>
      </c>
      <c r="J19" s="38">
        <v>64</v>
      </c>
      <c r="K19" s="38">
        <v>256</v>
      </c>
      <c r="L19" s="38">
        <v>15360</v>
      </c>
      <c r="M19" s="38" t="s">
        <v>749</v>
      </c>
      <c r="N19" s="47"/>
      <c r="O19" s="47">
        <f t="shared" si="1"/>
        <v>1.1591161165235169</v>
      </c>
      <c r="P19" s="47">
        <f t="shared" si="2"/>
        <v>1.46</v>
      </c>
      <c r="Q19" s="47">
        <f t="shared" si="8"/>
        <v>1.1764960000000002</v>
      </c>
      <c r="R19" s="47"/>
      <c r="S19" s="48">
        <f t="shared" si="3"/>
        <v>1.0212000000000001</v>
      </c>
      <c r="T19" s="48">
        <f t="shared" si="4"/>
        <v>2.0424000000000002</v>
      </c>
      <c r="U19" s="48">
        <f t="shared" si="5"/>
        <v>4.0848000000000004</v>
      </c>
      <c r="V19" s="48">
        <f t="shared" si="6"/>
        <v>7.0667040000000005</v>
      </c>
      <c r="W19" s="48">
        <f t="shared" si="7"/>
        <v>8.9457120000000003</v>
      </c>
    </row>
    <row r="20" spans="1:23" x14ac:dyDescent="0.25">
      <c r="A20" s="38" t="s">
        <v>772</v>
      </c>
      <c r="B20" s="47" t="s">
        <v>417</v>
      </c>
      <c r="C20" s="38" t="s">
        <v>379</v>
      </c>
      <c r="D20" s="38" t="s">
        <v>418</v>
      </c>
      <c r="E20" s="38" t="s">
        <v>419</v>
      </c>
      <c r="F20" s="38">
        <v>6</v>
      </c>
      <c r="G20" s="38">
        <v>12</v>
      </c>
      <c r="H20" s="38">
        <v>3.3</v>
      </c>
      <c r="I20" s="38">
        <v>3.6</v>
      </c>
      <c r="J20" s="38">
        <v>64</v>
      </c>
      <c r="K20" s="38">
        <v>256</v>
      </c>
      <c r="L20" s="38">
        <v>15360</v>
      </c>
      <c r="M20" s="38" t="s">
        <v>749</v>
      </c>
      <c r="N20" s="47"/>
      <c r="O20" s="47">
        <f t="shared" si="1"/>
        <v>1.1591161165235169</v>
      </c>
      <c r="P20" s="47">
        <f t="shared" si="2"/>
        <v>1.46</v>
      </c>
      <c r="Q20" s="47">
        <f t="shared" si="8"/>
        <v>1.1764960000000002</v>
      </c>
      <c r="R20" s="47"/>
      <c r="S20" s="48">
        <f t="shared" si="3"/>
        <v>0.96290000000000009</v>
      </c>
      <c r="T20" s="48">
        <f t="shared" si="4"/>
        <v>1.9258000000000002</v>
      </c>
      <c r="U20" s="48">
        <f t="shared" si="5"/>
        <v>3.8516000000000004</v>
      </c>
      <c r="V20" s="48">
        <f t="shared" si="6"/>
        <v>6.6632680000000004</v>
      </c>
      <c r="W20" s="48">
        <f t="shared" si="7"/>
        <v>8.4350040000000011</v>
      </c>
    </row>
    <row r="21" spans="1:23" x14ac:dyDescent="0.25">
      <c r="A21" s="38" t="s">
        <v>772</v>
      </c>
      <c r="B21" s="47" t="s">
        <v>406</v>
      </c>
      <c r="C21" s="38" t="s">
        <v>379</v>
      </c>
      <c r="D21" s="38" t="s">
        <v>379</v>
      </c>
      <c r="E21" s="38">
        <v>1150</v>
      </c>
      <c r="F21" s="38">
        <v>4</v>
      </c>
      <c r="G21" s="38">
        <v>8</v>
      </c>
      <c r="H21" s="38">
        <v>4</v>
      </c>
      <c r="I21" s="38">
        <v>4.4000000000000004</v>
      </c>
      <c r="J21" s="38">
        <v>64</v>
      </c>
      <c r="K21" s="38">
        <v>256</v>
      </c>
      <c r="L21" s="38">
        <v>8192</v>
      </c>
      <c r="M21" s="38" t="s">
        <v>749</v>
      </c>
      <c r="N21" s="47"/>
      <c r="O21" s="47">
        <f t="shared" si="1"/>
        <v>1.1499999999999999</v>
      </c>
      <c r="P21" s="47">
        <f t="shared" si="2"/>
        <v>1.46</v>
      </c>
      <c r="Q21" s="47">
        <f t="shared" si="8"/>
        <v>1.1764960000000002</v>
      </c>
      <c r="R21" s="47"/>
      <c r="S21" s="48">
        <f t="shared" si="3"/>
        <v>1.1580000000000001</v>
      </c>
      <c r="T21" s="48">
        <f t="shared" si="4"/>
        <v>2.3160000000000003</v>
      </c>
      <c r="U21" s="48">
        <f t="shared" si="5"/>
        <v>4.6320000000000006</v>
      </c>
      <c r="V21" s="48">
        <f t="shared" si="6"/>
        <v>6.7627200000000007</v>
      </c>
      <c r="W21" s="48">
        <f t="shared" si="7"/>
        <v>6.7627200000000007</v>
      </c>
    </row>
    <row r="22" spans="1:23" x14ac:dyDescent="0.25">
      <c r="A22" s="38" t="s">
        <v>772</v>
      </c>
      <c r="B22" s="47" t="s">
        <v>405</v>
      </c>
      <c r="C22" s="38" t="s">
        <v>379</v>
      </c>
      <c r="D22" s="38" t="s">
        <v>379</v>
      </c>
      <c r="E22" s="38">
        <v>1150</v>
      </c>
      <c r="F22" s="38">
        <v>4</v>
      </c>
      <c r="G22" s="38">
        <v>8</v>
      </c>
      <c r="H22" s="38">
        <v>3.5</v>
      </c>
      <c r="I22" s="38">
        <v>3.9</v>
      </c>
      <c r="J22" s="38">
        <v>64</v>
      </c>
      <c r="K22" s="38">
        <v>256</v>
      </c>
      <c r="L22" s="38">
        <v>8192</v>
      </c>
      <c r="M22" s="38" t="s">
        <v>749</v>
      </c>
      <c r="N22" s="47"/>
      <c r="O22" s="47">
        <f t="shared" si="1"/>
        <v>1.1499999999999999</v>
      </c>
      <c r="P22" s="47">
        <f t="shared" si="2"/>
        <v>1.46</v>
      </c>
      <c r="Q22" s="47">
        <f t="shared" si="8"/>
        <v>1.1764960000000002</v>
      </c>
      <c r="R22" s="47"/>
      <c r="S22" s="48">
        <f t="shared" si="3"/>
        <v>1.0132000000000001</v>
      </c>
      <c r="T22" s="48">
        <f t="shared" si="4"/>
        <v>2.0264000000000002</v>
      </c>
      <c r="U22" s="48">
        <f t="shared" si="5"/>
        <v>4.0528000000000004</v>
      </c>
      <c r="V22" s="48">
        <f t="shared" si="6"/>
        <v>5.9170880000000006</v>
      </c>
      <c r="W22" s="48">
        <f t="shared" si="7"/>
        <v>5.9170880000000006</v>
      </c>
    </row>
    <row r="23" spans="1:23" x14ac:dyDescent="0.25">
      <c r="A23" s="38" t="s">
        <v>772</v>
      </c>
      <c r="B23" s="47" t="s">
        <v>404</v>
      </c>
      <c r="C23" s="38" t="s">
        <v>379</v>
      </c>
      <c r="D23" s="38" t="s">
        <v>379</v>
      </c>
      <c r="E23" s="38">
        <v>1150</v>
      </c>
      <c r="F23" s="38">
        <v>4</v>
      </c>
      <c r="G23" s="38">
        <v>8</v>
      </c>
      <c r="H23" s="38">
        <v>3.5</v>
      </c>
      <c r="I23" s="38">
        <v>3.9</v>
      </c>
      <c r="J23" s="38">
        <v>64</v>
      </c>
      <c r="K23" s="38">
        <v>256</v>
      </c>
      <c r="L23" s="38">
        <v>8192</v>
      </c>
      <c r="M23" s="38" t="s">
        <v>749</v>
      </c>
      <c r="N23" s="47"/>
      <c r="O23" s="47">
        <f t="shared" si="1"/>
        <v>1.1499999999999999</v>
      </c>
      <c r="P23" s="47">
        <f t="shared" si="2"/>
        <v>1.46</v>
      </c>
      <c r="Q23" s="47">
        <f t="shared" si="8"/>
        <v>1.1764960000000002</v>
      </c>
      <c r="R23" s="47"/>
      <c r="S23" s="48">
        <f t="shared" si="3"/>
        <v>1.0132000000000001</v>
      </c>
      <c r="T23" s="48">
        <f t="shared" si="4"/>
        <v>2.0264000000000002</v>
      </c>
      <c r="U23" s="48">
        <f t="shared" si="5"/>
        <v>4.0528000000000004</v>
      </c>
      <c r="V23" s="48">
        <f t="shared" si="6"/>
        <v>5.9170880000000006</v>
      </c>
      <c r="W23" s="48">
        <f t="shared" si="7"/>
        <v>5.9170880000000006</v>
      </c>
    </row>
    <row r="24" spans="1:23" x14ac:dyDescent="0.25">
      <c r="A24" s="38" t="s">
        <v>772</v>
      </c>
      <c r="B24" s="47" t="s">
        <v>403</v>
      </c>
      <c r="C24" s="38" t="s">
        <v>379</v>
      </c>
      <c r="D24" s="38" t="s">
        <v>379</v>
      </c>
      <c r="E24" s="38">
        <v>1150</v>
      </c>
      <c r="F24" s="38">
        <v>4</v>
      </c>
      <c r="G24" s="38">
        <v>8</v>
      </c>
      <c r="H24" s="38">
        <v>3.5</v>
      </c>
      <c r="I24" s="38">
        <v>3.9</v>
      </c>
      <c r="J24" s="38">
        <v>64</v>
      </c>
      <c r="K24" s="38">
        <v>256</v>
      </c>
      <c r="L24" s="38">
        <v>8192</v>
      </c>
      <c r="M24" s="38" t="s">
        <v>749</v>
      </c>
      <c r="N24" s="47"/>
      <c r="O24" s="47">
        <f t="shared" si="1"/>
        <v>1.1499999999999999</v>
      </c>
      <c r="P24" s="47">
        <f t="shared" si="2"/>
        <v>1.46</v>
      </c>
      <c r="Q24" s="47">
        <f t="shared" si="8"/>
        <v>1.1764960000000002</v>
      </c>
      <c r="R24" s="47"/>
      <c r="S24" s="48">
        <f t="shared" si="3"/>
        <v>1.0132000000000001</v>
      </c>
      <c r="T24" s="48">
        <f t="shared" si="4"/>
        <v>2.0264000000000002</v>
      </c>
      <c r="U24" s="48">
        <f t="shared" si="5"/>
        <v>4.0528000000000004</v>
      </c>
      <c r="V24" s="48">
        <f t="shared" si="6"/>
        <v>5.9170880000000006</v>
      </c>
      <c r="W24" s="48">
        <f t="shared" si="7"/>
        <v>5.9170880000000006</v>
      </c>
    </row>
    <row r="25" spans="1:23" x14ac:dyDescent="0.25">
      <c r="A25" s="38" t="s">
        <v>772</v>
      </c>
      <c r="B25" s="47" t="s">
        <v>402</v>
      </c>
      <c r="C25" s="38" t="s">
        <v>379</v>
      </c>
      <c r="D25" s="38" t="s">
        <v>379</v>
      </c>
      <c r="E25" s="38">
        <v>1150</v>
      </c>
      <c r="F25" s="38">
        <v>4</v>
      </c>
      <c r="G25" s="38">
        <v>8</v>
      </c>
      <c r="H25" s="38">
        <v>3.4</v>
      </c>
      <c r="I25" s="38">
        <v>3.9</v>
      </c>
      <c r="J25" s="38">
        <v>64</v>
      </c>
      <c r="K25" s="38">
        <v>256</v>
      </c>
      <c r="L25" s="38">
        <v>8192</v>
      </c>
      <c r="M25" s="38" t="s">
        <v>749</v>
      </c>
      <c r="N25" s="47"/>
      <c r="O25" s="47">
        <f t="shared" si="1"/>
        <v>1.1499999999999999</v>
      </c>
      <c r="P25" s="47">
        <f t="shared" si="2"/>
        <v>1.46</v>
      </c>
      <c r="Q25" s="47">
        <f t="shared" si="8"/>
        <v>1.1764960000000002</v>
      </c>
      <c r="R25" s="47"/>
      <c r="S25" s="48">
        <f t="shared" si="3"/>
        <v>0.98430000000000006</v>
      </c>
      <c r="T25" s="48">
        <f t="shared" si="4"/>
        <v>1.9686000000000001</v>
      </c>
      <c r="U25" s="48">
        <f t="shared" si="5"/>
        <v>3.9372000000000003</v>
      </c>
      <c r="V25" s="48">
        <f t="shared" si="6"/>
        <v>5.7483120000000003</v>
      </c>
      <c r="W25" s="48">
        <f t="shared" si="7"/>
        <v>5.7483120000000003</v>
      </c>
    </row>
    <row r="26" spans="1:23" x14ac:dyDescent="0.25">
      <c r="A26" s="38" t="s">
        <v>772</v>
      </c>
      <c r="B26" s="47" t="s">
        <v>441</v>
      </c>
      <c r="C26" s="38" t="s">
        <v>379</v>
      </c>
      <c r="D26" s="38" t="s">
        <v>423</v>
      </c>
      <c r="E26" s="38">
        <v>1150</v>
      </c>
      <c r="F26" s="38">
        <v>4</v>
      </c>
      <c r="G26" s="38">
        <v>8</v>
      </c>
      <c r="H26" s="38">
        <v>3.7</v>
      </c>
      <c r="I26" s="38">
        <v>4.0999999999999996</v>
      </c>
      <c r="J26" s="38">
        <v>64</v>
      </c>
      <c r="K26" s="38">
        <v>256</v>
      </c>
      <c r="L26" s="38">
        <v>8192</v>
      </c>
      <c r="M26" s="38" t="s">
        <v>749</v>
      </c>
      <c r="N26" s="47"/>
      <c r="O26" s="47">
        <f t="shared" si="1"/>
        <v>1.1499999999999999</v>
      </c>
      <c r="P26" s="47">
        <f t="shared" si="2"/>
        <v>1.46</v>
      </c>
      <c r="Q26" s="47">
        <f t="shared" si="8"/>
        <v>1.1764960000000002</v>
      </c>
      <c r="R26" s="47"/>
      <c r="S26" s="48">
        <f t="shared" si="3"/>
        <v>1.0710999999999999</v>
      </c>
      <c r="T26" s="48">
        <f t="shared" si="4"/>
        <v>2.1421999999999999</v>
      </c>
      <c r="U26" s="48">
        <f t="shared" si="5"/>
        <v>4.2843999999999998</v>
      </c>
      <c r="V26" s="48">
        <f t="shared" si="6"/>
        <v>6.2552239999999992</v>
      </c>
      <c r="W26" s="48">
        <f t="shared" si="7"/>
        <v>6.2552239999999992</v>
      </c>
    </row>
    <row r="27" spans="1:23" x14ac:dyDescent="0.25">
      <c r="A27" s="38" t="s">
        <v>772</v>
      </c>
      <c r="B27" s="47" t="s">
        <v>439</v>
      </c>
      <c r="C27" s="38" t="s">
        <v>379</v>
      </c>
      <c r="D27" s="38" t="s">
        <v>423</v>
      </c>
      <c r="E27" s="38">
        <v>1150</v>
      </c>
      <c r="F27" s="38">
        <v>4</v>
      </c>
      <c r="G27" s="38">
        <v>8</v>
      </c>
      <c r="H27" s="38">
        <v>3.6</v>
      </c>
      <c r="I27" s="38">
        <v>4</v>
      </c>
      <c r="J27" s="38">
        <v>64</v>
      </c>
      <c r="K27" s="38">
        <v>256</v>
      </c>
      <c r="L27" s="38">
        <v>8192</v>
      </c>
      <c r="M27" s="38" t="s">
        <v>749</v>
      </c>
      <c r="N27" s="47"/>
      <c r="O27" s="47">
        <f t="shared" si="1"/>
        <v>1.1499999999999999</v>
      </c>
      <c r="P27" s="47">
        <f t="shared" si="2"/>
        <v>1.46</v>
      </c>
      <c r="Q27" s="47">
        <f t="shared" si="8"/>
        <v>1.1764960000000002</v>
      </c>
      <c r="R27" s="47"/>
      <c r="S27" s="48">
        <f t="shared" si="3"/>
        <v>1.0422</v>
      </c>
      <c r="T27" s="48">
        <f t="shared" si="4"/>
        <v>2.0844</v>
      </c>
      <c r="U27" s="48">
        <f t="shared" si="5"/>
        <v>4.1688000000000001</v>
      </c>
      <c r="V27" s="48">
        <f t="shared" si="6"/>
        <v>6.0864479999999999</v>
      </c>
      <c r="W27" s="48">
        <f t="shared" si="7"/>
        <v>6.0864479999999999</v>
      </c>
    </row>
    <row r="28" spans="1:23" x14ac:dyDescent="0.25">
      <c r="A28" s="38" t="s">
        <v>772</v>
      </c>
      <c r="B28" s="47" t="s">
        <v>438</v>
      </c>
      <c r="C28" s="38" t="s">
        <v>379</v>
      </c>
      <c r="D28" s="38" t="s">
        <v>423</v>
      </c>
      <c r="E28" s="38">
        <v>1150</v>
      </c>
      <c r="F28" s="38">
        <v>4</v>
      </c>
      <c r="G28" s="38">
        <v>8</v>
      </c>
      <c r="H28" s="38">
        <v>3.7</v>
      </c>
      <c r="I28" s="38">
        <v>4.0999999999999996</v>
      </c>
      <c r="J28" s="38">
        <v>64</v>
      </c>
      <c r="K28" s="38">
        <v>256</v>
      </c>
      <c r="L28" s="38">
        <v>8192</v>
      </c>
      <c r="M28" s="38" t="s">
        <v>749</v>
      </c>
      <c r="N28" s="47"/>
      <c r="O28" s="47">
        <f t="shared" si="1"/>
        <v>1.1499999999999999</v>
      </c>
      <c r="P28" s="47">
        <f t="shared" si="2"/>
        <v>1.46</v>
      </c>
      <c r="Q28" s="47">
        <f t="shared" si="8"/>
        <v>1.1764960000000002</v>
      </c>
      <c r="R28" s="47"/>
      <c r="S28" s="48">
        <f t="shared" si="3"/>
        <v>1.0710999999999999</v>
      </c>
      <c r="T28" s="48">
        <f t="shared" si="4"/>
        <v>2.1421999999999999</v>
      </c>
      <c r="U28" s="48">
        <f t="shared" si="5"/>
        <v>4.2843999999999998</v>
      </c>
      <c r="V28" s="48">
        <f t="shared" si="6"/>
        <v>6.2552239999999992</v>
      </c>
      <c r="W28" s="48">
        <f t="shared" si="7"/>
        <v>6.2552239999999992</v>
      </c>
    </row>
    <row r="29" spans="1:23" x14ac:dyDescent="0.25">
      <c r="A29" s="38" t="s">
        <v>772</v>
      </c>
      <c r="B29" s="47" t="s">
        <v>437</v>
      </c>
      <c r="C29" s="38" t="s">
        <v>379</v>
      </c>
      <c r="D29" s="38" t="s">
        <v>423</v>
      </c>
      <c r="E29" s="38">
        <v>1150</v>
      </c>
      <c r="F29" s="38">
        <v>4</v>
      </c>
      <c r="G29" s="38">
        <v>8</v>
      </c>
      <c r="H29" s="38">
        <v>3.6</v>
      </c>
      <c r="I29" s="38">
        <v>4</v>
      </c>
      <c r="J29" s="38">
        <v>64</v>
      </c>
      <c r="K29" s="38">
        <v>256</v>
      </c>
      <c r="L29" s="38">
        <v>8192</v>
      </c>
      <c r="M29" s="38" t="s">
        <v>749</v>
      </c>
      <c r="N29" s="47"/>
      <c r="O29" s="47">
        <f t="shared" si="1"/>
        <v>1.1499999999999999</v>
      </c>
      <c r="P29" s="47">
        <f t="shared" si="2"/>
        <v>1.46</v>
      </c>
      <c r="Q29" s="47">
        <f t="shared" si="8"/>
        <v>1.1764960000000002</v>
      </c>
      <c r="R29" s="47"/>
      <c r="S29" s="48">
        <f t="shared" si="3"/>
        <v>1.0422</v>
      </c>
      <c r="T29" s="48">
        <f t="shared" si="4"/>
        <v>2.0844</v>
      </c>
      <c r="U29" s="48">
        <f t="shared" si="5"/>
        <v>4.1688000000000001</v>
      </c>
      <c r="V29" s="48">
        <f t="shared" si="6"/>
        <v>6.0864479999999999</v>
      </c>
      <c r="W29" s="48">
        <f t="shared" si="7"/>
        <v>6.0864479999999999</v>
      </c>
    </row>
    <row r="30" spans="1:23" x14ac:dyDescent="0.25">
      <c r="A30" s="38" t="s">
        <v>772</v>
      </c>
      <c r="B30" s="47" t="s">
        <v>436</v>
      </c>
      <c r="C30" s="38" t="s">
        <v>379</v>
      </c>
      <c r="D30" s="38" t="s">
        <v>423</v>
      </c>
      <c r="E30" s="38">
        <v>1150</v>
      </c>
      <c r="F30" s="38">
        <v>4</v>
      </c>
      <c r="G30" s="38">
        <v>8</v>
      </c>
      <c r="H30" s="38">
        <v>3.6</v>
      </c>
      <c r="I30" s="38">
        <v>4</v>
      </c>
      <c r="J30" s="38">
        <v>64</v>
      </c>
      <c r="K30" s="38">
        <v>256</v>
      </c>
      <c r="L30" s="38">
        <v>8192</v>
      </c>
      <c r="M30" s="38" t="s">
        <v>749</v>
      </c>
      <c r="N30" s="47"/>
      <c r="O30" s="47">
        <f t="shared" si="1"/>
        <v>1.1499999999999999</v>
      </c>
      <c r="P30" s="47">
        <f t="shared" si="2"/>
        <v>1.46</v>
      </c>
      <c r="Q30" s="47">
        <f t="shared" si="8"/>
        <v>1.1764960000000002</v>
      </c>
      <c r="R30" s="47"/>
      <c r="S30" s="48">
        <f t="shared" si="3"/>
        <v>1.0422</v>
      </c>
      <c r="T30" s="48">
        <f t="shared" si="4"/>
        <v>2.0844</v>
      </c>
      <c r="U30" s="48">
        <f t="shared" si="5"/>
        <v>4.1688000000000001</v>
      </c>
      <c r="V30" s="48">
        <f t="shared" si="6"/>
        <v>6.0864479999999999</v>
      </c>
      <c r="W30" s="48">
        <f t="shared" si="7"/>
        <v>6.0864479999999999</v>
      </c>
    </row>
    <row r="31" spans="1:23" x14ac:dyDescent="0.25">
      <c r="A31" s="38" t="s">
        <v>772</v>
      </c>
      <c r="B31" s="47" t="s">
        <v>435</v>
      </c>
      <c r="C31" s="38" t="s">
        <v>379</v>
      </c>
      <c r="D31" s="38" t="s">
        <v>423</v>
      </c>
      <c r="E31" s="38">
        <v>1150</v>
      </c>
      <c r="F31" s="38">
        <v>4</v>
      </c>
      <c r="G31" s="38">
        <v>8</v>
      </c>
      <c r="H31" s="38">
        <v>3.5</v>
      </c>
      <c r="I31" s="38">
        <v>3.9</v>
      </c>
      <c r="J31" s="38">
        <v>64</v>
      </c>
      <c r="K31" s="38">
        <v>256</v>
      </c>
      <c r="L31" s="38">
        <v>8192</v>
      </c>
      <c r="M31" s="38" t="s">
        <v>749</v>
      </c>
      <c r="N31" s="47"/>
      <c r="O31" s="47">
        <f t="shared" si="1"/>
        <v>1.1499999999999999</v>
      </c>
      <c r="P31" s="47">
        <f t="shared" si="2"/>
        <v>1.46</v>
      </c>
      <c r="Q31" s="47">
        <f t="shared" si="8"/>
        <v>1.1764960000000002</v>
      </c>
      <c r="R31" s="47"/>
      <c r="S31" s="48">
        <f t="shared" si="3"/>
        <v>1.0132000000000001</v>
      </c>
      <c r="T31" s="48">
        <f t="shared" si="4"/>
        <v>2.0264000000000002</v>
      </c>
      <c r="U31" s="48">
        <f t="shared" si="5"/>
        <v>4.0528000000000004</v>
      </c>
      <c r="V31" s="48">
        <f t="shared" si="6"/>
        <v>5.9170880000000006</v>
      </c>
      <c r="W31" s="48">
        <f t="shared" si="7"/>
        <v>5.9170880000000006</v>
      </c>
    </row>
    <row r="32" spans="1:23" x14ac:dyDescent="0.25">
      <c r="A32" s="38" t="s">
        <v>772</v>
      </c>
      <c r="B32" s="47" t="s">
        <v>434</v>
      </c>
      <c r="C32" s="38" t="s">
        <v>379</v>
      </c>
      <c r="D32" s="38" t="s">
        <v>423</v>
      </c>
      <c r="E32" s="38">
        <v>1150</v>
      </c>
      <c r="F32" s="38">
        <v>4</v>
      </c>
      <c r="G32" s="38">
        <v>8</v>
      </c>
      <c r="H32" s="38">
        <v>3.6</v>
      </c>
      <c r="I32" s="38">
        <v>4</v>
      </c>
      <c r="J32" s="38">
        <v>64</v>
      </c>
      <c r="K32" s="38">
        <v>256</v>
      </c>
      <c r="L32" s="38">
        <v>8192</v>
      </c>
      <c r="M32" s="38" t="s">
        <v>749</v>
      </c>
      <c r="N32" s="47"/>
      <c r="O32" s="47">
        <f t="shared" si="1"/>
        <v>1.1499999999999999</v>
      </c>
      <c r="P32" s="47">
        <f>IF(M32="O",IF(UPPER(A32)="INTEL",1.46,1.5),1)</f>
        <v>1.46</v>
      </c>
      <c r="Q32" s="47">
        <f t="shared" si="8"/>
        <v>1.1764960000000002</v>
      </c>
      <c r="R32" s="47"/>
      <c r="S32" s="48">
        <f t="shared" si="3"/>
        <v>1.0422</v>
      </c>
      <c r="T32" s="48">
        <f t="shared" si="4"/>
        <v>2.0844</v>
      </c>
      <c r="U32" s="48">
        <f t="shared" si="5"/>
        <v>4.1688000000000001</v>
      </c>
      <c r="V32" s="48">
        <f t="shared" si="6"/>
        <v>6.0864479999999999</v>
      </c>
      <c r="W32" s="48">
        <f t="shared" si="7"/>
        <v>6.0864479999999999</v>
      </c>
    </row>
    <row r="33" spans="1:23" x14ac:dyDescent="0.25">
      <c r="A33" s="38" t="s">
        <v>772</v>
      </c>
      <c r="B33" s="47" t="s">
        <v>433</v>
      </c>
      <c r="C33" s="38" t="s">
        <v>379</v>
      </c>
      <c r="D33" s="38" t="s">
        <v>423</v>
      </c>
      <c r="E33" s="38">
        <v>1150</v>
      </c>
      <c r="F33" s="38">
        <v>4</v>
      </c>
      <c r="G33" s="38">
        <v>8</v>
      </c>
      <c r="H33" s="38">
        <v>3.5</v>
      </c>
      <c r="I33" s="38">
        <v>3.9</v>
      </c>
      <c r="J33" s="38">
        <v>64</v>
      </c>
      <c r="K33" s="38">
        <v>256</v>
      </c>
      <c r="L33" s="38">
        <v>8192</v>
      </c>
      <c r="M33" s="38" t="s">
        <v>749</v>
      </c>
      <c r="N33" s="47"/>
      <c r="O33" s="47">
        <f t="shared" si="1"/>
        <v>1.1499999999999999</v>
      </c>
      <c r="P33" s="47">
        <f t="shared" si="2"/>
        <v>1.46</v>
      </c>
      <c r="Q33" s="47">
        <f t="shared" si="8"/>
        <v>1.1764960000000002</v>
      </c>
      <c r="R33" s="47"/>
      <c r="S33" s="48">
        <f t="shared" si="3"/>
        <v>1.0132000000000001</v>
      </c>
      <c r="T33" s="48">
        <f t="shared" si="4"/>
        <v>2.0264000000000002</v>
      </c>
      <c r="U33" s="48">
        <f t="shared" si="5"/>
        <v>4.0528000000000004</v>
      </c>
      <c r="V33" s="48">
        <f t="shared" si="6"/>
        <v>5.9170880000000006</v>
      </c>
      <c r="W33" s="48">
        <f t="shared" si="7"/>
        <v>5.9170880000000006</v>
      </c>
    </row>
    <row r="34" spans="1:23" x14ac:dyDescent="0.25">
      <c r="A34" s="38" t="s">
        <v>772</v>
      </c>
      <c r="B34" s="47" t="s">
        <v>432</v>
      </c>
      <c r="C34" s="38" t="s">
        <v>379</v>
      </c>
      <c r="D34" s="38" t="s">
        <v>423</v>
      </c>
      <c r="E34" s="38">
        <v>1150</v>
      </c>
      <c r="F34" s="38">
        <v>4</v>
      </c>
      <c r="G34" s="38">
        <v>8</v>
      </c>
      <c r="H34" s="38">
        <v>3.5</v>
      </c>
      <c r="I34" s="38">
        <v>3.9</v>
      </c>
      <c r="J34" s="38">
        <v>64</v>
      </c>
      <c r="K34" s="38">
        <v>256</v>
      </c>
      <c r="L34" s="38">
        <v>8192</v>
      </c>
      <c r="M34" s="38" t="s">
        <v>749</v>
      </c>
      <c r="N34" s="47"/>
      <c r="O34" s="47">
        <f t="shared" si="1"/>
        <v>1.1499999999999999</v>
      </c>
      <c r="P34" s="47">
        <f t="shared" si="2"/>
        <v>1.46</v>
      </c>
      <c r="Q34" s="47">
        <f t="shared" si="8"/>
        <v>1.1764960000000002</v>
      </c>
      <c r="R34" s="47"/>
      <c r="S34" s="48">
        <f t="shared" si="3"/>
        <v>1.0132000000000001</v>
      </c>
      <c r="T34" s="48">
        <f t="shared" si="4"/>
        <v>2.0264000000000002</v>
      </c>
      <c r="U34" s="48">
        <f t="shared" si="5"/>
        <v>4.0528000000000004</v>
      </c>
      <c r="V34" s="48">
        <f t="shared" si="6"/>
        <v>5.9170880000000006</v>
      </c>
      <c r="W34" s="48">
        <f t="shared" si="7"/>
        <v>5.9170880000000006</v>
      </c>
    </row>
    <row r="35" spans="1:23" x14ac:dyDescent="0.25">
      <c r="A35" s="38" t="s">
        <v>772</v>
      </c>
      <c r="B35" s="47" t="s">
        <v>431</v>
      </c>
      <c r="C35" s="38" t="s">
        <v>379</v>
      </c>
      <c r="D35" s="38" t="s">
        <v>423</v>
      </c>
      <c r="E35" s="38">
        <v>1150</v>
      </c>
      <c r="F35" s="38">
        <v>4</v>
      </c>
      <c r="G35" s="38">
        <v>8</v>
      </c>
      <c r="H35" s="38">
        <v>3.4</v>
      </c>
      <c r="I35" s="38">
        <v>3.8</v>
      </c>
      <c r="J35" s="38">
        <v>64</v>
      </c>
      <c r="K35" s="38">
        <v>256</v>
      </c>
      <c r="L35" s="38">
        <v>8192</v>
      </c>
      <c r="M35" s="38" t="s">
        <v>749</v>
      </c>
      <c r="N35" s="47"/>
      <c r="O35" s="47">
        <f t="shared" si="1"/>
        <v>1.1499999999999999</v>
      </c>
      <c r="P35" s="47">
        <f t="shared" si="2"/>
        <v>1.46</v>
      </c>
      <c r="Q35" s="47">
        <f t="shared" si="8"/>
        <v>1.1764960000000002</v>
      </c>
      <c r="R35" s="47"/>
      <c r="S35" s="48">
        <f t="shared" si="3"/>
        <v>0.98430000000000006</v>
      </c>
      <c r="T35" s="48">
        <f t="shared" si="4"/>
        <v>1.9686000000000001</v>
      </c>
      <c r="U35" s="48">
        <f t="shared" si="5"/>
        <v>3.9372000000000003</v>
      </c>
      <c r="V35" s="48">
        <f t="shared" si="6"/>
        <v>5.7483120000000003</v>
      </c>
      <c r="W35" s="48">
        <f t="shared" si="7"/>
        <v>5.7483120000000003</v>
      </c>
    </row>
    <row r="36" spans="1:23" x14ac:dyDescent="0.25">
      <c r="A36" s="38" t="s">
        <v>772</v>
      </c>
      <c r="B36" s="47" t="s">
        <v>430</v>
      </c>
      <c r="C36" s="38" t="s">
        <v>379</v>
      </c>
      <c r="D36" s="38" t="s">
        <v>423</v>
      </c>
      <c r="E36" s="38">
        <v>1150</v>
      </c>
      <c r="F36" s="38">
        <v>4</v>
      </c>
      <c r="G36" s="38">
        <v>8</v>
      </c>
      <c r="H36" s="38">
        <v>3.5</v>
      </c>
      <c r="I36" s="38">
        <v>3.9</v>
      </c>
      <c r="J36" s="38">
        <v>64</v>
      </c>
      <c r="K36" s="38">
        <v>256</v>
      </c>
      <c r="L36" s="38">
        <v>8192</v>
      </c>
      <c r="M36" s="38" t="s">
        <v>749</v>
      </c>
      <c r="N36" s="47"/>
      <c r="O36" s="47">
        <f t="shared" si="1"/>
        <v>1.1499999999999999</v>
      </c>
      <c r="P36" s="47">
        <f t="shared" si="2"/>
        <v>1.46</v>
      </c>
      <c r="Q36" s="47">
        <f t="shared" si="8"/>
        <v>1.1764960000000002</v>
      </c>
      <c r="R36" s="47"/>
      <c r="S36" s="48">
        <f t="shared" si="3"/>
        <v>1.0132000000000001</v>
      </c>
      <c r="T36" s="48">
        <f t="shared" si="4"/>
        <v>2.0264000000000002</v>
      </c>
      <c r="U36" s="48">
        <f t="shared" si="5"/>
        <v>4.0528000000000004</v>
      </c>
      <c r="V36" s="48">
        <f t="shared" si="6"/>
        <v>5.9170880000000006</v>
      </c>
      <c r="W36" s="48">
        <f t="shared" si="7"/>
        <v>5.9170880000000006</v>
      </c>
    </row>
    <row r="37" spans="1:23" x14ac:dyDescent="0.25">
      <c r="A37" s="38" t="s">
        <v>772</v>
      </c>
      <c r="B37" s="47" t="s">
        <v>429</v>
      </c>
      <c r="C37" s="38" t="s">
        <v>379</v>
      </c>
      <c r="D37" s="38" t="s">
        <v>423</v>
      </c>
      <c r="E37" s="38">
        <v>1150</v>
      </c>
      <c r="F37" s="38">
        <v>4</v>
      </c>
      <c r="G37" s="38">
        <v>8</v>
      </c>
      <c r="H37" s="38">
        <v>3.4</v>
      </c>
      <c r="I37" s="38">
        <v>3.8</v>
      </c>
      <c r="J37" s="38">
        <v>64</v>
      </c>
      <c r="K37" s="38">
        <v>256</v>
      </c>
      <c r="L37" s="38">
        <v>8192</v>
      </c>
      <c r="M37" s="38" t="s">
        <v>749</v>
      </c>
      <c r="N37" s="47"/>
      <c r="O37" s="47">
        <f t="shared" si="1"/>
        <v>1.1499999999999999</v>
      </c>
      <c r="P37" s="47">
        <f t="shared" si="2"/>
        <v>1.46</v>
      </c>
      <c r="Q37" s="47">
        <f t="shared" si="8"/>
        <v>1.1764960000000002</v>
      </c>
      <c r="R37" s="47"/>
      <c r="S37" s="48">
        <f t="shared" si="3"/>
        <v>0.98430000000000006</v>
      </c>
      <c r="T37" s="48">
        <f t="shared" si="4"/>
        <v>1.9686000000000001</v>
      </c>
      <c r="U37" s="48">
        <f t="shared" si="5"/>
        <v>3.9372000000000003</v>
      </c>
      <c r="V37" s="48">
        <f t="shared" si="6"/>
        <v>5.7483120000000003</v>
      </c>
      <c r="W37" s="48">
        <f t="shared" si="7"/>
        <v>5.7483120000000003</v>
      </c>
    </row>
    <row r="38" spans="1:23" x14ac:dyDescent="0.25">
      <c r="A38" s="38" t="s">
        <v>772</v>
      </c>
      <c r="B38" s="47" t="s">
        <v>428</v>
      </c>
      <c r="C38" s="38" t="s">
        <v>379</v>
      </c>
      <c r="D38" s="38" t="s">
        <v>423</v>
      </c>
      <c r="E38" s="38">
        <v>1150</v>
      </c>
      <c r="F38" s="38">
        <v>4</v>
      </c>
      <c r="G38" s="38">
        <v>8</v>
      </c>
      <c r="H38" s="38">
        <v>3.4</v>
      </c>
      <c r="I38" s="38">
        <v>3.8</v>
      </c>
      <c r="J38" s="38">
        <v>64</v>
      </c>
      <c r="K38" s="38">
        <v>256</v>
      </c>
      <c r="L38" s="38">
        <v>8192</v>
      </c>
      <c r="M38" s="38" t="s">
        <v>749</v>
      </c>
      <c r="N38" s="47"/>
      <c r="O38" s="47">
        <f t="shared" si="1"/>
        <v>1.1499999999999999</v>
      </c>
      <c r="P38" s="47">
        <f t="shared" si="2"/>
        <v>1.46</v>
      </c>
      <c r="Q38" s="47">
        <f t="shared" si="8"/>
        <v>1.1764960000000002</v>
      </c>
      <c r="R38" s="47"/>
      <c r="S38" s="48">
        <f t="shared" si="3"/>
        <v>0.98430000000000006</v>
      </c>
      <c r="T38" s="48">
        <f t="shared" si="4"/>
        <v>1.9686000000000001</v>
      </c>
      <c r="U38" s="48">
        <f t="shared" si="5"/>
        <v>3.9372000000000003</v>
      </c>
      <c r="V38" s="48">
        <f t="shared" si="6"/>
        <v>5.7483120000000003</v>
      </c>
      <c r="W38" s="48">
        <f t="shared" si="7"/>
        <v>5.7483120000000003</v>
      </c>
    </row>
    <row r="39" spans="1:23" x14ac:dyDescent="0.25">
      <c r="A39" s="38" t="s">
        <v>772</v>
      </c>
      <c r="B39" s="47" t="s">
        <v>427</v>
      </c>
      <c r="C39" s="38" t="s">
        <v>379</v>
      </c>
      <c r="D39" s="38" t="s">
        <v>423</v>
      </c>
      <c r="E39" s="38">
        <v>1150</v>
      </c>
      <c r="F39" s="38">
        <v>4</v>
      </c>
      <c r="G39" s="38">
        <v>8</v>
      </c>
      <c r="H39" s="38">
        <v>3.3</v>
      </c>
      <c r="I39" s="38">
        <v>3.7</v>
      </c>
      <c r="J39" s="38">
        <v>64</v>
      </c>
      <c r="K39" s="38">
        <v>256</v>
      </c>
      <c r="L39" s="38">
        <v>8192</v>
      </c>
      <c r="M39" s="38" t="s">
        <v>749</v>
      </c>
      <c r="N39" s="47"/>
      <c r="O39" s="47">
        <f t="shared" si="1"/>
        <v>1.1499999999999999</v>
      </c>
      <c r="P39" s="47">
        <f t="shared" si="2"/>
        <v>1.46</v>
      </c>
      <c r="Q39" s="47">
        <f t="shared" si="8"/>
        <v>1.1764960000000002</v>
      </c>
      <c r="R39" s="47"/>
      <c r="S39" s="48">
        <f t="shared" si="3"/>
        <v>0.95530000000000004</v>
      </c>
      <c r="T39" s="48">
        <f t="shared" si="4"/>
        <v>1.9106000000000001</v>
      </c>
      <c r="U39" s="48">
        <f t="shared" si="5"/>
        <v>3.8212000000000002</v>
      </c>
      <c r="V39" s="48">
        <f t="shared" si="6"/>
        <v>5.5789520000000001</v>
      </c>
      <c r="W39" s="48">
        <f t="shared" si="7"/>
        <v>5.5789520000000001</v>
      </c>
    </row>
    <row r="40" spans="1:23" x14ac:dyDescent="0.25">
      <c r="A40" s="38" t="s">
        <v>772</v>
      </c>
      <c r="B40" s="47" t="s">
        <v>426</v>
      </c>
      <c r="C40" s="38" t="s">
        <v>379</v>
      </c>
      <c r="D40" s="38" t="s">
        <v>423</v>
      </c>
      <c r="E40" s="38">
        <v>1150</v>
      </c>
      <c r="F40" s="38">
        <v>4</v>
      </c>
      <c r="G40" s="38">
        <v>8</v>
      </c>
      <c r="H40" s="38">
        <v>3.3</v>
      </c>
      <c r="I40" s="38">
        <v>3.7</v>
      </c>
      <c r="J40" s="38">
        <v>64</v>
      </c>
      <c r="K40" s="38">
        <v>256</v>
      </c>
      <c r="L40" s="38">
        <v>8192</v>
      </c>
      <c r="M40" s="38" t="s">
        <v>749</v>
      </c>
      <c r="N40" s="47"/>
      <c r="O40" s="47">
        <f t="shared" si="1"/>
        <v>1.1499999999999999</v>
      </c>
      <c r="P40" s="47">
        <f t="shared" si="2"/>
        <v>1.46</v>
      </c>
      <c r="Q40" s="47">
        <f t="shared" si="8"/>
        <v>1.1764960000000002</v>
      </c>
      <c r="R40" s="47"/>
      <c r="S40" s="48">
        <f t="shared" si="3"/>
        <v>0.95530000000000004</v>
      </c>
      <c r="T40" s="48">
        <f t="shared" si="4"/>
        <v>1.9106000000000001</v>
      </c>
      <c r="U40" s="48">
        <f t="shared" si="5"/>
        <v>3.8212000000000002</v>
      </c>
      <c r="V40" s="48">
        <f t="shared" si="6"/>
        <v>5.5789520000000001</v>
      </c>
      <c r="W40" s="48">
        <f t="shared" si="7"/>
        <v>5.5789520000000001</v>
      </c>
    </row>
    <row r="41" spans="1:23" x14ac:dyDescent="0.25">
      <c r="A41" s="38" t="s">
        <v>772</v>
      </c>
      <c r="B41" s="47" t="s">
        <v>424</v>
      </c>
      <c r="C41" s="38" t="s">
        <v>379</v>
      </c>
      <c r="D41" s="38" t="s">
        <v>423</v>
      </c>
      <c r="E41" s="38">
        <v>1150</v>
      </c>
      <c r="F41" s="38">
        <v>4</v>
      </c>
      <c r="G41" s="38">
        <v>8</v>
      </c>
      <c r="H41" s="38">
        <v>3.2</v>
      </c>
      <c r="I41" s="38">
        <v>3.6</v>
      </c>
      <c r="J41" s="38">
        <v>64</v>
      </c>
      <c r="K41" s="38">
        <v>256</v>
      </c>
      <c r="L41" s="38">
        <v>8192</v>
      </c>
      <c r="M41" s="38" t="s">
        <v>749</v>
      </c>
      <c r="N41" s="47"/>
      <c r="O41" s="47">
        <f t="shared" si="1"/>
        <v>1.1499999999999999</v>
      </c>
      <c r="P41" s="47">
        <f t="shared" si="2"/>
        <v>1.46</v>
      </c>
      <c r="Q41" s="47">
        <f t="shared" si="8"/>
        <v>1.1764960000000002</v>
      </c>
      <c r="R41" s="47"/>
      <c r="S41" s="48">
        <f t="shared" si="3"/>
        <v>0.9264</v>
      </c>
      <c r="T41" s="48">
        <f t="shared" si="4"/>
        <v>1.8528</v>
      </c>
      <c r="U41" s="48">
        <f t="shared" si="5"/>
        <v>3.7056</v>
      </c>
      <c r="V41" s="48">
        <f t="shared" si="6"/>
        <v>5.4101759999999999</v>
      </c>
      <c r="W41" s="48">
        <f t="shared" si="7"/>
        <v>5.4101759999999999</v>
      </c>
    </row>
    <row r="42" spans="1:23" x14ac:dyDescent="0.25">
      <c r="A42" s="38" t="s">
        <v>772</v>
      </c>
      <c r="B42" s="47" t="s">
        <v>422</v>
      </c>
      <c r="C42" s="38" t="s">
        <v>379</v>
      </c>
      <c r="D42" s="38" t="s">
        <v>423</v>
      </c>
      <c r="E42" s="38">
        <v>1150</v>
      </c>
      <c r="F42" s="38">
        <v>4</v>
      </c>
      <c r="G42" s="38">
        <v>8</v>
      </c>
      <c r="H42" s="38">
        <v>3.1</v>
      </c>
      <c r="I42" s="38">
        <v>3.5</v>
      </c>
      <c r="J42" s="38">
        <v>64</v>
      </c>
      <c r="K42" s="38">
        <v>256</v>
      </c>
      <c r="L42" s="38">
        <v>8192</v>
      </c>
      <c r="M42" s="38" t="s">
        <v>749</v>
      </c>
      <c r="N42" s="47"/>
      <c r="O42" s="47">
        <f t="shared" si="1"/>
        <v>1.1499999999999999</v>
      </c>
      <c r="P42" s="47">
        <f t="shared" si="2"/>
        <v>1.46</v>
      </c>
      <c r="Q42" s="47">
        <f t="shared" si="8"/>
        <v>1.1764960000000002</v>
      </c>
      <c r="R42" s="47"/>
      <c r="S42" s="48">
        <f t="shared" si="3"/>
        <v>0.89740000000000009</v>
      </c>
      <c r="T42" s="48">
        <f t="shared" si="4"/>
        <v>1.7948000000000002</v>
      </c>
      <c r="U42" s="48">
        <f t="shared" si="5"/>
        <v>3.5896000000000003</v>
      </c>
      <c r="V42" s="48">
        <f t="shared" si="6"/>
        <v>5.2408160000000006</v>
      </c>
      <c r="W42" s="48">
        <f t="shared" si="7"/>
        <v>5.2408160000000006</v>
      </c>
    </row>
    <row r="43" spans="1:23" x14ac:dyDescent="0.25">
      <c r="A43" s="38" t="s">
        <v>772</v>
      </c>
      <c r="B43" s="47" t="s">
        <v>401</v>
      </c>
      <c r="C43" s="38" t="s">
        <v>379</v>
      </c>
      <c r="D43" s="38" t="s">
        <v>379</v>
      </c>
      <c r="E43" s="38">
        <v>1150</v>
      </c>
      <c r="F43" s="38">
        <v>4</v>
      </c>
      <c r="G43" s="38">
        <v>4</v>
      </c>
      <c r="H43" s="38">
        <v>3.5</v>
      </c>
      <c r="I43" s="38">
        <v>3.9</v>
      </c>
      <c r="J43" s="38">
        <v>64</v>
      </c>
      <c r="K43" s="38">
        <v>256</v>
      </c>
      <c r="L43" s="38">
        <v>6144</v>
      </c>
      <c r="M43" s="38"/>
      <c r="N43" s="47"/>
      <c r="O43" s="47">
        <f t="shared" si="1"/>
        <v>1.1400000000000001</v>
      </c>
      <c r="P43" s="47">
        <f t="shared" si="2"/>
        <v>1</v>
      </c>
      <c r="Q43" s="47">
        <f t="shared" si="8"/>
        <v>1.1764960000000002</v>
      </c>
      <c r="R43" s="47"/>
      <c r="S43" s="48">
        <f t="shared" si="3"/>
        <v>1.0044</v>
      </c>
      <c r="T43" s="48">
        <f t="shared" si="4"/>
        <v>2.0087999999999999</v>
      </c>
      <c r="U43" s="48">
        <f t="shared" si="5"/>
        <v>4.0175999999999998</v>
      </c>
      <c r="V43" s="48">
        <f t="shared" si="6"/>
        <v>4.0175999999999998</v>
      </c>
      <c r="W43" s="48">
        <f t="shared" si="7"/>
        <v>4.0175999999999998</v>
      </c>
    </row>
    <row r="44" spans="1:23" x14ac:dyDescent="0.25">
      <c r="A44" s="38" t="s">
        <v>772</v>
      </c>
      <c r="B44" s="47" t="s">
        <v>400</v>
      </c>
      <c r="C44" s="38" t="s">
        <v>379</v>
      </c>
      <c r="D44" s="38" t="s">
        <v>379</v>
      </c>
      <c r="E44" s="38">
        <v>1150</v>
      </c>
      <c r="F44" s="38">
        <v>4</v>
      </c>
      <c r="G44" s="38">
        <v>4</v>
      </c>
      <c r="H44" s="38">
        <v>3.4</v>
      </c>
      <c r="I44" s="38">
        <v>3.8</v>
      </c>
      <c r="J44" s="38">
        <v>64</v>
      </c>
      <c r="K44" s="38">
        <v>256</v>
      </c>
      <c r="L44" s="38">
        <v>6144</v>
      </c>
      <c r="M44" s="38"/>
      <c r="N44" s="47"/>
      <c r="O44" s="47">
        <f t="shared" si="1"/>
        <v>1.1400000000000001</v>
      </c>
      <c r="P44" s="47">
        <f t="shared" si="2"/>
        <v>1</v>
      </c>
      <c r="Q44" s="47">
        <f t="shared" si="8"/>
        <v>1.1764960000000002</v>
      </c>
      <c r="R44" s="47"/>
      <c r="S44" s="48">
        <f t="shared" si="3"/>
        <v>0.97570000000000001</v>
      </c>
      <c r="T44" s="48">
        <f t="shared" si="4"/>
        <v>1.9514</v>
      </c>
      <c r="U44" s="48">
        <f t="shared" si="5"/>
        <v>3.9028</v>
      </c>
      <c r="V44" s="48">
        <f t="shared" si="6"/>
        <v>3.9028</v>
      </c>
      <c r="W44" s="48">
        <f t="shared" si="7"/>
        <v>3.9028</v>
      </c>
    </row>
    <row r="45" spans="1:23" x14ac:dyDescent="0.25">
      <c r="A45" s="38" t="s">
        <v>772</v>
      </c>
      <c r="B45" s="47" t="s">
        <v>399</v>
      </c>
      <c r="C45" s="38" t="s">
        <v>379</v>
      </c>
      <c r="D45" s="38" t="s">
        <v>379</v>
      </c>
      <c r="E45" s="38">
        <v>1150</v>
      </c>
      <c r="F45" s="38">
        <v>4</v>
      </c>
      <c r="G45" s="38">
        <v>4</v>
      </c>
      <c r="H45" s="38">
        <v>3.4</v>
      </c>
      <c r="I45" s="38">
        <v>3.8</v>
      </c>
      <c r="J45" s="38">
        <v>64</v>
      </c>
      <c r="K45" s="38">
        <v>256</v>
      </c>
      <c r="L45" s="38">
        <v>6144</v>
      </c>
      <c r="M45" s="38"/>
      <c r="N45" s="47"/>
      <c r="O45" s="47">
        <f t="shared" si="1"/>
        <v>1.1400000000000001</v>
      </c>
      <c r="P45" s="47">
        <f t="shared" si="2"/>
        <v>1</v>
      </c>
      <c r="Q45" s="47">
        <f t="shared" si="8"/>
        <v>1.1764960000000002</v>
      </c>
      <c r="R45" s="47"/>
      <c r="S45" s="48">
        <f t="shared" si="3"/>
        <v>0.97570000000000001</v>
      </c>
      <c r="T45" s="48">
        <f t="shared" si="4"/>
        <v>1.9514</v>
      </c>
      <c r="U45" s="48">
        <f t="shared" si="5"/>
        <v>3.9028</v>
      </c>
      <c r="V45" s="48">
        <f t="shared" si="6"/>
        <v>3.9028</v>
      </c>
      <c r="W45" s="48">
        <f t="shared" si="7"/>
        <v>3.9028</v>
      </c>
    </row>
    <row r="46" spans="1:23" x14ac:dyDescent="0.25">
      <c r="A46" s="38" t="s">
        <v>772</v>
      </c>
      <c r="B46" s="47" t="s">
        <v>398</v>
      </c>
      <c r="C46" s="38" t="s">
        <v>379</v>
      </c>
      <c r="D46" s="38" t="s">
        <v>379</v>
      </c>
      <c r="E46" s="38">
        <v>1150</v>
      </c>
      <c r="F46" s="38">
        <v>4</v>
      </c>
      <c r="G46" s="38">
        <v>4</v>
      </c>
      <c r="H46" s="38">
        <v>3.4</v>
      </c>
      <c r="I46" s="38">
        <v>3.8</v>
      </c>
      <c r="J46" s="38">
        <v>64</v>
      </c>
      <c r="K46" s="38">
        <v>256</v>
      </c>
      <c r="L46" s="38">
        <v>6144</v>
      </c>
      <c r="M46" s="38"/>
      <c r="N46" s="47"/>
      <c r="O46" s="47">
        <f t="shared" si="1"/>
        <v>1.1400000000000001</v>
      </c>
      <c r="P46" s="47">
        <f t="shared" si="2"/>
        <v>1</v>
      </c>
      <c r="Q46" s="47">
        <f t="shared" si="8"/>
        <v>1.1764960000000002</v>
      </c>
      <c r="R46" s="47"/>
      <c r="S46" s="48">
        <f t="shared" si="3"/>
        <v>0.97570000000000001</v>
      </c>
      <c r="T46" s="48">
        <f t="shared" si="4"/>
        <v>1.9514</v>
      </c>
      <c r="U46" s="48">
        <f t="shared" si="5"/>
        <v>3.9028</v>
      </c>
      <c r="V46" s="48">
        <f t="shared" si="6"/>
        <v>3.9028</v>
      </c>
      <c r="W46" s="48">
        <f t="shared" si="7"/>
        <v>3.9028</v>
      </c>
    </row>
    <row r="47" spans="1:23" x14ac:dyDescent="0.25">
      <c r="A47" s="38" t="s">
        <v>772</v>
      </c>
      <c r="B47" s="47" t="s">
        <v>397</v>
      </c>
      <c r="C47" s="38" t="s">
        <v>379</v>
      </c>
      <c r="D47" s="38" t="s">
        <v>379</v>
      </c>
      <c r="E47" s="38">
        <v>1150</v>
      </c>
      <c r="F47" s="38">
        <v>4</v>
      </c>
      <c r="G47" s="38">
        <v>4</v>
      </c>
      <c r="H47" s="38">
        <v>3.2</v>
      </c>
      <c r="I47" s="38">
        <v>3.6</v>
      </c>
      <c r="J47" s="38">
        <v>64</v>
      </c>
      <c r="K47" s="38">
        <v>256</v>
      </c>
      <c r="L47" s="38">
        <v>6144</v>
      </c>
      <c r="M47" s="38"/>
      <c r="N47" s="47"/>
      <c r="O47" s="47">
        <f t="shared" si="1"/>
        <v>1.1400000000000001</v>
      </c>
      <c r="P47" s="47">
        <f t="shared" si="2"/>
        <v>1</v>
      </c>
      <c r="Q47" s="47">
        <f t="shared" si="8"/>
        <v>1.1764960000000002</v>
      </c>
      <c r="R47" s="47"/>
      <c r="S47" s="48">
        <f t="shared" si="3"/>
        <v>0.91830000000000001</v>
      </c>
      <c r="T47" s="48">
        <f t="shared" si="4"/>
        <v>1.8366</v>
      </c>
      <c r="U47" s="48">
        <f t="shared" si="5"/>
        <v>3.6732</v>
      </c>
      <c r="V47" s="48">
        <f t="shared" si="6"/>
        <v>3.6732</v>
      </c>
      <c r="W47" s="48">
        <f t="shared" si="7"/>
        <v>3.6732</v>
      </c>
    </row>
    <row r="48" spans="1:23" x14ac:dyDescent="0.25">
      <c r="A48" s="38" t="s">
        <v>772</v>
      </c>
      <c r="B48" s="47" t="s">
        <v>396</v>
      </c>
      <c r="C48" s="38" t="s">
        <v>379</v>
      </c>
      <c r="D48" s="38" t="s">
        <v>379</v>
      </c>
      <c r="E48" s="38">
        <v>1150</v>
      </c>
      <c r="F48" s="38">
        <v>4</v>
      </c>
      <c r="G48" s="38">
        <v>4</v>
      </c>
      <c r="H48" s="38">
        <v>3.2</v>
      </c>
      <c r="I48" s="38">
        <v>3.6</v>
      </c>
      <c r="J48" s="38">
        <v>64</v>
      </c>
      <c r="K48" s="38">
        <v>256</v>
      </c>
      <c r="L48" s="38">
        <v>6144</v>
      </c>
      <c r="M48" s="38"/>
      <c r="N48" s="47"/>
      <c r="O48" s="47">
        <f t="shared" si="1"/>
        <v>1.1400000000000001</v>
      </c>
      <c r="P48" s="47">
        <f t="shared" si="2"/>
        <v>1</v>
      </c>
      <c r="Q48" s="47">
        <f t="shared" si="8"/>
        <v>1.1764960000000002</v>
      </c>
      <c r="R48" s="47"/>
      <c r="S48" s="48">
        <f t="shared" si="3"/>
        <v>0.91830000000000001</v>
      </c>
      <c r="T48" s="48">
        <f t="shared" si="4"/>
        <v>1.8366</v>
      </c>
      <c r="U48" s="48">
        <f t="shared" si="5"/>
        <v>3.6732</v>
      </c>
      <c r="V48" s="48">
        <f t="shared" si="6"/>
        <v>3.6732</v>
      </c>
      <c r="W48" s="48">
        <f t="shared" si="7"/>
        <v>3.6732</v>
      </c>
    </row>
    <row r="49" spans="1:16384" x14ac:dyDescent="0.25">
      <c r="A49" s="38" t="s">
        <v>772</v>
      </c>
      <c r="B49" s="47" t="s">
        <v>395</v>
      </c>
      <c r="C49" s="38" t="s">
        <v>379</v>
      </c>
      <c r="D49" s="38" t="s">
        <v>379</v>
      </c>
      <c r="E49" s="38">
        <v>1150</v>
      </c>
      <c r="F49" s="38">
        <v>4</v>
      </c>
      <c r="G49" s="38">
        <v>4</v>
      </c>
      <c r="H49" s="38">
        <v>3.2</v>
      </c>
      <c r="I49" s="38">
        <v>3.4</v>
      </c>
      <c r="J49" s="38">
        <v>64</v>
      </c>
      <c r="K49" s="38">
        <v>256</v>
      </c>
      <c r="L49" s="38">
        <v>6144</v>
      </c>
      <c r="M49" s="38"/>
      <c r="N49" s="47"/>
      <c r="O49" s="47">
        <f t="shared" si="1"/>
        <v>1.1400000000000001</v>
      </c>
      <c r="P49" s="47">
        <f t="shared" si="2"/>
        <v>1</v>
      </c>
      <c r="Q49" s="47">
        <f t="shared" si="8"/>
        <v>1.1764960000000002</v>
      </c>
      <c r="R49" s="47"/>
      <c r="S49" s="48">
        <f t="shared" si="3"/>
        <v>0.91830000000000001</v>
      </c>
      <c r="T49" s="48">
        <f t="shared" si="4"/>
        <v>1.8366</v>
      </c>
      <c r="U49" s="48">
        <f t="shared" si="5"/>
        <v>3.6732</v>
      </c>
      <c r="V49" s="48">
        <f t="shared" si="6"/>
        <v>3.6732</v>
      </c>
      <c r="W49" s="48">
        <f t="shared" si="7"/>
        <v>3.6732</v>
      </c>
    </row>
    <row r="50" spans="1:16384" x14ac:dyDescent="0.25">
      <c r="A50" s="38" t="s">
        <v>772</v>
      </c>
      <c r="B50" s="47" t="s">
        <v>394</v>
      </c>
      <c r="C50" s="38" t="s">
        <v>379</v>
      </c>
      <c r="D50" s="38" t="s">
        <v>379</v>
      </c>
      <c r="E50" s="38">
        <v>1150</v>
      </c>
      <c r="F50" s="38">
        <v>4</v>
      </c>
      <c r="G50" s="38">
        <v>4</v>
      </c>
      <c r="H50" s="38">
        <v>3.1</v>
      </c>
      <c r="I50" s="38">
        <v>3.3</v>
      </c>
      <c r="J50" s="38">
        <v>64</v>
      </c>
      <c r="K50" s="38">
        <v>256</v>
      </c>
      <c r="L50" s="38">
        <v>6144</v>
      </c>
      <c r="M50" s="38"/>
      <c r="N50" s="47"/>
      <c r="O50" s="47">
        <f t="shared" si="1"/>
        <v>1.1400000000000001</v>
      </c>
      <c r="P50" s="47">
        <f t="shared" si="2"/>
        <v>1</v>
      </c>
      <c r="Q50" s="47">
        <f t="shared" si="8"/>
        <v>1.1764960000000002</v>
      </c>
      <c r="R50" s="47"/>
      <c r="S50" s="48">
        <f t="shared" si="3"/>
        <v>0.88960000000000006</v>
      </c>
      <c r="T50" s="48">
        <f t="shared" si="4"/>
        <v>1.7792000000000001</v>
      </c>
      <c r="U50" s="48">
        <f t="shared" si="5"/>
        <v>3.5584000000000002</v>
      </c>
      <c r="V50" s="48">
        <f t="shared" si="6"/>
        <v>3.5584000000000002</v>
      </c>
      <c r="W50" s="48">
        <f t="shared" si="7"/>
        <v>3.5584000000000002</v>
      </c>
    </row>
    <row r="51" spans="1:16384" x14ac:dyDescent="0.25">
      <c r="A51" s="38" t="s">
        <v>772</v>
      </c>
      <c r="B51" s="47" t="s">
        <v>393</v>
      </c>
      <c r="C51" s="38" t="s">
        <v>379</v>
      </c>
      <c r="D51" s="38" t="s">
        <v>379</v>
      </c>
      <c r="E51" s="38">
        <v>1150</v>
      </c>
      <c r="F51" s="38">
        <v>4</v>
      </c>
      <c r="G51" s="38">
        <v>4</v>
      </c>
      <c r="H51" s="38">
        <v>3</v>
      </c>
      <c r="I51" s="38">
        <v>3.2</v>
      </c>
      <c r="J51" s="38">
        <v>64</v>
      </c>
      <c r="K51" s="38">
        <v>256</v>
      </c>
      <c r="L51" s="38">
        <v>6144</v>
      </c>
      <c r="M51" s="38"/>
      <c r="N51" s="47"/>
      <c r="O51" s="47">
        <f t="shared" si="1"/>
        <v>1.1400000000000001</v>
      </c>
      <c r="P51" s="47">
        <f t="shared" si="2"/>
        <v>1</v>
      </c>
      <c r="Q51" s="47">
        <f t="shared" si="8"/>
        <v>1.1764960000000002</v>
      </c>
      <c r="R51" s="47"/>
      <c r="S51" s="48">
        <f t="shared" si="3"/>
        <v>0.8609</v>
      </c>
      <c r="T51" s="48">
        <f t="shared" si="4"/>
        <v>1.7218</v>
      </c>
      <c r="U51" s="48">
        <f t="shared" si="5"/>
        <v>3.4436</v>
      </c>
      <c r="V51" s="48">
        <f t="shared" si="6"/>
        <v>3.4436</v>
      </c>
      <c r="W51" s="48">
        <f t="shared" si="7"/>
        <v>3.4436</v>
      </c>
    </row>
    <row r="52" spans="1:16384" x14ac:dyDescent="0.25">
      <c r="A52" s="38" t="s">
        <v>772</v>
      </c>
      <c r="B52" s="47" t="s">
        <v>392</v>
      </c>
      <c r="C52" s="38" t="s">
        <v>379</v>
      </c>
      <c r="D52" s="38" t="s">
        <v>379</v>
      </c>
      <c r="E52" s="38">
        <v>1150</v>
      </c>
      <c r="F52" s="38">
        <v>2</v>
      </c>
      <c r="G52" s="38">
        <v>4</v>
      </c>
      <c r="H52" s="38">
        <v>3.8</v>
      </c>
      <c r="I52" s="38">
        <v>3.8</v>
      </c>
      <c r="J52" s="38">
        <v>64</v>
      </c>
      <c r="K52" s="38">
        <v>256</v>
      </c>
      <c r="L52" s="38">
        <v>4096</v>
      </c>
      <c r="M52" s="38" t="s">
        <v>749</v>
      </c>
      <c r="N52" s="47"/>
      <c r="O52" s="47">
        <f t="shared" si="1"/>
        <v>1.1200000000000001</v>
      </c>
      <c r="P52" s="47">
        <f t="shared" si="2"/>
        <v>1.46</v>
      </c>
      <c r="Q52" s="47">
        <f t="shared" si="8"/>
        <v>1.1764960000000002</v>
      </c>
      <c r="R52" s="47"/>
      <c r="S52" s="48">
        <f t="shared" si="3"/>
        <v>1.0714000000000001</v>
      </c>
      <c r="T52" s="48">
        <f t="shared" si="4"/>
        <v>2.1428000000000003</v>
      </c>
      <c r="U52" s="48">
        <f t="shared" si="5"/>
        <v>3.1284880000000004</v>
      </c>
      <c r="V52" s="48">
        <f t="shared" si="6"/>
        <v>3.1284880000000004</v>
      </c>
      <c r="W52" s="48">
        <f t="shared" si="7"/>
        <v>3.1284880000000004</v>
      </c>
    </row>
    <row r="53" spans="1:16384" x14ac:dyDescent="0.25">
      <c r="A53" s="38" t="s">
        <v>772</v>
      </c>
      <c r="B53" s="47" t="s">
        <v>391</v>
      </c>
      <c r="C53" s="38" t="s">
        <v>379</v>
      </c>
      <c r="D53" s="38" t="s">
        <v>379</v>
      </c>
      <c r="E53" s="38">
        <v>1150</v>
      </c>
      <c r="F53" s="38">
        <v>2</v>
      </c>
      <c r="G53" s="38">
        <v>4</v>
      </c>
      <c r="H53" s="38">
        <v>3.7</v>
      </c>
      <c r="I53" s="38">
        <v>3.7</v>
      </c>
      <c r="J53" s="38">
        <v>64</v>
      </c>
      <c r="K53" s="38">
        <v>256</v>
      </c>
      <c r="L53" s="38">
        <v>4096</v>
      </c>
      <c r="M53" s="38" t="s">
        <v>749</v>
      </c>
      <c r="N53" s="47"/>
      <c r="O53" s="47">
        <f t="shared" si="1"/>
        <v>1.1200000000000001</v>
      </c>
      <c r="P53" s="47">
        <f t="shared" si="2"/>
        <v>1.46</v>
      </c>
      <c r="Q53" s="47">
        <f t="shared" si="8"/>
        <v>1.1764960000000002</v>
      </c>
      <c r="R53" s="47"/>
      <c r="S53" s="48">
        <f t="shared" si="3"/>
        <v>1.0432000000000001</v>
      </c>
      <c r="T53" s="48">
        <f t="shared" si="4"/>
        <v>2.0864000000000003</v>
      </c>
      <c r="U53" s="48">
        <f t="shared" si="5"/>
        <v>3.0461440000000004</v>
      </c>
      <c r="V53" s="48">
        <f t="shared" si="6"/>
        <v>3.0461440000000004</v>
      </c>
      <c r="W53" s="48">
        <f t="shared" si="7"/>
        <v>3.0461440000000004</v>
      </c>
    </row>
    <row r="54" spans="1:16384" x14ac:dyDescent="0.25">
      <c r="A54" s="38" t="s">
        <v>772</v>
      </c>
      <c r="B54" s="47" t="s">
        <v>390</v>
      </c>
      <c r="C54" s="38" t="s">
        <v>379</v>
      </c>
      <c r="D54" s="38" t="s">
        <v>379</v>
      </c>
      <c r="E54" s="38">
        <v>1150</v>
      </c>
      <c r="F54" s="38">
        <v>2</v>
      </c>
      <c r="G54" s="38">
        <v>4</v>
      </c>
      <c r="H54" s="38">
        <v>3.6</v>
      </c>
      <c r="I54" s="38">
        <v>3.6</v>
      </c>
      <c r="J54" s="38">
        <v>64</v>
      </c>
      <c r="K54" s="38">
        <v>256</v>
      </c>
      <c r="L54" s="38">
        <v>4096</v>
      </c>
      <c r="M54" s="38" t="s">
        <v>749</v>
      </c>
      <c r="N54" s="47"/>
      <c r="O54" s="47">
        <f t="shared" si="1"/>
        <v>1.1200000000000001</v>
      </c>
      <c r="P54" s="47">
        <f t="shared" si="2"/>
        <v>1.46</v>
      </c>
      <c r="Q54" s="47">
        <f t="shared" si="8"/>
        <v>1.1764960000000002</v>
      </c>
      <c r="R54" s="47"/>
      <c r="S54" s="48">
        <f t="shared" si="3"/>
        <v>1.0150000000000001</v>
      </c>
      <c r="T54" s="48">
        <f t="shared" si="4"/>
        <v>2.0300000000000002</v>
      </c>
      <c r="U54" s="48">
        <f t="shared" si="5"/>
        <v>2.9638000000000004</v>
      </c>
      <c r="V54" s="48">
        <f t="shared" si="6"/>
        <v>2.9638000000000004</v>
      </c>
      <c r="W54" s="48">
        <f t="shared" si="7"/>
        <v>2.9638000000000004</v>
      </c>
    </row>
    <row r="55" spans="1:16384" x14ac:dyDescent="0.25">
      <c r="A55" s="38" t="s">
        <v>772</v>
      </c>
      <c r="B55" s="47" t="s">
        <v>389</v>
      </c>
      <c r="C55" s="38" t="s">
        <v>379</v>
      </c>
      <c r="D55" s="38" t="s">
        <v>379</v>
      </c>
      <c r="E55" s="38">
        <v>1150</v>
      </c>
      <c r="F55" s="38">
        <v>2</v>
      </c>
      <c r="G55" s="38">
        <v>4</v>
      </c>
      <c r="H55" s="38">
        <v>3.6</v>
      </c>
      <c r="I55" s="38">
        <v>3.6</v>
      </c>
      <c r="J55" s="38">
        <v>64</v>
      </c>
      <c r="K55" s="38">
        <v>256</v>
      </c>
      <c r="L55" s="38">
        <v>4096</v>
      </c>
      <c r="M55" s="38" t="s">
        <v>749</v>
      </c>
      <c r="N55" s="47"/>
      <c r="O55" s="47">
        <f t="shared" si="1"/>
        <v>1.1200000000000001</v>
      </c>
      <c r="P55" s="47">
        <f t="shared" si="2"/>
        <v>1.46</v>
      </c>
      <c r="Q55" s="47">
        <f t="shared" si="8"/>
        <v>1.1764960000000002</v>
      </c>
      <c r="R55" s="47"/>
      <c r="S55" s="48">
        <f t="shared" si="3"/>
        <v>1.0150000000000001</v>
      </c>
      <c r="T55" s="48">
        <f t="shared" si="4"/>
        <v>2.0300000000000002</v>
      </c>
      <c r="U55" s="48">
        <f t="shared" si="5"/>
        <v>2.9638000000000004</v>
      </c>
      <c r="V55" s="48">
        <f t="shared" si="6"/>
        <v>2.9638000000000004</v>
      </c>
      <c r="W55" s="48">
        <f t="shared" si="7"/>
        <v>2.9638000000000004</v>
      </c>
    </row>
    <row r="56" spans="1:16384" x14ac:dyDescent="0.25">
      <c r="A56" s="38" t="s">
        <v>772</v>
      </c>
      <c r="B56" s="47" t="s">
        <v>387</v>
      </c>
      <c r="C56" s="38" t="s">
        <v>379</v>
      </c>
      <c r="D56" s="38" t="s">
        <v>379</v>
      </c>
      <c r="E56" s="38">
        <v>1150</v>
      </c>
      <c r="F56" s="38">
        <v>2</v>
      </c>
      <c r="G56" s="38">
        <v>4</v>
      </c>
      <c r="H56" s="38">
        <v>3.5</v>
      </c>
      <c r="I56" s="38">
        <v>3.5</v>
      </c>
      <c r="J56" s="38">
        <v>64</v>
      </c>
      <c r="K56" s="38">
        <v>256</v>
      </c>
      <c r="L56" s="38">
        <v>4096</v>
      </c>
      <c r="M56" s="38" t="s">
        <v>749</v>
      </c>
      <c r="N56" s="47"/>
      <c r="O56" s="47">
        <f t="shared" si="1"/>
        <v>1.1200000000000001</v>
      </c>
      <c r="P56" s="47">
        <f t="shared" si="2"/>
        <v>1.46</v>
      </c>
      <c r="Q56" s="47">
        <f t="shared" si="8"/>
        <v>1.1764960000000002</v>
      </c>
      <c r="R56" s="47"/>
      <c r="S56" s="48">
        <f t="shared" si="3"/>
        <v>0.98680000000000001</v>
      </c>
      <c r="T56" s="48">
        <f t="shared" si="4"/>
        <v>1.9736</v>
      </c>
      <c r="U56" s="48">
        <f t="shared" si="5"/>
        <v>2.881456</v>
      </c>
      <c r="V56" s="48">
        <f t="shared" si="6"/>
        <v>2.881456</v>
      </c>
      <c r="W56" s="48">
        <f t="shared" si="7"/>
        <v>2.881456</v>
      </c>
    </row>
    <row r="57" spans="1:16384" x14ac:dyDescent="0.25">
      <c r="A57" s="38" t="s">
        <v>772</v>
      </c>
      <c r="B57" s="47" t="s">
        <v>1185</v>
      </c>
      <c r="C57" s="38" t="s">
        <v>379</v>
      </c>
      <c r="D57" s="38" t="s">
        <v>379</v>
      </c>
      <c r="E57" s="38">
        <v>1150</v>
      </c>
      <c r="F57" s="38">
        <v>2</v>
      </c>
      <c r="G57" s="38">
        <v>4</v>
      </c>
      <c r="H57" s="38">
        <v>3.7</v>
      </c>
      <c r="I57" s="38">
        <v>3.7</v>
      </c>
      <c r="J57" s="38">
        <v>64</v>
      </c>
      <c r="K57" s="38">
        <v>256</v>
      </c>
      <c r="L57" s="38">
        <v>3072</v>
      </c>
      <c r="M57" s="38" t="s">
        <v>749</v>
      </c>
      <c r="N57" s="47"/>
      <c r="O57" s="47">
        <f t="shared" si="1"/>
        <v>1.1034314575050761</v>
      </c>
      <c r="P57" s="47">
        <f>IF(M57="O",IF(UPPER(A57)="INTEL",1.46,1.5),1)</f>
        <v>1.46</v>
      </c>
      <c r="Q57" s="47">
        <f t="shared" si="8"/>
        <v>1.1764960000000002</v>
      </c>
      <c r="R57" s="47"/>
      <c r="S57" s="48">
        <f t="shared" si="3"/>
        <v>1.0277000000000001</v>
      </c>
      <c r="T57" s="48">
        <f>IF(F57=1,IF(M57="O",S57*P57,S57),S57*2)</f>
        <v>2.0554000000000001</v>
      </c>
      <c r="U57" s="48">
        <f>IF(G57&lt;4,W57,IF(F57=2,2*S57*P57,IF(F57=3,2*S57+S57*P57,S57*4)))</f>
        <v>3.0008840000000001</v>
      </c>
      <c r="V57" s="48">
        <f>IF(G57&lt;8,W57,IF(F57=4,4*S57*P57,IF(F57=6,4*S57+2*S57*P57,8*S57)))</f>
        <v>3.0008840000000001</v>
      </c>
      <c r="W57" s="48">
        <f>F57*P57*S57</f>
        <v>3.0008840000000001</v>
      </c>
    </row>
    <row r="58" spans="1:16384" s="8" customFormat="1" x14ac:dyDescent="0.25">
      <c r="A58" s="12" t="s">
        <v>772</v>
      </c>
      <c r="B58" s="49" t="s">
        <v>3006</v>
      </c>
      <c r="C58" s="12" t="s">
        <v>379</v>
      </c>
      <c r="D58" s="12" t="s">
        <v>379</v>
      </c>
      <c r="E58" s="12">
        <v>1150</v>
      </c>
      <c r="F58" s="12">
        <v>2</v>
      </c>
      <c r="G58" s="12">
        <v>4</v>
      </c>
      <c r="H58" s="12">
        <v>3.6</v>
      </c>
      <c r="I58" s="12">
        <v>3.6</v>
      </c>
      <c r="J58" s="12">
        <v>64</v>
      </c>
      <c r="K58" s="12">
        <v>256</v>
      </c>
      <c r="L58" s="12">
        <v>3072</v>
      </c>
      <c r="M58" s="12" t="s">
        <v>749</v>
      </c>
      <c r="N58" s="49"/>
      <c r="O58" s="49">
        <f t="shared" si="1"/>
        <v>1.1034314575050761</v>
      </c>
      <c r="P58" s="49">
        <f t="shared" si="2"/>
        <v>1.46</v>
      </c>
      <c r="Q58" s="49">
        <f t="shared" si="8"/>
        <v>1.1764960000000002</v>
      </c>
      <c r="R58" s="49"/>
      <c r="S58" s="50">
        <f t="shared" si="3"/>
        <v>1</v>
      </c>
      <c r="T58" s="50">
        <f t="shared" si="4"/>
        <v>2</v>
      </c>
      <c r="U58" s="50">
        <f t="shared" si="5"/>
        <v>2.92</v>
      </c>
      <c r="V58" s="50">
        <f t="shared" si="6"/>
        <v>2.92</v>
      </c>
      <c r="W58" s="50">
        <f t="shared" si="7"/>
        <v>2.92</v>
      </c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  <c r="AAA58" s="5"/>
      <c r="AAB58" s="5"/>
      <c r="AAC58" s="5"/>
      <c r="AAD58" s="5"/>
      <c r="AAE58" s="5"/>
      <c r="AAF58" s="5"/>
      <c r="AAG58" s="5"/>
      <c r="AAH58" s="5"/>
      <c r="AAI58" s="5"/>
      <c r="AAJ58" s="5"/>
      <c r="AAK58" s="5"/>
      <c r="AAL58" s="5"/>
      <c r="AAM58" s="5"/>
      <c r="AAN58" s="5"/>
      <c r="AAO58" s="5"/>
      <c r="AAP58" s="5"/>
      <c r="AAQ58" s="5"/>
      <c r="AAR58" s="5"/>
      <c r="AAS58" s="5"/>
      <c r="AAT58" s="5"/>
      <c r="AAU58" s="5"/>
      <c r="AAV58" s="5"/>
      <c r="AAW58" s="5"/>
      <c r="AAX58" s="5"/>
      <c r="AAY58" s="5"/>
      <c r="AAZ58" s="5"/>
      <c r="ABA58" s="5"/>
      <c r="ABB58" s="5"/>
      <c r="ABC58" s="5"/>
      <c r="ABD58" s="5"/>
      <c r="ABE58" s="5"/>
      <c r="ABF58" s="5"/>
      <c r="ABG58" s="5"/>
      <c r="ABH58" s="5"/>
      <c r="ABI58" s="5"/>
      <c r="ABJ58" s="5"/>
      <c r="ABK58" s="5"/>
      <c r="ABL58" s="5"/>
      <c r="ABM58" s="5"/>
      <c r="ABN58" s="5"/>
      <c r="ABO58" s="5"/>
      <c r="ABP58" s="5"/>
      <c r="ABQ58" s="5"/>
      <c r="ABR58" s="5"/>
      <c r="ABS58" s="5"/>
      <c r="ABT58" s="5"/>
      <c r="ABU58" s="5"/>
      <c r="ABV58" s="5"/>
      <c r="ABW58" s="5"/>
      <c r="ABX58" s="5"/>
      <c r="ABY58" s="5"/>
      <c r="ABZ58" s="5"/>
      <c r="ACA58" s="5"/>
      <c r="ACB58" s="5"/>
      <c r="ACC58" s="5"/>
      <c r="ACD58" s="5"/>
      <c r="ACE58" s="5"/>
      <c r="ACF58" s="5"/>
      <c r="ACG58" s="5"/>
      <c r="ACH58" s="5"/>
      <c r="ACI58" s="5"/>
      <c r="ACJ58" s="5"/>
      <c r="ACK58" s="5"/>
      <c r="ACL58" s="5"/>
      <c r="ACM58" s="5"/>
      <c r="ACN58" s="5"/>
      <c r="ACO58" s="5"/>
      <c r="ACP58" s="5"/>
      <c r="ACQ58" s="5"/>
      <c r="ACR58" s="5"/>
      <c r="ACS58" s="5"/>
      <c r="ACT58" s="5"/>
      <c r="ACU58" s="5"/>
      <c r="ACV58" s="5"/>
      <c r="ACW58" s="5"/>
      <c r="ACX58" s="5"/>
      <c r="ACY58" s="5"/>
      <c r="ACZ58" s="5"/>
      <c r="ADA58" s="5"/>
      <c r="ADB58" s="5"/>
      <c r="ADC58" s="5"/>
      <c r="ADD58" s="5"/>
      <c r="ADE58" s="5"/>
      <c r="ADF58" s="5"/>
      <c r="ADG58" s="5"/>
      <c r="ADH58" s="5"/>
      <c r="ADI58" s="5"/>
      <c r="ADJ58" s="5"/>
      <c r="ADK58" s="5"/>
      <c r="ADL58" s="5"/>
      <c r="ADM58" s="5"/>
      <c r="ADN58" s="5"/>
      <c r="ADO58" s="5"/>
      <c r="ADP58" s="5"/>
      <c r="ADQ58" s="5"/>
      <c r="ADR58" s="5"/>
      <c r="ADS58" s="5"/>
      <c r="ADT58" s="5"/>
      <c r="ADU58" s="5"/>
      <c r="ADV58" s="5"/>
      <c r="ADW58" s="5"/>
      <c r="ADX58" s="5"/>
      <c r="ADY58" s="5"/>
      <c r="ADZ58" s="5"/>
      <c r="AEA58" s="5"/>
      <c r="AEB58" s="5"/>
      <c r="AEC58" s="5"/>
      <c r="AED58" s="5"/>
      <c r="AEE58" s="5"/>
      <c r="AEF58" s="5"/>
      <c r="AEG58" s="5"/>
      <c r="AEH58" s="5"/>
      <c r="AEI58" s="5"/>
      <c r="AEJ58" s="5"/>
      <c r="AEK58" s="5"/>
      <c r="AEL58" s="5"/>
      <c r="AEM58" s="5"/>
      <c r="AEN58" s="5"/>
      <c r="AEO58" s="5"/>
      <c r="AEP58" s="5"/>
      <c r="AEQ58" s="5"/>
      <c r="AER58" s="5"/>
      <c r="AES58" s="5"/>
      <c r="AET58" s="5"/>
      <c r="AEU58" s="5"/>
      <c r="AEV58" s="5"/>
      <c r="AEW58" s="5"/>
      <c r="AEX58" s="5"/>
      <c r="AEY58" s="5"/>
      <c r="AEZ58" s="5"/>
      <c r="AFA58" s="5"/>
      <c r="AFB58" s="5"/>
      <c r="AFC58" s="5"/>
      <c r="AFD58" s="5"/>
      <c r="AFE58" s="5"/>
      <c r="AFF58" s="5"/>
      <c r="AFG58" s="5"/>
      <c r="AFH58" s="5"/>
      <c r="AFI58" s="5"/>
      <c r="AFJ58" s="5"/>
      <c r="AFK58" s="5"/>
      <c r="AFL58" s="5"/>
      <c r="AFM58" s="5"/>
      <c r="AFN58" s="5"/>
      <c r="AFO58" s="5"/>
      <c r="AFP58" s="5"/>
      <c r="AFQ58" s="5"/>
      <c r="AFR58" s="5"/>
      <c r="AFS58" s="5"/>
      <c r="AFT58" s="5"/>
      <c r="AFU58" s="5"/>
      <c r="AFV58" s="5"/>
      <c r="AFW58" s="5"/>
      <c r="AFX58" s="5"/>
      <c r="AFY58" s="5"/>
      <c r="AFZ58" s="5"/>
      <c r="AGA58" s="5"/>
      <c r="AGB58" s="5"/>
      <c r="AGC58" s="5"/>
      <c r="AGD58" s="5"/>
      <c r="AGE58" s="5"/>
      <c r="AGF58" s="5"/>
      <c r="AGG58" s="5"/>
      <c r="AGH58" s="5"/>
      <c r="AGI58" s="5"/>
      <c r="AGJ58" s="5"/>
      <c r="AGK58" s="5"/>
      <c r="AGL58" s="5"/>
      <c r="AGM58" s="5"/>
      <c r="AGN58" s="5"/>
      <c r="AGO58" s="5"/>
      <c r="AGP58" s="5"/>
      <c r="AGQ58" s="5"/>
      <c r="AGR58" s="5"/>
      <c r="AGS58" s="5"/>
      <c r="AGT58" s="5"/>
      <c r="AGU58" s="5"/>
      <c r="AGV58" s="5"/>
      <c r="AGW58" s="5"/>
      <c r="AGX58" s="5"/>
      <c r="AGY58" s="5"/>
      <c r="AGZ58" s="5"/>
      <c r="AHA58" s="5"/>
      <c r="AHB58" s="5"/>
      <c r="AHC58" s="5"/>
      <c r="AHD58" s="5"/>
      <c r="AHE58" s="5"/>
      <c r="AHF58" s="5"/>
      <c r="AHG58" s="5"/>
      <c r="AHH58" s="5"/>
      <c r="AHI58" s="5"/>
      <c r="AHJ58" s="5"/>
      <c r="AHK58" s="5"/>
      <c r="AHL58" s="5"/>
      <c r="AHM58" s="5"/>
      <c r="AHN58" s="5"/>
      <c r="AHO58" s="5"/>
      <c r="AHP58" s="5"/>
      <c r="AHQ58" s="5"/>
      <c r="AHR58" s="5"/>
      <c r="AHS58" s="5"/>
      <c r="AHT58" s="5"/>
      <c r="AHU58" s="5"/>
      <c r="AHV58" s="5"/>
      <c r="AHW58" s="5"/>
      <c r="AHX58" s="5"/>
      <c r="AHY58" s="5"/>
      <c r="AHZ58" s="5"/>
      <c r="AIA58" s="5"/>
      <c r="AIB58" s="5"/>
      <c r="AIC58" s="5"/>
      <c r="AID58" s="5"/>
      <c r="AIE58" s="5"/>
      <c r="AIF58" s="5"/>
      <c r="AIG58" s="5"/>
      <c r="AIH58" s="5"/>
      <c r="AII58" s="5"/>
      <c r="AIJ58" s="5"/>
      <c r="AIK58" s="5"/>
      <c r="AIL58" s="5"/>
      <c r="AIM58" s="5"/>
      <c r="AIN58" s="5"/>
      <c r="AIO58" s="5"/>
      <c r="AIP58" s="5"/>
      <c r="AIQ58" s="5"/>
      <c r="AIR58" s="5"/>
      <c r="AIS58" s="5"/>
      <c r="AIT58" s="5"/>
      <c r="AIU58" s="5"/>
      <c r="AIV58" s="5"/>
      <c r="AIW58" s="5"/>
      <c r="AIX58" s="5"/>
      <c r="AIY58" s="5"/>
      <c r="AIZ58" s="5"/>
      <c r="AJA58" s="5"/>
      <c r="AJB58" s="5"/>
      <c r="AJC58" s="5"/>
      <c r="AJD58" s="5"/>
      <c r="AJE58" s="5"/>
      <c r="AJF58" s="5"/>
      <c r="AJG58" s="5"/>
      <c r="AJH58" s="5"/>
      <c r="AJI58" s="5"/>
      <c r="AJJ58" s="5"/>
      <c r="AJK58" s="5"/>
      <c r="AJL58" s="5"/>
      <c r="AJM58" s="5"/>
      <c r="AJN58" s="5"/>
      <c r="AJO58" s="5"/>
      <c r="AJP58" s="5"/>
      <c r="AJQ58" s="5"/>
      <c r="AJR58" s="5"/>
      <c r="AJS58" s="5"/>
      <c r="AJT58" s="5"/>
      <c r="AJU58" s="5"/>
      <c r="AJV58" s="5"/>
      <c r="AJW58" s="5"/>
      <c r="AJX58" s="5"/>
      <c r="AJY58" s="5"/>
      <c r="AJZ58" s="5"/>
      <c r="AKA58" s="5"/>
      <c r="AKB58" s="5"/>
      <c r="AKC58" s="5"/>
      <c r="AKD58" s="5"/>
      <c r="AKE58" s="5"/>
      <c r="AKF58" s="5"/>
      <c r="AKG58" s="5"/>
      <c r="AKH58" s="5"/>
      <c r="AKI58" s="5"/>
      <c r="AKJ58" s="5"/>
      <c r="AKK58" s="5"/>
      <c r="AKL58" s="5"/>
      <c r="AKM58" s="5"/>
      <c r="AKN58" s="5"/>
      <c r="AKO58" s="5"/>
      <c r="AKP58" s="5"/>
      <c r="AKQ58" s="5"/>
      <c r="AKR58" s="5"/>
      <c r="AKS58" s="5"/>
      <c r="AKT58" s="5"/>
      <c r="AKU58" s="5"/>
      <c r="AKV58" s="5"/>
      <c r="AKW58" s="5"/>
      <c r="AKX58" s="5"/>
      <c r="AKY58" s="5"/>
      <c r="AKZ58" s="5"/>
      <c r="ALA58" s="5"/>
      <c r="ALB58" s="5"/>
      <c r="ALC58" s="5"/>
      <c r="ALD58" s="5"/>
      <c r="ALE58" s="5"/>
      <c r="ALF58" s="5"/>
      <c r="ALG58" s="5"/>
      <c r="ALH58" s="5"/>
      <c r="ALI58" s="5"/>
      <c r="ALJ58" s="5"/>
      <c r="ALK58" s="5"/>
      <c r="ALL58" s="5"/>
      <c r="ALM58" s="5"/>
      <c r="ALN58" s="5"/>
      <c r="ALO58" s="5"/>
      <c r="ALP58" s="5"/>
      <c r="ALQ58" s="5"/>
      <c r="ALR58" s="5"/>
      <c r="ALS58" s="5"/>
      <c r="ALT58" s="5"/>
      <c r="ALU58" s="5"/>
      <c r="ALV58" s="5"/>
      <c r="ALW58" s="5"/>
      <c r="ALX58" s="5"/>
      <c r="ALY58" s="5"/>
      <c r="ALZ58" s="5"/>
      <c r="AMA58" s="5"/>
      <c r="AMB58" s="5"/>
      <c r="AMC58" s="5"/>
      <c r="AMD58" s="5"/>
      <c r="AME58" s="5"/>
      <c r="AMF58" s="5"/>
      <c r="AMG58" s="5"/>
      <c r="AMH58" s="5"/>
      <c r="AMI58" s="5"/>
      <c r="AMJ58" s="5"/>
      <c r="AMK58" s="5"/>
      <c r="AML58" s="5"/>
      <c r="AMM58" s="5"/>
      <c r="AMN58" s="5"/>
      <c r="AMO58" s="5"/>
      <c r="AMP58" s="5"/>
      <c r="AMQ58" s="5"/>
      <c r="AMR58" s="5"/>
      <c r="AMS58" s="5"/>
      <c r="AMT58" s="5"/>
      <c r="AMU58" s="5"/>
      <c r="AMV58" s="5"/>
      <c r="AMW58" s="5"/>
      <c r="AMX58" s="5"/>
      <c r="AMY58" s="5"/>
      <c r="AMZ58" s="5"/>
      <c r="ANA58" s="5"/>
      <c r="ANB58" s="5"/>
      <c r="ANC58" s="5"/>
      <c r="AND58" s="5"/>
      <c r="ANE58" s="5"/>
      <c r="ANF58" s="5"/>
      <c r="ANG58" s="5"/>
      <c r="ANH58" s="5"/>
      <c r="ANI58" s="5"/>
      <c r="ANJ58" s="5"/>
      <c r="ANK58" s="5"/>
      <c r="ANL58" s="5"/>
      <c r="ANM58" s="5"/>
      <c r="ANN58" s="5"/>
      <c r="ANO58" s="5"/>
      <c r="ANP58" s="5"/>
      <c r="ANQ58" s="5"/>
      <c r="ANR58" s="5"/>
      <c r="ANS58" s="5"/>
      <c r="ANT58" s="5"/>
      <c r="ANU58" s="5"/>
      <c r="ANV58" s="5"/>
      <c r="ANW58" s="5"/>
      <c r="ANX58" s="5"/>
      <c r="ANY58" s="5"/>
      <c r="ANZ58" s="5"/>
      <c r="AOA58" s="5"/>
      <c r="AOB58" s="5"/>
      <c r="AOC58" s="5"/>
      <c r="AOD58" s="5"/>
      <c r="AOE58" s="5"/>
      <c r="AOF58" s="5"/>
      <c r="AOG58" s="5"/>
      <c r="AOH58" s="5"/>
      <c r="AOI58" s="5"/>
      <c r="AOJ58" s="5"/>
      <c r="AOK58" s="5"/>
      <c r="AOL58" s="5"/>
      <c r="AOM58" s="5"/>
      <c r="AON58" s="5"/>
      <c r="AOO58" s="5"/>
      <c r="AOP58" s="5"/>
      <c r="AOQ58" s="5"/>
      <c r="AOR58" s="5"/>
      <c r="AOS58" s="5"/>
      <c r="AOT58" s="5"/>
      <c r="AOU58" s="5"/>
      <c r="AOV58" s="5"/>
      <c r="AOW58" s="5"/>
      <c r="AOX58" s="5"/>
      <c r="AOY58" s="5"/>
      <c r="AOZ58" s="5"/>
      <c r="APA58" s="5"/>
      <c r="APB58" s="5"/>
      <c r="APC58" s="5"/>
      <c r="APD58" s="5"/>
      <c r="APE58" s="5"/>
      <c r="APF58" s="5"/>
      <c r="APG58" s="5"/>
      <c r="APH58" s="5"/>
      <c r="API58" s="5"/>
      <c r="APJ58" s="5"/>
      <c r="APK58" s="5"/>
      <c r="APL58" s="5"/>
      <c r="APM58" s="5"/>
      <c r="APN58" s="5"/>
      <c r="APO58" s="5"/>
      <c r="APP58" s="5"/>
      <c r="APQ58" s="5"/>
      <c r="APR58" s="5"/>
      <c r="APS58" s="5"/>
      <c r="APT58" s="5"/>
      <c r="APU58" s="5"/>
      <c r="APV58" s="5"/>
      <c r="APW58" s="5"/>
      <c r="APX58" s="5"/>
      <c r="APY58" s="5"/>
      <c r="APZ58" s="5"/>
      <c r="AQA58" s="5"/>
      <c r="AQB58" s="5"/>
      <c r="AQC58" s="5"/>
      <c r="AQD58" s="5"/>
      <c r="AQE58" s="5"/>
      <c r="AQF58" s="5"/>
      <c r="AQG58" s="5"/>
      <c r="AQH58" s="5"/>
      <c r="AQI58" s="5"/>
      <c r="AQJ58" s="5"/>
      <c r="AQK58" s="5"/>
      <c r="AQL58" s="5"/>
      <c r="AQM58" s="5"/>
      <c r="AQN58" s="5"/>
      <c r="AQO58" s="5"/>
      <c r="AQP58" s="5"/>
      <c r="AQQ58" s="5"/>
      <c r="AQR58" s="5"/>
      <c r="AQS58" s="5"/>
      <c r="AQT58" s="5"/>
      <c r="AQU58" s="5"/>
      <c r="AQV58" s="5"/>
      <c r="AQW58" s="5"/>
      <c r="AQX58" s="5"/>
      <c r="AQY58" s="5"/>
      <c r="AQZ58" s="5"/>
      <c r="ARA58" s="5"/>
      <c r="ARB58" s="5"/>
      <c r="ARC58" s="5"/>
      <c r="ARD58" s="5"/>
      <c r="ARE58" s="5"/>
      <c r="ARF58" s="5"/>
      <c r="ARG58" s="5"/>
      <c r="ARH58" s="5"/>
      <c r="ARI58" s="5"/>
      <c r="ARJ58" s="5"/>
      <c r="ARK58" s="5"/>
      <c r="ARL58" s="5"/>
      <c r="ARM58" s="5"/>
      <c r="ARN58" s="5"/>
      <c r="ARO58" s="5"/>
      <c r="ARP58" s="5"/>
      <c r="ARQ58" s="5"/>
      <c r="ARR58" s="5"/>
      <c r="ARS58" s="5"/>
      <c r="ART58" s="5"/>
      <c r="ARU58" s="5"/>
      <c r="ARV58" s="5"/>
      <c r="ARW58" s="5"/>
      <c r="ARX58" s="5"/>
      <c r="ARY58" s="5"/>
      <c r="ARZ58" s="5"/>
      <c r="ASA58" s="5"/>
      <c r="ASB58" s="5"/>
      <c r="ASC58" s="5"/>
      <c r="ASD58" s="5"/>
      <c r="ASE58" s="5"/>
      <c r="ASF58" s="5"/>
      <c r="ASG58" s="5"/>
      <c r="ASH58" s="5"/>
      <c r="ASI58" s="5"/>
      <c r="ASJ58" s="5"/>
      <c r="ASK58" s="5"/>
      <c r="ASL58" s="5"/>
      <c r="ASM58" s="5"/>
      <c r="ASN58" s="5"/>
      <c r="ASO58" s="5"/>
      <c r="ASP58" s="5"/>
      <c r="ASQ58" s="5"/>
      <c r="ASR58" s="5"/>
      <c r="ASS58" s="5"/>
      <c r="AST58" s="5"/>
      <c r="ASU58" s="5"/>
      <c r="ASV58" s="5"/>
      <c r="ASW58" s="5"/>
      <c r="ASX58" s="5"/>
      <c r="ASY58" s="5"/>
      <c r="ASZ58" s="5"/>
      <c r="ATA58" s="5"/>
      <c r="ATB58" s="5"/>
      <c r="ATC58" s="5"/>
      <c r="ATD58" s="5"/>
      <c r="ATE58" s="5"/>
      <c r="ATF58" s="5"/>
      <c r="ATG58" s="5"/>
      <c r="ATH58" s="5"/>
      <c r="ATI58" s="5"/>
      <c r="ATJ58" s="5"/>
      <c r="ATK58" s="5"/>
      <c r="ATL58" s="5"/>
      <c r="ATM58" s="5"/>
      <c r="ATN58" s="5"/>
      <c r="ATO58" s="5"/>
      <c r="ATP58" s="5"/>
      <c r="ATQ58" s="5"/>
      <c r="ATR58" s="5"/>
      <c r="ATS58" s="5"/>
      <c r="ATT58" s="5"/>
      <c r="ATU58" s="5"/>
      <c r="ATV58" s="5"/>
      <c r="ATW58" s="5"/>
      <c r="ATX58" s="5"/>
      <c r="ATY58" s="5"/>
      <c r="ATZ58" s="5"/>
      <c r="AUA58" s="5"/>
      <c r="AUB58" s="5"/>
      <c r="AUC58" s="5"/>
      <c r="AUD58" s="5"/>
      <c r="AUE58" s="5"/>
      <c r="AUF58" s="5"/>
      <c r="AUG58" s="5"/>
      <c r="AUH58" s="5"/>
      <c r="AUI58" s="5"/>
      <c r="AUJ58" s="5"/>
      <c r="AUK58" s="5"/>
      <c r="AUL58" s="5"/>
      <c r="AUM58" s="5"/>
      <c r="AUN58" s="5"/>
      <c r="AUO58" s="5"/>
      <c r="AUP58" s="5"/>
      <c r="AUQ58" s="5"/>
      <c r="AUR58" s="5"/>
      <c r="AUS58" s="5"/>
      <c r="AUT58" s="5"/>
      <c r="AUU58" s="5"/>
      <c r="AUV58" s="5"/>
      <c r="AUW58" s="5"/>
      <c r="AUX58" s="5"/>
      <c r="AUY58" s="5"/>
      <c r="AUZ58" s="5"/>
      <c r="AVA58" s="5"/>
      <c r="AVB58" s="5"/>
      <c r="AVC58" s="5"/>
      <c r="AVD58" s="5"/>
      <c r="AVE58" s="5"/>
      <c r="AVF58" s="5"/>
      <c r="AVG58" s="5"/>
      <c r="AVH58" s="5"/>
      <c r="AVI58" s="5"/>
      <c r="AVJ58" s="5"/>
      <c r="AVK58" s="5"/>
      <c r="AVL58" s="5"/>
      <c r="AVM58" s="5"/>
      <c r="AVN58" s="5"/>
      <c r="AVO58" s="5"/>
      <c r="AVP58" s="5"/>
      <c r="AVQ58" s="5"/>
      <c r="AVR58" s="5"/>
      <c r="AVS58" s="5"/>
      <c r="AVT58" s="5"/>
      <c r="AVU58" s="5"/>
      <c r="AVV58" s="5"/>
      <c r="AVW58" s="5"/>
      <c r="AVX58" s="5"/>
      <c r="AVY58" s="5"/>
      <c r="AVZ58" s="5"/>
      <c r="AWA58" s="5"/>
      <c r="AWB58" s="5"/>
      <c r="AWC58" s="5"/>
      <c r="AWD58" s="5"/>
      <c r="AWE58" s="5"/>
      <c r="AWF58" s="5"/>
      <c r="AWG58" s="5"/>
      <c r="AWH58" s="5"/>
      <c r="AWI58" s="5"/>
      <c r="AWJ58" s="5"/>
      <c r="AWK58" s="5"/>
      <c r="AWL58" s="5"/>
      <c r="AWM58" s="5"/>
      <c r="AWN58" s="5"/>
      <c r="AWO58" s="5"/>
      <c r="AWP58" s="5"/>
      <c r="AWQ58" s="5"/>
      <c r="AWR58" s="5"/>
      <c r="AWS58" s="5"/>
      <c r="AWT58" s="5"/>
      <c r="AWU58" s="5"/>
      <c r="AWV58" s="5"/>
      <c r="AWW58" s="5"/>
      <c r="AWX58" s="5"/>
      <c r="AWY58" s="5"/>
      <c r="AWZ58" s="5"/>
      <c r="AXA58" s="5"/>
      <c r="AXB58" s="5"/>
      <c r="AXC58" s="5"/>
      <c r="AXD58" s="5"/>
      <c r="AXE58" s="5"/>
      <c r="AXF58" s="5"/>
      <c r="AXG58" s="5"/>
      <c r="AXH58" s="5"/>
      <c r="AXI58" s="5"/>
      <c r="AXJ58" s="5"/>
      <c r="AXK58" s="5"/>
      <c r="AXL58" s="5"/>
      <c r="AXM58" s="5"/>
      <c r="AXN58" s="5"/>
      <c r="AXO58" s="5"/>
      <c r="AXP58" s="5"/>
      <c r="AXQ58" s="5"/>
      <c r="AXR58" s="5"/>
      <c r="AXS58" s="5"/>
      <c r="AXT58" s="5"/>
      <c r="AXU58" s="5"/>
      <c r="AXV58" s="5"/>
      <c r="AXW58" s="5"/>
      <c r="AXX58" s="5"/>
      <c r="AXY58" s="5"/>
      <c r="AXZ58" s="5"/>
      <c r="AYA58" s="5"/>
      <c r="AYB58" s="5"/>
      <c r="AYC58" s="5"/>
      <c r="AYD58" s="5"/>
      <c r="AYE58" s="5"/>
      <c r="AYF58" s="5"/>
      <c r="AYG58" s="5"/>
      <c r="AYH58" s="5"/>
      <c r="AYI58" s="5"/>
      <c r="AYJ58" s="5"/>
      <c r="AYK58" s="5"/>
      <c r="AYL58" s="5"/>
      <c r="AYM58" s="5"/>
      <c r="AYN58" s="5"/>
      <c r="AYO58" s="5"/>
      <c r="AYP58" s="5"/>
      <c r="AYQ58" s="5"/>
      <c r="AYR58" s="5"/>
      <c r="AYS58" s="5"/>
      <c r="AYT58" s="5"/>
      <c r="AYU58" s="5"/>
      <c r="AYV58" s="5"/>
      <c r="AYW58" s="5"/>
      <c r="AYX58" s="5"/>
      <c r="AYY58" s="5"/>
      <c r="AYZ58" s="5"/>
      <c r="AZA58" s="5"/>
      <c r="AZB58" s="5"/>
      <c r="AZC58" s="5"/>
      <c r="AZD58" s="5"/>
      <c r="AZE58" s="5"/>
      <c r="AZF58" s="5"/>
      <c r="AZG58" s="5"/>
      <c r="AZH58" s="5"/>
      <c r="AZI58" s="5"/>
      <c r="AZJ58" s="5"/>
      <c r="AZK58" s="5"/>
      <c r="AZL58" s="5"/>
      <c r="AZM58" s="5"/>
      <c r="AZN58" s="5"/>
      <c r="AZO58" s="5"/>
      <c r="AZP58" s="5"/>
      <c r="AZQ58" s="5"/>
      <c r="AZR58" s="5"/>
      <c r="AZS58" s="5"/>
      <c r="AZT58" s="5"/>
      <c r="AZU58" s="5"/>
      <c r="AZV58" s="5"/>
      <c r="AZW58" s="5"/>
      <c r="AZX58" s="5"/>
      <c r="AZY58" s="5"/>
      <c r="AZZ58" s="5"/>
      <c r="BAA58" s="5"/>
      <c r="BAB58" s="5"/>
      <c r="BAC58" s="5"/>
      <c r="BAD58" s="5"/>
      <c r="BAE58" s="5"/>
      <c r="BAF58" s="5"/>
      <c r="BAG58" s="5"/>
      <c r="BAH58" s="5"/>
      <c r="BAI58" s="5"/>
      <c r="BAJ58" s="5"/>
      <c r="BAK58" s="5"/>
      <c r="BAL58" s="5"/>
      <c r="BAM58" s="5"/>
      <c r="BAN58" s="5"/>
      <c r="BAO58" s="5"/>
      <c r="BAP58" s="5"/>
      <c r="BAQ58" s="5"/>
      <c r="BAR58" s="5"/>
      <c r="BAS58" s="5"/>
      <c r="BAT58" s="5"/>
      <c r="BAU58" s="5"/>
      <c r="BAV58" s="5"/>
      <c r="BAW58" s="5"/>
      <c r="BAX58" s="5"/>
      <c r="BAY58" s="5"/>
      <c r="BAZ58" s="5"/>
      <c r="BBA58" s="5"/>
      <c r="BBB58" s="5"/>
      <c r="BBC58" s="5"/>
      <c r="BBD58" s="5"/>
      <c r="BBE58" s="5"/>
      <c r="BBF58" s="5"/>
      <c r="BBG58" s="5"/>
      <c r="BBH58" s="5"/>
      <c r="BBI58" s="5"/>
      <c r="BBJ58" s="5"/>
      <c r="BBK58" s="5"/>
      <c r="BBL58" s="5"/>
      <c r="BBM58" s="5"/>
      <c r="BBN58" s="5"/>
      <c r="BBO58" s="5"/>
      <c r="BBP58" s="5"/>
      <c r="BBQ58" s="5"/>
      <c r="BBR58" s="5"/>
      <c r="BBS58" s="5"/>
      <c r="BBT58" s="5"/>
      <c r="BBU58" s="5"/>
      <c r="BBV58" s="5"/>
      <c r="BBW58" s="5"/>
      <c r="BBX58" s="5"/>
      <c r="BBY58" s="5"/>
      <c r="BBZ58" s="5"/>
      <c r="BCA58" s="5"/>
      <c r="BCB58" s="5"/>
      <c r="BCC58" s="5"/>
      <c r="BCD58" s="5"/>
      <c r="BCE58" s="5"/>
      <c r="BCF58" s="5"/>
      <c r="BCG58" s="5"/>
      <c r="BCH58" s="5"/>
      <c r="BCI58" s="5"/>
      <c r="BCJ58" s="5"/>
      <c r="BCK58" s="5"/>
      <c r="BCL58" s="5"/>
      <c r="BCM58" s="5"/>
      <c r="BCN58" s="5"/>
      <c r="BCO58" s="5"/>
      <c r="BCP58" s="5"/>
      <c r="BCQ58" s="5"/>
      <c r="BCR58" s="5"/>
      <c r="BCS58" s="5"/>
      <c r="BCT58" s="5"/>
      <c r="BCU58" s="5"/>
      <c r="BCV58" s="5"/>
      <c r="BCW58" s="5"/>
      <c r="BCX58" s="5"/>
      <c r="BCY58" s="5"/>
      <c r="BCZ58" s="5"/>
      <c r="BDA58" s="5"/>
      <c r="BDB58" s="5"/>
      <c r="BDC58" s="5"/>
      <c r="BDD58" s="5"/>
      <c r="BDE58" s="5"/>
      <c r="BDF58" s="5"/>
      <c r="BDG58" s="5"/>
      <c r="BDH58" s="5"/>
      <c r="BDI58" s="5"/>
      <c r="BDJ58" s="5"/>
      <c r="BDK58" s="5"/>
      <c r="BDL58" s="5"/>
      <c r="BDM58" s="5"/>
      <c r="BDN58" s="5"/>
      <c r="BDO58" s="5"/>
      <c r="BDP58" s="5"/>
      <c r="BDQ58" s="5"/>
      <c r="BDR58" s="5"/>
      <c r="BDS58" s="5"/>
      <c r="BDT58" s="5"/>
      <c r="BDU58" s="5"/>
      <c r="BDV58" s="5"/>
      <c r="BDW58" s="5"/>
      <c r="BDX58" s="5"/>
      <c r="BDY58" s="5"/>
      <c r="BDZ58" s="5"/>
      <c r="BEA58" s="5"/>
      <c r="BEB58" s="5"/>
      <c r="BEC58" s="5"/>
      <c r="BED58" s="5"/>
      <c r="BEE58" s="5"/>
      <c r="BEF58" s="5"/>
      <c r="BEG58" s="5"/>
      <c r="BEH58" s="5"/>
      <c r="BEI58" s="5"/>
      <c r="BEJ58" s="5"/>
      <c r="BEK58" s="5"/>
      <c r="BEL58" s="5"/>
      <c r="BEM58" s="5"/>
      <c r="BEN58" s="5"/>
      <c r="BEO58" s="5"/>
      <c r="BEP58" s="5"/>
      <c r="BEQ58" s="5"/>
      <c r="BER58" s="5"/>
      <c r="BES58" s="5"/>
      <c r="BET58" s="5"/>
      <c r="BEU58" s="5"/>
      <c r="BEV58" s="5"/>
      <c r="BEW58" s="5"/>
      <c r="BEX58" s="5"/>
      <c r="BEY58" s="5"/>
      <c r="BEZ58" s="5"/>
      <c r="BFA58" s="5"/>
      <c r="BFB58" s="5"/>
      <c r="BFC58" s="5"/>
      <c r="BFD58" s="5"/>
      <c r="BFE58" s="5"/>
      <c r="BFF58" s="5"/>
      <c r="BFG58" s="5"/>
      <c r="BFH58" s="5"/>
      <c r="BFI58" s="5"/>
      <c r="BFJ58" s="5"/>
      <c r="BFK58" s="5"/>
      <c r="BFL58" s="5"/>
      <c r="BFM58" s="5"/>
      <c r="BFN58" s="5"/>
      <c r="BFO58" s="5"/>
      <c r="BFP58" s="5"/>
      <c r="BFQ58" s="5"/>
      <c r="BFR58" s="5"/>
      <c r="BFS58" s="5"/>
      <c r="BFT58" s="5"/>
      <c r="BFU58" s="5"/>
      <c r="BFV58" s="5"/>
      <c r="BFW58" s="5"/>
      <c r="BFX58" s="5"/>
      <c r="BFY58" s="5"/>
      <c r="BFZ58" s="5"/>
      <c r="BGA58" s="5"/>
      <c r="BGB58" s="5"/>
      <c r="BGC58" s="5"/>
      <c r="BGD58" s="5"/>
      <c r="BGE58" s="5"/>
      <c r="BGF58" s="5"/>
      <c r="BGG58" s="5"/>
      <c r="BGH58" s="5"/>
      <c r="BGI58" s="5"/>
      <c r="BGJ58" s="5"/>
      <c r="BGK58" s="5"/>
      <c r="BGL58" s="5"/>
      <c r="BGM58" s="5"/>
      <c r="BGN58" s="5"/>
      <c r="BGO58" s="5"/>
      <c r="BGP58" s="5"/>
      <c r="BGQ58" s="5"/>
      <c r="BGR58" s="5"/>
      <c r="BGS58" s="5"/>
      <c r="BGT58" s="5"/>
      <c r="BGU58" s="5"/>
      <c r="BGV58" s="5"/>
      <c r="BGW58" s="5"/>
      <c r="BGX58" s="5"/>
      <c r="BGY58" s="5"/>
      <c r="BGZ58" s="5"/>
      <c r="BHA58" s="5"/>
      <c r="BHB58" s="5"/>
      <c r="BHC58" s="5"/>
      <c r="BHD58" s="5"/>
      <c r="BHE58" s="5"/>
      <c r="BHF58" s="5"/>
      <c r="BHG58" s="5"/>
      <c r="BHH58" s="5"/>
      <c r="BHI58" s="5"/>
      <c r="BHJ58" s="5"/>
      <c r="BHK58" s="5"/>
      <c r="BHL58" s="5"/>
      <c r="BHM58" s="5"/>
      <c r="BHN58" s="5"/>
      <c r="BHO58" s="5"/>
      <c r="BHP58" s="5"/>
      <c r="BHQ58" s="5"/>
      <c r="BHR58" s="5"/>
      <c r="BHS58" s="5"/>
      <c r="BHT58" s="5"/>
      <c r="BHU58" s="5"/>
      <c r="BHV58" s="5"/>
      <c r="BHW58" s="5"/>
      <c r="BHX58" s="5"/>
      <c r="BHY58" s="5"/>
      <c r="BHZ58" s="5"/>
      <c r="BIA58" s="5"/>
      <c r="BIB58" s="5"/>
      <c r="BIC58" s="5"/>
      <c r="BID58" s="5"/>
      <c r="BIE58" s="5"/>
      <c r="BIF58" s="5"/>
      <c r="BIG58" s="5"/>
      <c r="BIH58" s="5"/>
      <c r="BII58" s="5"/>
      <c r="BIJ58" s="5"/>
      <c r="BIK58" s="5"/>
      <c r="BIL58" s="5"/>
      <c r="BIM58" s="5"/>
      <c r="BIN58" s="5"/>
      <c r="BIO58" s="5"/>
      <c r="BIP58" s="5"/>
      <c r="BIQ58" s="5"/>
      <c r="BIR58" s="5"/>
      <c r="BIS58" s="5"/>
      <c r="BIT58" s="5"/>
      <c r="BIU58" s="5"/>
      <c r="BIV58" s="5"/>
      <c r="BIW58" s="5"/>
      <c r="BIX58" s="5"/>
      <c r="BIY58" s="5"/>
      <c r="BIZ58" s="5"/>
      <c r="BJA58" s="5"/>
      <c r="BJB58" s="5"/>
      <c r="BJC58" s="5"/>
      <c r="BJD58" s="5"/>
      <c r="BJE58" s="5"/>
      <c r="BJF58" s="5"/>
      <c r="BJG58" s="5"/>
      <c r="BJH58" s="5"/>
      <c r="BJI58" s="5"/>
      <c r="BJJ58" s="5"/>
      <c r="BJK58" s="5"/>
      <c r="BJL58" s="5"/>
      <c r="BJM58" s="5"/>
      <c r="BJN58" s="5"/>
      <c r="BJO58" s="5"/>
      <c r="BJP58" s="5"/>
      <c r="BJQ58" s="5"/>
      <c r="BJR58" s="5"/>
      <c r="BJS58" s="5"/>
      <c r="BJT58" s="5"/>
      <c r="BJU58" s="5"/>
      <c r="BJV58" s="5"/>
      <c r="BJW58" s="5"/>
      <c r="BJX58" s="5"/>
      <c r="BJY58" s="5"/>
      <c r="BJZ58" s="5"/>
      <c r="BKA58" s="5"/>
      <c r="BKB58" s="5"/>
      <c r="BKC58" s="5"/>
      <c r="BKD58" s="5"/>
      <c r="BKE58" s="5"/>
      <c r="BKF58" s="5"/>
      <c r="BKG58" s="5"/>
      <c r="BKH58" s="5"/>
      <c r="BKI58" s="5"/>
      <c r="BKJ58" s="5"/>
      <c r="BKK58" s="5"/>
      <c r="BKL58" s="5"/>
      <c r="BKM58" s="5"/>
      <c r="BKN58" s="5"/>
      <c r="BKO58" s="5"/>
      <c r="BKP58" s="5"/>
      <c r="BKQ58" s="5"/>
      <c r="BKR58" s="5"/>
      <c r="BKS58" s="5"/>
      <c r="BKT58" s="5"/>
      <c r="BKU58" s="5"/>
      <c r="BKV58" s="5"/>
      <c r="BKW58" s="5"/>
      <c r="BKX58" s="5"/>
      <c r="BKY58" s="5"/>
      <c r="BKZ58" s="5"/>
      <c r="BLA58" s="5"/>
      <c r="BLB58" s="5"/>
      <c r="BLC58" s="5"/>
      <c r="BLD58" s="5"/>
      <c r="BLE58" s="5"/>
      <c r="BLF58" s="5"/>
      <c r="BLG58" s="5"/>
      <c r="BLH58" s="5"/>
      <c r="BLI58" s="5"/>
      <c r="BLJ58" s="5"/>
      <c r="BLK58" s="5"/>
      <c r="BLL58" s="5"/>
      <c r="BLM58" s="5"/>
      <c r="BLN58" s="5"/>
      <c r="BLO58" s="5"/>
      <c r="BLP58" s="5"/>
      <c r="BLQ58" s="5"/>
      <c r="BLR58" s="5"/>
      <c r="BLS58" s="5"/>
      <c r="BLT58" s="5"/>
      <c r="BLU58" s="5"/>
      <c r="BLV58" s="5"/>
      <c r="BLW58" s="5"/>
      <c r="BLX58" s="5"/>
      <c r="BLY58" s="5"/>
      <c r="BLZ58" s="5"/>
      <c r="BMA58" s="5"/>
      <c r="BMB58" s="5"/>
      <c r="BMC58" s="5"/>
      <c r="BMD58" s="5"/>
      <c r="BME58" s="5"/>
      <c r="BMF58" s="5"/>
      <c r="BMG58" s="5"/>
      <c r="BMH58" s="5"/>
      <c r="BMI58" s="5"/>
      <c r="BMJ58" s="5"/>
      <c r="BMK58" s="5"/>
      <c r="BML58" s="5"/>
      <c r="BMM58" s="5"/>
      <c r="BMN58" s="5"/>
      <c r="BMO58" s="5"/>
      <c r="BMP58" s="5"/>
      <c r="BMQ58" s="5"/>
      <c r="BMR58" s="5"/>
      <c r="BMS58" s="5"/>
      <c r="BMT58" s="5"/>
      <c r="BMU58" s="5"/>
      <c r="BMV58" s="5"/>
      <c r="BMW58" s="5"/>
      <c r="BMX58" s="5"/>
      <c r="BMY58" s="5"/>
      <c r="BMZ58" s="5"/>
      <c r="BNA58" s="5"/>
      <c r="BNB58" s="5"/>
      <c r="BNC58" s="5"/>
      <c r="BND58" s="5"/>
      <c r="BNE58" s="5"/>
      <c r="BNF58" s="5"/>
      <c r="BNG58" s="5"/>
      <c r="BNH58" s="5"/>
      <c r="BNI58" s="5"/>
      <c r="BNJ58" s="5"/>
      <c r="BNK58" s="5"/>
      <c r="BNL58" s="5"/>
      <c r="BNM58" s="5"/>
      <c r="BNN58" s="5"/>
      <c r="BNO58" s="5"/>
      <c r="BNP58" s="5"/>
      <c r="BNQ58" s="5"/>
      <c r="BNR58" s="5"/>
      <c r="BNS58" s="5"/>
      <c r="BNT58" s="5"/>
      <c r="BNU58" s="5"/>
      <c r="BNV58" s="5"/>
      <c r="BNW58" s="5"/>
      <c r="BNX58" s="5"/>
      <c r="BNY58" s="5"/>
      <c r="BNZ58" s="5"/>
      <c r="BOA58" s="5"/>
      <c r="BOB58" s="5"/>
      <c r="BOC58" s="5"/>
      <c r="BOD58" s="5"/>
      <c r="BOE58" s="5"/>
      <c r="BOF58" s="5"/>
      <c r="BOG58" s="5"/>
      <c r="BOH58" s="5"/>
      <c r="BOI58" s="5"/>
      <c r="BOJ58" s="5"/>
      <c r="BOK58" s="5"/>
      <c r="BOL58" s="5"/>
      <c r="BOM58" s="5"/>
      <c r="BON58" s="5"/>
      <c r="BOO58" s="5"/>
      <c r="BOP58" s="5"/>
      <c r="BOQ58" s="5"/>
      <c r="BOR58" s="5"/>
      <c r="BOS58" s="5"/>
      <c r="BOT58" s="5"/>
      <c r="BOU58" s="5"/>
      <c r="BOV58" s="5"/>
      <c r="BOW58" s="5"/>
      <c r="BOX58" s="5"/>
      <c r="BOY58" s="5"/>
      <c r="BOZ58" s="5"/>
      <c r="BPA58" s="5"/>
      <c r="BPB58" s="5"/>
      <c r="BPC58" s="5"/>
      <c r="BPD58" s="5"/>
      <c r="BPE58" s="5"/>
      <c r="BPF58" s="5"/>
      <c r="BPG58" s="5"/>
      <c r="BPH58" s="5"/>
      <c r="BPI58" s="5"/>
      <c r="BPJ58" s="5"/>
      <c r="BPK58" s="5"/>
      <c r="BPL58" s="5"/>
      <c r="BPM58" s="5"/>
      <c r="BPN58" s="5"/>
      <c r="BPO58" s="5"/>
      <c r="BPP58" s="5"/>
      <c r="BPQ58" s="5"/>
      <c r="BPR58" s="5"/>
      <c r="BPS58" s="5"/>
      <c r="BPT58" s="5"/>
      <c r="BPU58" s="5"/>
      <c r="BPV58" s="5"/>
      <c r="BPW58" s="5"/>
      <c r="BPX58" s="5"/>
      <c r="BPY58" s="5"/>
      <c r="BPZ58" s="5"/>
      <c r="BQA58" s="5"/>
      <c r="BQB58" s="5"/>
      <c r="BQC58" s="5"/>
      <c r="BQD58" s="5"/>
      <c r="BQE58" s="5"/>
      <c r="BQF58" s="5"/>
      <c r="BQG58" s="5"/>
      <c r="BQH58" s="5"/>
      <c r="BQI58" s="5"/>
      <c r="BQJ58" s="5"/>
      <c r="BQK58" s="5"/>
      <c r="BQL58" s="5"/>
      <c r="BQM58" s="5"/>
      <c r="BQN58" s="5"/>
      <c r="BQO58" s="5"/>
      <c r="BQP58" s="5"/>
      <c r="BQQ58" s="5"/>
      <c r="BQR58" s="5"/>
      <c r="BQS58" s="5"/>
      <c r="BQT58" s="5"/>
      <c r="BQU58" s="5"/>
      <c r="BQV58" s="5"/>
      <c r="BQW58" s="5"/>
      <c r="BQX58" s="5"/>
      <c r="BQY58" s="5"/>
      <c r="BQZ58" s="5"/>
      <c r="BRA58" s="5"/>
      <c r="BRB58" s="5"/>
      <c r="BRC58" s="5"/>
      <c r="BRD58" s="5"/>
      <c r="BRE58" s="5"/>
      <c r="BRF58" s="5"/>
      <c r="BRG58" s="5"/>
      <c r="BRH58" s="5"/>
      <c r="BRI58" s="5"/>
      <c r="BRJ58" s="5"/>
      <c r="BRK58" s="5"/>
      <c r="BRL58" s="5"/>
      <c r="BRM58" s="5"/>
      <c r="BRN58" s="5"/>
      <c r="BRO58" s="5"/>
      <c r="BRP58" s="5"/>
      <c r="BRQ58" s="5"/>
      <c r="BRR58" s="5"/>
      <c r="BRS58" s="5"/>
      <c r="BRT58" s="5"/>
      <c r="BRU58" s="5"/>
      <c r="BRV58" s="5"/>
      <c r="BRW58" s="5"/>
      <c r="BRX58" s="5"/>
      <c r="BRY58" s="5"/>
      <c r="BRZ58" s="5"/>
      <c r="BSA58" s="5"/>
      <c r="BSB58" s="5"/>
      <c r="BSC58" s="5"/>
      <c r="BSD58" s="5"/>
      <c r="BSE58" s="5"/>
      <c r="BSF58" s="5"/>
      <c r="BSG58" s="5"/>
      <c r="BSH58" s="5"/>
      <c r="BSI58" s="5"/>
      <c r="BSJ58" s="5"/>
      <c r="BSK58" s="5"/>
      <c r="BSL58" s="5"/>
      <c r="BSM58" s="5"/>
      <c r="BSN58" s="5"/>
      <c r="BSO58" s="5"/>
      <c r="BSP58" s="5"/>
      <c r="BSQ58" s="5"/>
      <c r="BSR58" s="5"/>
      <c r="BSS58" s="5"/>
      <c r="BST58" s="5"/>
      <c r="BSU58" s="5"/>
      <c r="BSV58" s="5"/>
      <c r="BSW58" s="5"/>
      <c r="BSX58" s="5"/>
      <c r="BSY58" s="5"/>
      <c r="BSZ58" s="5"/>
      <c r="BTA58" s="5"/>
      <c r="BTB58" s="5"/>
      <c r="BTC58" s="5"/>
      <c r="BTD58" s="5"/>
      <c r="BTE58" s="5"/>
      <c r="BTF58" s="5"/>
      <c r="BTG58" s="5"/>
      <c r="BTH58" s="5"/>
      <c r="BTI58" s="5"/>
      <c r="BTJ58" s="5"/>
      <c r="BTK58" s="5"/>
      <c r="BTL58" s="5"/>
      <c r="BTM58" s="5"/>
      <c r="BTN58" s="5"/>
      <c r="BTO58" s="5"/>
      <c r="BTP58" s="5"/>
      <c r="BTQ58" s="5"/>
      <c r="BTR58" s="5"/>
      <c r="BTS58" s="5"/>
      <c r="BTT58" s="5"/>
      <c r="BTU58" s="5"/>
      <c r="BTV58" s="5"/>
      <c r="BTW58" s="5"/>
      <c r="BTX58" s="5"/>
      <c r="BTY58" s="5"/>
      <c r="BTZ58" s="5"/>
      <c r="BUA58" s="5"/>
      <c r="BUB58" s="5"/>
      <c r="BUC58" s="5"/>
      <c r="BUD58" s="5"/>
      <c r="BUE58" s="5"/>
      <c r="BUF58" s="5"/>
      <c r="BUG58" s="5"/>
      <c r="BUH58" s="5"/>
      <c r="BUI58" s="5"/>
      <c r="BUJ58" s="5"/>
      <c r="BUK58" s="5"/>
      <c r="BUL58" s="5"/>
      <c r="BUM58" s="5"/>
      <c r="BUN58" s="5"/>
      <c r="BUO58" s="5"/>
      <c r="BUP58" s="5"/>
      <c r="BUQ58" s="5"/>
      <c r="BUR58" s="5"/>
      <c r="BUS58" s="5"/>
      <c r="BUT58" s="5"/>
      <c r="BUU58" s="5"/>
      <c r="BUV58" s="5"/>
      <c r="BUW58" s="5"/>
      <c r="BUX58" s="5"/>
      <c r="BUY58" s="5"/>
      <c r="BUZ58" s="5"/>
      <c r="BVA58" s="5"/>
      <c r="BVB58" s="5"/>
      <c r="BVC58" s="5"/>
      <c r="BVD58" s="5"/>
      <c r="BVE58" s="5"/>
      <c r="BVF58" s="5"/>
      <c r="BVG58" s="5"/>
      <c r="BVH58" s="5"/>
      <c r="BVI58" s="5"/>
      <c r="BVJ58" s="5"/>
      <c r="BVK58" s="5"/>
      <c r="BVL58" s="5"/>
      <c r="BVM58" s="5"/>
      <c r="BVN58" s="5"/>
      <c r="BVO58" s="5"/>
      <c r="BVP58" s="5"/>
      <c r="BVQ58" s="5"/>
      <c r="BVR58" s="5"/>
      <c r="BVS58" s="5"/>
      <c r="BVT58" s="5"/>
      <c r="BVU58" s="5"/>
      <c r="BVV58" s="5"/>
      <c r="BVW58" s="5"/>
      <c r="BVX58" s="5"/>
      <c r="BVY58" s="5"/>
      <c r="BVZ58" s="5"/>
      <c r="BWA58" s="5"/>
      <c r="BWB58" s="5"/>
      <c r="BWC58" s="5"/>
      <c r="BWD58" s="5"/>
      <c r="BWE58" s="5"/>
      <c r="BWF58" s="5"/>
      <c r="BWG58" s="5"/>
      <c r="BWH58" s="5"/>
      <c r="BWI58" s="5"/>
      <c r="BWJ58" s="5"/>
      <c r="BWK58" s="5"/>
      <c r="BWL58" s="5"/>
      <c r="BWM58" s="5"/>
      <c r="BWN58" s="5"/>
      <c r="BWO58" s="5"/>
      <c r="BWP58" s="5"/>
      <c r="BWQ58" s="5"/>
      <c r="BWR58" s="5"/>
      <c r="BWS58" s="5"/>
      <c r="BWT58" s="5"/>
      <c r="BWU58" s="5"/>
      <c r="BWV58" s="5"/>
      <c r="BWW58" s="5"/>
      <c r="BWX58" s="5"/>
      <c r="BWY58" s="5"/>
      <c r="BWZ58" s="5"/>
      <c r="BXA58" s="5"/>
      <c r="BXB58" s="5"/>
      <c r="BXC58" s="5"/>
      <c r="BXD58" s="5"/>
      <c r="BXE58" s="5"/>
      <c r="BXF58" s="5"/>
      <c r="BXG58" s="5"/>
      <c r="BXH58" s="5"/>
      <c r="BXI58" s="5"/>
      <c r="BXJ58" s="5"/>
      <c r="BXK58" s="5"/>
      <c r="BXL58" s="5"/>
      <c r="BXM58" s="5"/>
      <c r="BXN58" s="5"/>
      <c r="BXO58" s="5"/>
      <c r="BXP58" s="5"/>
      <c r="BXQ58" s="5"/>
      <c r="BXR58" s="5"/>
      <c r="BXS58" s="5"/>
      <c r="BXT58" s="5"/>
      <c r="BXU58" s="5"/>
      <c r="BXV58" s="5"/>
      <c r="BXW58" s="5"/>
      <c r="BXX58" s="5"/>
      <c r="BXY58" s="5"/>
      <c r="BXZ58" s="5"/>
      <c r="BYA58" s="5"/>
      <c r="BYB58" s="5"/>
      <c r="BYC58" s="5"/>
      <c r="BYD58" s="5"/>
      <c r="BYE58" s="5"/>
      <c r="BYF58" s="5"/>
      <c r="BYG58" s="5"/>
      <c r="BYH58" s="5"/>
      <c r="BYI58" s="5"/>
      <c r="BYJ58" s="5"/>
      <c r="BYK58" s="5"/>
      <c r="BYL58" s="5"/>
      <c r="BYM58" s="5"/>
      <c r="BYN58" s="5"/>
      <c r="BYO58" s="5"/>
      <c r="BYP58" s="5"/>
      <c r="BYQ58" s="5"/>
      <c r="BYR58" s="5"/>
      <c r="BYS58" s="5"/>
      <c r="BYT58" s="5"/>
      <c r="BYU58" s="5"/>
      <c r="BYV58" s="5"/>
      <c r="BYW58" s="5"/>
      <c r="BYX58" s="5"/>
      <c r="BYY58" s="5"/>
      <c r="BYZ58" s="5"/>
      <c r="BZA58" s="5"/>
      <c r="BZB58" s="5"/>
      <c r="BZC58" s="5"/>
      <c r="BZD58" s="5"/>
      <c r="BZE58" s="5"/>
      <c r="BZF58" s="5"/>
      <c r="BZG58" s="5"/>
      <c r="BZH58" s="5"/>
      <c r="BZI58" s="5"/>
      <c r="BZJ58" s="5"/>
      <c r="BZK58" s="5"/>
      <c r="BZL58" s="5"/>
      <c r="BZM58" s="5"/>
      <c r="BZN58" s="5"/>
      <c r="BZO58" s="5"/>
      <c r="BZP58" s="5"/>
      <c r="BZQ58" s="5"/>
      <c r="BZR58" s="5"/>
      <c r="BZS58" s="5"/>
      <c r="BZT58" s="5"/>
      <c r="BZU58" s="5"/>
      <c r="BZV58" s="5"/>
      <c r="BZW58" s="5"/>
      <c r="BZX58" s="5"/>
      <c r="BZY58" s="5"/>
      <c r="BZZ58" s="5"/>
      <c r="CAA58" s="5"/>
      <c r="CAB58" s="5"/>
      <c r="CAC58" s="5"/>
      <c r="CAD58" s="5"/>
      <c r="CAE58" s="5"/>
      <c r="CAF58" s="5"/>
      <c r="CAG58" s="5"/>
      <c r="CAH58" s="5"/>
      <c r="CAI58" s="5"/>
      <c r="CAJ58" s="5"/>
      <c r="CAK58" s="5"/>
      <c r="CAL58" s="5"/>
      <c r="CAM58" s="5"/>
      <c r="CAN58" s="5"/>
      <c r="CAO58" s="5"/>
      <c r="CAP58" s="5"/>
      <c r="CAQ58" s="5"/>
      <c r="CAR58" s="5"/>
      <c r="CAS58" s="5"/>
      <c r="CAT58" s="5"/>
      <c r="CAU58" s="5"/>
      <c r="CAV58" s="5"/>
      <c r="CAW58" s="5"/>
      <c r="CAX58" s="5"/>
      <c r="CAY58" s="5"/>
      <c r="CAZ58" s="5"/>
      <c r="CBA58" s="5"/>
      <c r="CBB58" s="5"/>
      <c r="CBC58" s="5"/>
      <c r="CBD58" s="5"/>
      <c r="CBE58" s="5"/>
      <c r="CBF58" s="5"/>
      <c r="CBG58" s="5"/>
      <c r="CBH58" s="5"/>
      <c r="CBI58" s="5"/>
      <c r="CBJ58" s="5"/>
      <c r="CBK58" s="5"/>
      <c r="CBL58" s="5"/>
      <c r="CBM58" s="5"/>
      <c r="CBN58" s="5"/>
      <c r="CBO58" s="5"/>
      <c r="CBP58" s="5"/>
      <c r="CBQ58" s="5"/>
      <c r="CBR58" s="5"/>
      <c r="CBS58" s="5"/>
      <c r="CBT58" s="5"/>
      <c r="CBU58" s="5"/>
      <c r="CBV58" s="5"/>
      <c r="CBW58" s="5"/>
      <c r="CBX58" s="5"/>
      <c r="CBY58" s="5"/>
      <c r="CBZ58" s="5"/>
      <c r="CCA58" s="5"/>
      <c r="CCB58" s="5"/>
      <c r="CCC58" s="5"/>
      <c r="CCD58" s="5"/>
      <c r="CCE58" s="5"/>
      <c r="CCF58" s="5"/>
      <c r="CCG58" s="5"/>
      <c r="CCH58" s="5"/>
      <c r="CCI58" s="5"/>
      <c r="CCJ58" s="5"/>
      <c r="CCK58" s="5"/>
      <c r="CCL58" s="5"/>
      <c r="CCM58" s="5"/>
      <c r="CCN58" s="5"/>
      <c r="CCO58" s="5"/>
      <c r="CCP58" s="5"/>
      <c r="CCQ58" s="5"/>
      <c r="CCR58" s="5"/>
      <c r="CCS58" s="5"/>
      <c r="CCT58" s="5"/>
      <c r="CCU58" s="5"/>
      <c r="CCV58" s="5"/>
      <c r="CCW58" s="5"/>
      <c r="CCX58" s="5"/>
      <c r="CCY58" s="5"/>
      <c r="CCZ58" s="5"/>
      <c r="CDA58" s="5"/>
      <c r="CDB58" s="5"/>
      <c r="CDC58" s="5"/>
      <c r="CDD58" s="5"/>
      <c r="CDE58" s="5"/>
      <c r="CDF58" s="5"/>
      <c r="CDG58" s="5"/>
      <c r="CDH58" s="5"/>
      <c r="CDI58" s="5"/>
      <c r="CDJ58" s="5"/>
      <c r="CDK58" s="5"/>
      <c r="CDL58" s="5"/>
      <c r="CDM58" s="5"/>
      <c r="CDN58" s="5"/>
      <c r="CDO58" s="5"/>
      <c r="CDP58" s="5"/>
      <c r="CDQ58" s="5"/>
      <c r="CDR58" s="5"/>
      <c r="CDS58" s="5"/>
      <c r="CDT58" s="5"/>
      <c r="CDU58" s="5"/>
      <c r="CDV58" s="5"/>
      <c r="CDW58" s="5"/>
      <c r="CDX58" s="5"/>
      <c r="CDY58" s="5"/>
      <c r="CDZ58" s="5"/>
      <c r="CEA58" s="5"/>
      <c r="CEB58" s="5"/>
      <c r="CEC58" s="5"/>
      <c r="CED58" s="5"/>
      <c r="CEE58" s="5"/>
      <c r="CEF58" s="5"/>
      <c r="CEG58" s="5"/>
      <c r="CEH58" s="5"/>
      <c r="CEI58" s="5"/>
      <c r="CEJ58" s="5"/>
      <c r="CEK58" s="5"/>
      <c r="CEL58" s="5"/>
      <c r="CEM58" s="5"/>
      <c r="CEN58" s="5"/>
      <c r="CEO58" s="5"/>
      <c r="CEP58" s="5"/>
      <c r="CEQ58" s="5"/>
      <c r="CER58" s="5"/>
      <c r="CES58" s="5"/>
      <c r="CET58" s="5"/>
      <c r="CEU58" s="5"/>
      <c r="CEV58" s="5"/>
      <c r="CEW58" s="5"/>
      <c r="CEX58" s="5"/>
      <c r="CEY58" s="5"/>
      <c r="CEZ58" s="5"/>
      <c r="CFA58" s="5"/>
      <c r="CFB58" s="5"/>
      <c r="CFC58" s="5"/>
      <c r="CFD58" s="5"/>
      <c r="CFE58" s="5"/>
      <c r="CFF58" s="5"/>
      <c r="CFG58" s="5"/>
      <c r="CFH58" s="5"/>
      <c r="CFI58" s="5"/>
      <c r="CFJ58" s="5"/>
      <c r="CFK58" s="5"/>
      <c r="CFL58" s="5"/>
      <c r="CFM58" s="5"/>
      <c r="CFN58" s="5"/>
      <c r="CFO58" s="5"/>
      <c r="CFP58" s="5"/>
      <c r="CFQ58" s="5"/>
      <c r="CFR58" s="5"/>
      <c r="CFS58" s="5"/>
      <c r="CFT58" s="5"/>
      <c r="CFU58" s="5"/>
      <c r="CFV58" s="5"/>
      <c r="CFW58" s="5"/>
      <c r="CFX58" s="5"/>
      <c r="CFY58" s="5"/>
      <c r="CFZ58" s="5"/>
      <c r="CGA58" s="5"/>
      <c r="CGB58" s="5"/>
      <c r="CGC58" s="5"/>
      <c r="CGD58" s="5"/>
      <c r="CGE58" s="5"/>
      <c r="CGF58" s="5"/>
      <c r="CGG58" s="5"/>
      <c r="CGH58" s="5"/>
      <c r="CGI58" s="5"/>
      <c r="CGJ58" s="5"/>
      <c r="CGK58" s="5"/>
      <c r="CGL58" s="5"/>
      <c r="CGM58" s="5"/>
      <c r="CGN58" s="5"/>
      <c r="CGO58" s="5"/>
      <c r="CGP58" s="5"/>
      <c r="CGQ58" s="5"/>
      <c r="CGR58" s="5"/>
      <c r="CGS58" s="5"/>
      <c r="CGT58" s="5"/>
      <c r="CGU58" s="5"/>
      <c r="CGV58" s="5"/>
      <c r="CGW58" s="5"/>
      <c r="CGX58" s="5"/>
      <c r="CGY58" s="5"/>
      <c r="CGZ58" s="5"/>
      <c r="CHA58" s="5"/>
      <c r="CHB58" s="5"/>
      <c r="CHC58" s="5"/>
      <c r="CHD58" s="5"/>
      <c r="CHE58" s="5"/>
      <c r="CHF58" s="5"/>
      <c r="CHG58" s="5"/>
      <c r="CHH58" s="5"/>
      <c r="CHI58" s="5"/>
      <c r="CHJ58" s="5"/>
      <c r="CHK58" s="5"/>
      <c r="CHL58" s="5"/>
      <c r="CHM58" s="5"/>
      <c r="CHN58" s="5"/>
      <c r="CHO58" s="5"/>
      <c r="CHP58" s="5"/>
      <c r="CHQ58" s="5"/>
      <c r="CHR58" s="5"/>
      <c r="CHS58" s="5"/>
      <c r="CHT58" s="5"/>
      <c r="CHU58" s="5"/>
      <c r="CHV58" s="5"/>
      <c r="CHW58" s="5"/>
      <c r="CHX58" s="5"/>
      <c r="CHY58" s="5"/>
      <c r="CHZ58" s="5"/>
      <c r="CIA58" s="5"/>
      <c r="CIB58" s="5"/>
      <c r="CIC58" s="5"/>
      <c r="CID58" s="5"/>
      <c r="CIE58" s="5"/>
      <c r="CIF58" s="5"/>
      <c r="CIG58" s="5"/>
      <c r="CIH58" s="5"/>
      <c r="CII58" s="5"/>
      <c r="CIJ58" s="5"/>
      <c r="CIK58" s="5"/>
      <c r="CIL58" s="5"/>
      <c r="CIM58" s="5"/>
      <c r="CIN58" s="5"/>
      <c r="CIO58" s="5"/>
      <c r="CIP58" s="5"/>
      <c r="CIQ58" s="5"/>
      <c r="CIR58" s="5"/>
      <c r="CIS58" s="5"/>
      <c r="CIT58" s="5"/>
      <c r="CIU58" s="5"/>
      <c r="CIV58" s="5"/>
      <c r="CIW58" s="5"/>
      <c r="CIX58" s="5"/>
      <c r="CIY58" s="5"/>
      <c r="CIZ58" s="5"/>
      <c r="CJA58" s="5"/>
      <c r="CJB58" s="5"/>
      <c r="CJC58" s="5"/>
      <c r="CJD58" s="5"/>
      <c r="CJE58" s="5"/>
      <c r="CJF58" s="5"/>
      <c r="CJG58" s="5"/>
      <c r="CJH58" s="5"/>
      <c r="CJI58" s="5"/>
      <c r="CJJ58" s="5"/>
      <c r="CJK58" s="5"/>
      <c r="CJL58" s="5"/>
      <c r="CJM58" s="5"/>
      <c r="CJN58" s="5"/>
      <c r="CJO58" s="5"/>
      <c r="CJP58" s="5"/>
      <c r="CJQ58" s="5"/>
      <c r="CJR58" s="5"/>
      <c r="CJS58" s="5"/>
      <c r="CJT58" s="5"/>
      <c r="CJU58" s="5"/>
      <c r="CJV58" s="5"/>
      <c r="CJW58" s="5"/>
      <c r="CJX58" s="5"/>
      <c r="CJY58" s="5"/>
      <c r="CJZ58" s="5"/>
      <c r="CKA58" s="5"/>
      <c r="CKB58" s="5"/>
      <c r="CKC58" s="5"/>
      <c r="CKD58" s="5"/>
      <c r="CKE58" s="5"/>
      <c r="CKF58" s="5"/>
      <c r="CKG58" s="5"/>
      <c r="CKH58" s="5"/>
      <c r="CKI58" s="5"/>
      <c r="CKJ58" s="5"/>
      <c r="CKK58" s="5"/>
      <c r="CKL58" s="5"/>
      <c r="CKM58" s="5"/>
      <c r="CKN58" s="5"/>
      <c r="CKO58" s="5"/>
      <c r="CKP58" s="5"/>
      <c r="CKQ58" s="5"/>
      <c r="CKR58" s="5"/>
      <c r="CKS58" s="5"/>
      <c r="CKT58" s="5"/>
      <c r="CKU58" s="5"/>
      <c r="CKV58" s="5"/>
      <c r="CKW58" s="5"/>
      <c r="CKX58" s="5"/>
      <c r="CKY58" s="5"/>
      <c r="CKZ58" s="5"/>
      <c r="CLA58" s="5"/>
      <c r="CLB58" s="5"/>
      <c r="CLC58" s="5"/>
      <c r="CLD58" s="5"/>
      <c r="CLE58" s="5"/>
      <c r="CLF58" s="5"/>
      <c r="CLG58" s="5"/>
      <c r="CLH58" s="5"/>
      <c r="CLI58" s="5"/>
      <c r="CLJ58" s="5"/>
      <c r="CLK58" s="5"/>
      <c r="CLL58" s="5"/>
      <c r="CLM58" s="5"/>
      <c r="CLN58" s="5"/>
      <c r="CLO58" s="5"/>
      <c r="CLP58" s="5"/>
      <c r="CLQ58" s="5"/>
      <c r="CLR58" s="5"/>
      <c r="CLS58" s="5"/>
      <c r="CLT58" s="5"/>
      <c r="CLU58" s="5"/>
      <c r="CLV58" s="5"/>
      <c r="CLW58" s="5"/>
      <c r="CLX58" s="5"/>
      <c r="CLY58" s="5"/>
      <c r="CLZ58" s="5"/>
      <c r="CMA58" s="5"/>
      <c r="CMB58" s="5"/>
      <c r="CMC58" s="5"/>
      <c r="CMD58" s="5"/>
      <c r="CME58" s="5"/>
      <c r="CMF58" s="5"/>
      <c r="CMG58" s="5"/>
      <c r="CMH58" s="5"/>
      <c r="CMI58" s="5"/>
      <c r="CMJ58" s="5"/>
      <c r="CMK58" s="5"/>
      <c r="CML58" s="5"/>
      <c r="CMM58" s="5"/>
      <c r="CMN58" s="5"/>
      <c r="CMO58" s="5"/>
      <c r="CMP58" s="5"/>
      <c r="CMQ58" s="5"/>
      <c r="CMR58" s="5"/>
      <c r="CMS58" s="5"/>
      <c r="CMT58" s="5"/>
      <c r="CMU58" s="5"/>
      <c r="CMV58" s="5"/>
      <c r="CMW58" s="5"/>
      <c r="CMX58" s="5"/>
      <c r="CMY58" s="5"/>
      <c r="CMZ58" s="5"/>
      <c r="CNA58" s="5"/>
      <c r="CNB58" s="5"/>
      <c r="CNC58" s="5"/>
      <c r="CND58" s="5"/>
      <c r="CNE58" s="5"/>
      <c r="CNF58" s="5"/>
      <c r="CNG58" s="5"/>
      <c r="CNH58" s="5"/>
      <c r="CNI58" s="5"/>
      <c r="CNJ58" s="5"/>
      <c r="CNK58" s="5"/>
      <c r="CNL58" s="5"/>
      <c r="CNM58" s="5"/>
      <c r="CNN58" s="5"/>
      <c r="CNO58" s="5"/>
      <c r="CNP58" s="5"/>
      <c r="CNQ58" s="5"/>
      <c r="CNR58" s="5"/>
      <c r="CNS58" s="5"/>
      <c r="CNT58" s="5"/>
      <c r="CNU58" s="5"/>
      <c r="CNV58" s="5"/>
      <c r="CNW58" s="5"/>
      <c r="CNX58" s="5"/>
      <c r="CNY58" s="5"/>
      <c r="CNZ58" s="5"/>
      <c r="COA58" s="5"/>
      <c r="COB58" s="5"/>
      <c r="COC58" s="5"/>
      <c r="COD58" s="5"/>
      <c r="COE58" s="5"/>
      <c r="COF58" s="5"/>
      <c r="COG58" s="5"/>
      <c r="COH58" s="5"/>
      <c r="COI58" s="5"/>
      <c r="COJ58" s="5"/>
      <c r="COK58" s="5"/>
      <c r="COL58" s="5"/>
      <c r="COM58" s="5"/>
      <c r="CON58" s="5"/>
      <c r="COO58" s="5"/>
      <c r="COP58" s="5"/>
      <c r="COQ58" s="5"/>
      <c r="COR58" s="5"/>
      <c r="COS58" s="5"/>
      <c r="COT58" s="5"/>
      <c r="COU58" s="5"/>
      <c r="COV58" s="5"/>
      <c r="COW58" s="5"/>
      <c r="COX58" s="5"/>
      <c r="COY58" s="5"/>
      <c r="COZ58" s="5"/>
      <c r="CPA58" s="5"/>
      <c r="CPB58" s="5"/>
      <c r="CPC58" s="5"/>
      <c r="CPD58" s="5"/>
      <c r="CPE58" s="5"/>
      <c r="CPF58" s="5"/>
      <c r="CPG58" s="5"/>
      <c r="CPH58" s="5"/>
      <c r="CPI58" s="5"/>
      <c r="CPJ58" s="5"/>
      <c r="CPK58" s="5"/>
      <c r="CPL58" s="5"/>
      <c r="CPM58" s="5"/>
      <c r="CPN58" s="5"/>
      <c r="CPO58" s="5"/>
      <c r="CPP58" s="5"/>
      <c r="CPQ58" s="5"/>
      <c r="CPR58" s="5"/>
      <c r="CPS58" s="5"/>
      <c r="CPT58" s="5"/>
      <c r="CPU58" s="5"/>
      <c r="CPV58" s="5"/>
      <c r="CPW58" s="5"/>
      <c r="CPX58" s="5"/>
      <c r="CPY58" s="5"/>
      <c r="CPZ58" s="5"/>
      <c r="CQA58" s="5"/>
      <c r="CQB58" s="5"/>
      <c r="CQC58" s="5"/>
      <c r="CQD58" s="5"/>
      <c r="CQE58" s="5"/>
      <c r="CQF58" s="5"/>
      <c r="CQG58" s="5"/>
      <c r="CQH58" s="5"/>
      <c r="CQI58" s="5"/>
      <c r="CQJ58" s="5"/>
      <c r="CQK58" s="5"/>
      <c r="CQL58" s="5"/>
      <c r="CQM58" s="5"/>
      <c r="CQN58" s="5"/>
      <c r="CQO58" s="5"/>
      <c r="CQP58" s="5"/>
      <c r="CQQ58" s="5"/>
      <c r="CQR58" s="5"/>
      <c r="CQS58" s="5"/>
      <c r="CQT58" s="5"/>
      <c r="CQU58" s="5"/>
      <c r="CQV58" s="5"/>
      <c r="CQW58" s="5"/>
      <c r="CQX58" s="5"/>
      <c r="CQY58" s="5"/>
      <c r="CQZ58" s="5"/>
      <c r="CRA58" s="5"/>
      <c r="CRB58" s="5"/>
      <c r="CRC58" s="5"/>
      <c r="CRD58" s="5"/>
      <c r="CRE58" s="5"/>
      <c r="CRF58" s="5"/>
      <c r="CRG58" s="5"/>
      <c r="CRH58" s="5"/>
      <c r="CRI58" s="5"/>
      <c r="CRJ58" s="5"/>
      <c r="CRK58" s="5"/>
      <c r="CRL58" s="5"/>
      <c r="CRM58" s="5"/>
      <c r="CRN58" s="5"/>
      <c r="CRO58" s="5"/>
      <c r="CRP58" s="5"/>
      <c r="CRQ58" s="5"/>
      <c r="CRR58" s="5"/>
      <c r="CRS58" s="5"/>
      <c r="CRT58" s="5"/>
      <c r="CRU58" s="5"/>
      <c r="CRV58" s="5"/>
      <c r="CRW58" s="5"/>
      <c r="CRX58" s="5"/>
      <c r="CRY58" s="5"/>
      <c r="CRZ58" s="5"/>
      <c r="CSA58" s="5"/>
      <c r="CSB58" s="5"/>
      <c r="CSC58" s="5"/>
      <c r="CSD58" s="5"/>
      <c r="CSE58" s="5"/>
      <c r="CSF58" s="5"/>
      <c r="CSG58" s="5"/>
      <c r="CSH58" s="5"/>
      <c r="CSI58" s="5"/>
      <c r="CSJ58" s="5"/>
      <c r="CSK58" s="5"/>
      <c r="CSL58" s="5"/>
      <c r="CSM58" s="5"/>
      <c r="CSN58" s="5"/>
      <c r="CSO58" s="5"/>
      <c r="CSP58" s="5"/>
      <c r="CSQ58" s="5"/>
      <c r="CSR58" s="5"/>
      <c r="CSS58" s="5"/>
      <c r="CST58" s="5"/>
      <c r="CSU58" s="5"/>
      <c r="CSV58" s="5"/>
      <c r="CSW58" s="5"/>
      <c r="CSX58" s="5"/>
      <c r="CSY58" s="5"/>
      <c r="CSZ58" s="5"/>
      <c r="CTA58" s="5"/>
      <c r="CTB58" s="5"/>
      <c r="CTC58" s="5"/>
      <c r="CTD58" s="5"/>
      <c r="CTE58" s="5"/>
      <c r="CTF58" s="5"/>
      <c r="CTG58" s="5"/>
      <c r="CTH58" s="5"/>
      <c r="CTI58" s="5"/>
      <c r="CTJ58" s="5"/>
      <c r="CTK58" s="5"/>
      <c r="CTL58" s="5"/>
      <c r="CTM58" s="5"/>
      <c r="CTN58" s="5"/>
      <c r="CTO58" s="5"/>
      <c r="CTP58" s="5"/>
      <c r="CTQ58" s="5"/>
      <c r="CTR58" s="5"/>
      <c r="CTS58" s="5"/>
      <c r="CTT58" s="5"/>
      <c r="CTU58" s="5"/>
      <c r="CTV58" s="5"/>
      <c r="CTW58" s="5"/>
      <c r="CTX58" s="5"/>
      <c r="CTY58" s="5"/>
      <c r="CTZ58" s="5"/>
      <c r="CUA58" s="5"/>
      <c r="CUB58" s="5"/>
      <c r="CUC58" s="5"/>
      <c r="CUD58" s="5"/>
      <c r="CUE58" s="5"/>
      <c r="CUF58" s="5"/>
      <c r="CUG58" s="5"/>
      <c r="CUH58" s="5"/>
      <c r="CUI58" s="5"/>
      <c r="CUJ58" s="5"/>
      <c r="CUK58" s="5"/>
      <c r="CUL58" s="5"/>
      <c r="CUM58" s="5"/>
      <c r="CUN58" s="5"/>
      <c r="CUO58" s="5"/>
      <c r="CUP58" s="5"/>
      <c r="CUQ58" s="5"/>
      <c r="CUR58" s="5"/>
      <c r="CUS58" s="5"/>
      <c r="CUT58" s="5"/>
      <c r="CUU58" s="5"/>
      <c r="CUV58" s="5"/>
      <c r="CUW58" s="5"/>
      <c r="CUX58" s="5"/>
      <c r="CUY58" s="5"/>
      <c r="CUZ58" s="5"/>
      <c r="CVA58" s="5"/>
      <c r="CVB58" s="5"/>
      <c r="CVC58" s="5"/>
      <c r="CVD58" s="5"/>
      <c r="CVE58" s="5"/>
      <c r="CVF58" s="5"/>
      <c r="CVG58" s="5"/>
      <c r="CVH58" s="5"/>
      <c r="CVI58" s="5"/>
      <c r="CVJ58" s="5"/>
      <c r="CVK58" s="5"/>
      <c r="CVL58" s="5"/>
      <c r="CVM58" s="5"/>
      <c r="CVN58" s="5"/>
      <c r="CVO58" s="5"/>
      <c r="CVP58" s="5"/>
      <c r="CVQ58" s="5"/>
      <c r="CVR58" s="5"/>
      <c r="CVS58" s="5"/>
      <c r="CVT58" s="5"/>
      <c r="CVU58" s="5"/>
      <c r="CVV58" s="5"/>
      <c r="CVW58" s="5"/>
      <c r="CVX58" s="5"/>
      <c r="CVY58" s="5"/>
      <c r="CVZ58" s="5"/>
      <c r="CWA58" s="5"/>
      <c r="CWB58" s="5"/>
      <c r="CWC58" s="5"/>
      <c r="CWD58" s="5"/>
      <c r="CWE58" s="5"/>
      <c r="CWF58" s="5"/>
      <c r="CWG58" s="5"/>
      <c r="CWH58" s="5"/>
      <c r="CWI58" s="5"/>
      <c r="CWJ58" s="5"/>
      <c r="CWK58" s="5"/>
      <c r="CWL58" s="5"/>
      <c r="CWM58" s="5"/>
      <c r="CWN58" s="5"/>
      <c r="CWO58" s="5"/>
      <c r="CWP58" s="5"/>
      <c r="CWQ58" s="5"/>
      <c r="CWR58" s="5"/>
      <c r="CWS58" s="5"/>
      <c r="CWT58" s="5"/>
      <c r="CWU58" s="5"/>
      <c r="CWV58" s="5"/>
      <c r="CWW58" s="5"/>
      <c r="CWX58" s="5"/>
      <c r="CWY58" s="5"/>
      <c r="CWZ58" s="5"/>
      <c r="CXA58" s="5"/>
      <c r="CXB58" s="5"/>
      <c r="CXC58" s="5"/>
      <c r="CXD58" s="5"/>
      <c r="CXE58" s="5"/>
      <c r="CXF58" s="5"/>
      <c r="CXG58" s="5"/>
      <c r="CXH58" s="5"/>
      <c r="CXI58" s="5"/>
      <c r="CXJ58" s="5"/>
      <c r="CXK58" s="5"/>
      <c r="CXL58" s="5"/>
      <c r="CXM58" s="5"/>
      <c r="CXN58" s="5"/>
      <c r="CXO58" s="5"/>
      <c r="CXP58" s="5"/>
      <c r="CXQ58" s="5"/>
      <c r="CXR58" s="5"/>
      <c r="CXS58" s="5"/>
      <c r="CXT58" s="5"/>
      <c r="CXU58" s="5"/>
      <c r="CXV58" s="5"/>
      <c r="CXW58" s="5"/>
      <c r="CXX58" s="5"/>
      <c r="CXY58" s="5"/>
      <c r="CXZ58" s="5"/>
      <c r="CYA58" s="5"/>
      <c r="CYB58" s="5"/>
      <c r="CYC58" s="5"/>
      <c r="CYD58" s="5"/>
      <c r="CYE58" s="5"/>
      <c r="CYF58" s="5"/>
      <c r="CYG58" s="5"/>
      <c r="CYH58" s="5"/>
      <c r="CYI58" s="5"/>
      <c r="CYJ58" s="5"/>
      <c r="CYK58" s="5"/>
      <c r="CYL58" s="5"/>
      <c r="CYM58" s="5"/>
      <c r="CYN58" s="5"/>
      <c r="CYO58" s="5"/>
      <c r="CYP58" s="5"/>
      <c r="CYQ58" s="5"/>
      <c r="CYR58" s="5"/>
      <c r="CYS58" s="5"/>
      <c r="CYT58" s="5"/>
      <c r="CYU58" s="5"/>
      <c r="CYV58" s="5"/>
      <c r="CYW58" s="5"/>
      <c r="CYX58" s="5"/>
      <c r="CYY58" s="5"/>
      <c r="CYZ58" s="5"/>
      <c r="CZA58" s="5"/>
      <c r="CZB58" s="5"/>
      <c r="CZC58" s="5"/>
      <c r="CZD58" s="5"/>
      <c r="CZE58" s="5"/>
      <c r="CZF58" s="5"/>
      <c r="CZG58" s="5"/>
      <c r="CZH58" s="5"/>
      <c r="CZI58" s="5"/>
      <c r="CZJ58" s="5"/>
      <c r="CZK58" s="5"/>
      <c r="CZL58" s="5"/>
      <c r="CZM58" s="5"/>
      <c r="CZN58" s="5"/>
      <c r="CZO58" s="5"/>
      <c r="CZP58" s="5"/>
      <c r="CZQ58" s="5"/>
      <c r="CZR58" s="5"/>
      <c r="CZS58" s="5"/>
      <c r="CZT58" s="5"/>
      <c r="CZU58" s="5"/>
      <c r="CZV58" s="5"/>
      <c r="CZW58" s="5"/>
      <c r="CZX58" s="5"/>
      <c r="CZY58" s="5"/>
      <c r="CZZ58" s="5"/>
      <c r="DAA58" s="5"/>
      <c r="DAB58" s="5"/>
      <c r="DAC58" s="5"/>
      <c r="DAD58" s="5"/>
      <c r="DAE58" s="5"/>
      <c r="DAF58" s="5"/>
      <c r="DAG58" s="5"/>
      <c r="DAH58" s="5"/>
      <c r="DAI58" s="5"/>
      <c r="DAJ58" s="5"/>
      <c r="DAK58" s="5"/>
      <c r="DAL58" s="5"/>
      <c r="DAM58" s="5"/>
      <c r="DAN58" s="5"/>
      <c r="DAO58" s="5"/>
      <c r="DAP58" s="5"/>
      <c r="DAQ58" s="5"/>
      <c r="DAR58" s="5"/>
      <c r="DAS58" s="5"/>
      <c r="DAT58" s="5"/>
      <c r="DAU58" s="5"/>
      <c r="DAV58" s="5"/>
      <c r="DAW58" s="5"/>
      <c r="DAX58" s="5"/>
      <c r="DAY58" s="5"/>
      <c r="DAZ58" s="5"/>
      <c r="DBA58" s="5"/>
      <c r="DBB58" s="5"/>
      <c r="DBC58" s="5"/>
      <c r="DBD58" s="5"/>
      <c r="DBE58" s="5"/>
      <c r="DBF58" s="5"/>
      <c r="DBG58" s="5"/>
      <c r="DBH58" s="5"/>
      <c r="DBI58" s="5"/>
      <c r="DBJ58" s="5"/>
      <c r="DBK58" s="5"/>
      <c r="DBL58" s="5"/>
      <c r="DBM58" s="5"/>
      <c r="DBN58" s="5"/>
      <c r="DBO58" s="5"/>
      <c r="DBP58" s="5"/>
      <c r="DBQ58" s="5"/>
      <c r="DBR58" s="5"/>
      <c r="DBS58" s="5"/>
      <c r="DBT58" s="5"/>
      <c r="DBU58" s="5"/>
      <c r="DBV58" s="5"/>
      <c r="DBW58" s="5"/>
      <c r="DBX58" s="5"/>
      <c r="DBY58" s="5"/>
      <c r="DBZ58" s="5"/>
      <c r="DCA58" s="5"/>
      <c r="DCB58" s="5"/>
      <c r="DCC58" s="5"/>
      <c r="DCD58" s="5"/>
      <c r="DCE58" s="5"/>
      <c r="DCF58" s="5"/>
      <c r="DCG58" s="5"/>
      <c r="DCH58" s="5"/>
      <c r="DCI58" s="5"/>
      <c r="DCJ58" s="5"/>
      <c r="DCK58" s="5"/>
      <c r="DCL58" s="5"/>
      <c r="DCM58" s="5"/>
      <c r="DCN58" s="5"/>
      <c r="DCO58" s="5"/>
      <c r="DCP58" s="5"/>
      <c r="DCQ58" s="5"/>
      <c r="DCR58" s="5"/>
      <c r="DCS58" s="5"/>
      <c r="DCT58" s="5"/>
      <c r="DCU58" s="5"/>
      <c r="DCV58" s="5"/>
      <c r="DCW58" s="5"/>
      <c r="DCX58" s="5"/>
      <c r="DCY58" s="5"/>
      <c r="DCZ58" s="5"/>
      <c r="DDA58" s="5"/>
      <c r="DDB58" s="5"/>
      <c r="DDC58" s="5"/>
      <c r="DDD58" s="5"/>
      <c r="DDE58" s="5"/>
      <c r="DDF58" s="5"/>
      <c r="DDG58" s="5"/>
      <c r="DDH58" s="5"/>
      <c r="DDI58" s="5"/>
      <c r="DDJ58" s="5"/>
      <c r="DDK58" s="5"/>
      <c r="DDL58" s="5"/>
      <c r="DDM58" s="5"/>
      <c r="DDN58" s="5"/>
      <c r="DDO58" s="5"/>
      <c r="DDP58" s="5"/>
      <c r="DDQ58" s="5"/>
      <c r="DDR58" s="5"/>
      <c r="DDS58" s="5"/>
      <c r="DDT58" s="5"/>
      <c r="DDU58" s="5"/>
      <c r="DDV58" s="5"/>
      <c r="DDW58" s="5"/>
      <c r="DDX58" s="5"/>
      <c r="DDY58" s="5"/>
      <c r="DDZ58" s="5"/>
      <c r="DEA58" s="5"/>
      <c r="DEB58" s="5"/>
      <c r="DEC58" s="5"/>
      <c r="DED58" s="5"/>
      <c r="DEE58" s="5"/>
      <c r="DEF58" s="5"/>
      <c r="DEG58" s="5"/>
      <c r="DEH58" s="5"/>
      <c r="DEI58" s="5"/>
      <c r="DEJ58" s="5"/>
      <c r="DEK58" s="5"/>
      <c r="DEL58" s="5"/>
      <c r="DEM58" s="5"/>
      <c r="DEN58" s="5"/>
      <c r="DEO58" s="5"/>
      <c r="DEP58" s="5"/>
      <c r="DEQ58" s="5"/>
      <c r="DER58" s="5"/>
      <c r="DES58" s="5"/>
      <c r="DET58" s="5"/>
      <c r="DEU58" s="5"/>
      <c r="DEV58" s="5"/>
      <c r="DEW58" s="5"/>
      <c r="DEX58" s="5"/>
      <c r="DEY58" s="5"/>
      <c r="DEZ58" s="5"/>
      <c r="DFA58" s="5"/>
      <c r="DFB58" s="5"/>
      <c r="DFC58" s="5"/>
      <c r="DFD58" s="5"/>
      <c r="DFE58" s="5"/>
      <c r="DFF58" s="5"/>
      <c r="DFG58" s="5"/>
      <c r="DFH58" s="5"/>
      <c r="DFI58" s="5"/>
      <c r="DFJ58" s="5"/>
      <c r="DFK58" s="5"/>
      <c r="DFL58" s="5"/>
      <c r="DFM58" s="5"/>
      <c r="DFN58" s="5"/>
      <c r="DFO58" s="5"/>
      <c r="DFP58" s="5"/>
      <c r="DFQ58" s="5"/>
      <c r="DFR58" s="5"/>
      <c r="DFS58" s="5"/>
      <c r="DFT58" s="5"/>
      <c r="DFU58" s="5"/>
      <c r="DFV58" s="5"/>
      <c r="DFW58" s="5"/>
      <c r="DFX58" s="5"/>
      <c r="DFY58" s="5"/>
      <c r="DFZ58" s="5"/>
      <c r="DGA58" s="5"/>
      <c r="DGB58" s="5"/>
      <c r="DGC58" s="5"/>
      <c r="DGD58" s="5"/>
      <c r="DGE58" s="5"/>
      <c r="DGF58" s="5"/>
      <c r="DGG58" s="5"/>
      <c r="DGH58" s="5"/>
      <c r="DGI58" s="5"/>
      <c r="DGJ58" s="5"/>
      <c r="DGK58" s="5"/>
      <c r="DGL58" s="5"/>
      <c r="DGM58" s="5"/>
      <c r="DGN58" s="5"/>
      <c r="DGO58" s="5"/>
      <c r="DGP58" s="5"/>
      <c r="DGQ58" s="5"/>
      <c r="DGR58" s="5"/>
      <c r="DGS58" s="5"/>
      <c r="DGT58" s="5"/>
      <c r="DGU58" s="5"/>
      <c r="DGV58" s="5"/>
      <c r="DGW58" s="5"/>
      <c r="DGX58" s="5"/>
      <c r="DGY58" s="5"/>
      <c r="DGZ58" s="5"/>
      <c r="DHA58" s="5"/>
      <c r="DHB58" s="5"/>
      <c r="DHC58" s="5"/>
      <c r="DHD58" s="5"/>
      <c r="DHE58" s="5"/>
      <c r="DHF58" s="5"/>
      <c r="DHG58" s="5"/>
      <c r="DHH58" s="5"/>
      <c r="DHI58" s="5"/>
      <c r="DHJ58" s="5"/>
      <c r="DHK58" s="5"/>
      <c r="DHL58" s="5"/>
      <c r="DHM58" s="5"/>
      <c r="DHN58" s="5"/>
      <c r="DHO58" s="5"/>
      <c r="DHP58" s="5"/>
      <c r="DHQ58" s="5"/>
      <c r="DHR58" s="5"/>
      <c r="DHS58" s="5"/>
      <c r="DHT58" s="5"/>
      <c r="DHU58" s="5"/>
      <c r="DHV58" s="5"/>
      <c r="DHW58" s="5"/>
      <c r="DHX58" s="5"/>
      <c r="DHY58" s="5"/>
      <c r="DHZ58" s="5"/>
      <c r="DIA58" s="5"/>
      <c r="DIB58" s="5"/>
      <c r="DIC58" s="5"/>
      <c r="DID58" s="5"/>
      <c r="DIE58" s="5"/>
      <c r="DIF58" s="5"/>
      <c r="DIG58" s="5"/>
      <c r="DIH58" s="5"/>
      <c r="DII58" s="5"/>
      <c r="DIJ58" s="5"/>
      <c r="DIK58" s="5"/>
      <c r="DIL58" s="5"/>
      <c r="DIM58" s="5"/>
      <c r="DIN58" s="5"/>
      <c r="DIO58" s="5"/>
      <c r="DIP58" s="5"/>
      <c r="DIQ58" s="5"/>
      <c r="DIR58" s="5"/>
      <c r="DIS58" s="5"/>
      <c r="DIT58" s="5"/>
      <c r="DIU58" s="5"/>
      <c r="DIV58" s="5"/>
      <c r="DIW58" s="5"/>
      <c r="DIX58" s="5"/>
      <c r="DIY58" s="5"/>
      <c r="DIZ58" s="5"/>
      <c r="DJA58" s="5"/>
      <c r="DJB58" s="5"/>
      <c r="DJC58" s="5"/>
      <c r="DJD58" s="5"/>
      <c r="DJE58" s="5"/>
      <c r="DJF58" s="5"/>
      <c r="DJG58" s="5"/>
      <c r="DJH58" s="5"/>
      <c r="DJI58" s="5"/>
      <c r="DJJ58" s="5"/>
      <c r="DJK58" s="5"/>
      <c r="DJL58" s="5"/>
      <c r="DJM58" s="5"/>
      <c r="DJN58" s="5"/>
      <c r="DJO58" s="5"/>
      <c r="DJP58" s="5"/>
      <c r="DJQ58" s="5"/>
      <c r="DJR58" s="5"/>
      <c r="DJS58" s="5"/>
      <c r="DJT58" s="5"/>
      <c r="DJU58" s="5"/>
      <c r="DJV58" s="5"/>
      <c r="DJW58" s="5"/>
      <c r="DJX58" s="5"/>
      <c r="DJY58" s="5"/>
      <c r="DJZ58" s="5"/>
      <c r="DKA58" s="5"/>
      <c r="DKB58" s="5"/>
      <c r="DKC58" s="5"/>
      <c r="DKD58" s="5"/>
      <c r="DKE58" s="5"/>
      <c r="DKF58" s="5"/>
      <c r="DKG58" s="5"/>
      <c r="DKH58" s="5"/>
      <c r="DKI58" s="5"/>
      <c r="DKJ58" s="5"/>
      <c r="DKK58" s="5"/>
      <c r="DKL58" s="5"/>
      <c r="DKM58" s="5"/>
      <c r="DKN58" s="5"/>
      <c r="DKO58" s="5"/>
      <c r="DKP58" s="5"/>
      <c r="DKQ58" s="5"/>
      <c r="DKR58" s="5"/>
      <c r="DKS58" s="5"/>
      <c r="DKT58" s="5"/>
      <c r="DKU58" s="5"/>
      <c r="DKV58" s="5"/>
      <c r="DKW58" s="5"/>
      <c r="DKX58" s="5"/>
      <c r="DKY58" s="5"/>
      <c r="DKZ58" s="5"/>
      <c r="DLA58" s="5"/>
      <c r="DLB58" s="5"/>
      <c r="DLC58" s="5"/>
      <c r="DLD58" s="5"/>
      <c r="DLE58" s="5"/>
      <c r="DLF58" s="5"/>
      <c r="DLG58" s="5"/>
      <c r="DLH58" s="5"/>
      <c r="DLI58" s="5"/>
      <c r="DLJ58" s="5"/>
      <c r="DLK58" s="5"/>
      <c r="DLL58" s="5"/>
      <c r="DLM58" s="5"/>
      <c r="DLN58" s="5"/>
      <c r="DLO58" s="5"/>
      <c r="DLP58" s="5"/>
      <c r="DLQ58" s="5"/>
      <c r="DLR58" s="5"/>
      <c r="DLS58" s="5"/>
      <c r="DLT58" s="5"/>
      <c r="DLU58" s="5"/>
      <c r="DLV58" s="5"/>
      <c r="DLW58" s="5"/>
      <c r="DLX58" s="5"/>
      <c r="DLY58" s="5"/>
      <c r="DLZ58" s="5"/>
      <c r="DMA58" s="5"/>
      <c r="DMB58" s="5"/>
      <c r="DMC58" s="5"/>
      <c r="DMD58" s="5"/>
      <c r="DME58" s="5"/>
      <c r="DMF58" s="5"/>
      <c r="DMG58" s="5"/>
      <c r="DMH58" s="5"/>
      <c r="DMI58" s="5"/>
      <c r="DMJ58" s="5"/>
      <c r="DMK58" s="5"/>
      <c r="DML58" s="5"/>
      <c r="DMM58" s="5"/>
      <c r="DMN58" s="5"/>
      <c r="DMO58" s="5"/>
      <c r="DMP58" s="5"/>
      <c r="DMQ58" s="5"/>
      <c r="DMR58" s="5"/>
      <c r="DMS58" s="5"/>
      <c r="DMT58" s="5"/>
      <c r="DMU58" s="5"/>
      <c r="DMV58" s="5"/>
      <c r="DMW58" s="5"/>
      <c r="DMX58" s="5"/>
      <c r="DMY58" s="5"/>
      <c r="DMZ58" s="5"/>
      <c r="DNA58" s="5"/>
      <c r="DNB58" s="5"/>
      <c r="DNC58" s="5"/>
      <c r="DND58" s="5"/>
      <c r="DNE58" s="5"/>
      <c r="DNF58" s="5"/>
      <c r="DNG58" s="5"/>
      <c r="DNH58" s="5"/>
      <c r="DNI58" s="5"/>
      <c r="DNJ58" s="5"/>
      <c r="DNK58" s="5"/>
      <c r="DNL58" s="5"/>
      <c r="DNM58" s="5"/>
      <c r="DNN58" s="5"/>
      <c r="DNO58" s="5"/>
      <c r="DNP58" s="5"/>
      <c r="DNQ58" s="5"/>
      <c r="DNR58" s="5"/>
      <c r="DNS58" s="5"/>
      <c r="DNT58" s="5"/>
      <c r="DNU58" s="5"/>
      <c r="DNV58" s="5"/>
      <c r="DNW58" s="5"/>
      <c r="DNX58" s="5"/>
      <c r="DNY58" s="5"/>
      <c r="DNZ58" s="5"/>
      <c r="DOA58" s="5"/>
      <c r="DOB58" s="5"/>
      <c r="DOC58" s="5"/>
      <c r="DOD58" s="5"/>
      <c r="DOE58" s="5"/>
      <c r="DOF58" s="5"/>
      <c r="DOG58" s="5"/>
      <c r="DOH58" s="5"/>
      <c r="DOI58" s="5"/>
      <c r="DOJ58" s="5"/>
      <c r="DOK58" s="5"/>
      <c r="DOL58" s="5"/>
      <c r="DOM58" s="5"/>
      <c r="DON58" s="5"/>
      <c r="DOO58" s="5"/>
      <c r="DOP58" s="5"/>
      <c r="DOQ58" s="5"/>
      <c r="DOR58" s="5"/>
      <c r="DOS58" s="5"/>
      <c r="DOT58" s="5"/>
      <c r="DOU58" s="5"/>
      <c r="DOV58" s="5"/>
      <c r="DOW58" s="5"/>
      <c r="DOX58" s="5"/>
      <c r="DOY58" s="5"/>
      <c r="DOZ58" s="5"/>
      <c r="DPA58" s="5"/>
      <c r="DPB58" s="5"/>
      <c r="DPC58" s="5"/>
      <c r="DPD58" s="5"/>
      <c r="DPE58" s="5"/>
      <c r="DPF58" s="5"/>
      <c r="DPG58" s="5"/>
      <c r="DPH58" s="5"/>
      <c r="DPI58" s="5"/>
      <c r="DPJ58" s="5"/>
      <c r="DPK58" s="5"/>
      <c r="DPL58" s="5"/>
      <c r="DPM58" s="5"/>
      <c r="DPN58" s="5"/>
      <c r="DPO58" s="5"/>
      <c r="DPP58" s="5"/>
      <c r="DPQ58" s="5"/>
      <c r="DPR58" s="5"/>
      <c r="DPS58" s="5"/>
      <c r="DPT58" s="5"/>
      <c r="DPU58" s="5"/>
      <c r="DPV58" s="5"/>
      <c r="DPW58" s="5"/>
      <c r="DPX58" s="5"/>
      <c r="DPY58" s="5"/>
      <c r="DPZ58" s="5"/>
      <c r="DQA58" s="5"/>
      <c r="DQB58" s="5"/>
      <c r="DQC58" s="5"/>
      <c r="DQD58" s="5"/>
      <c r="DQE58" s="5"/>
      <c r="DQF58" s="5"/>
      <c r="DQG58" s="5"/>
      <c r="DQH58" s="5"/>
      <c r="DQI58" s="5"/>
      <c r="DQJ58" s="5"/>
      <c r="DQK58" s="5"/>
      <c r="DQL58" s="5"/>
      <c r="DQM58" s="5"/>
      <c r="DQN58" s="5"/>
      <c r="DQO58" s="5"/>
      <c r="DQP58" s="5"/>
      <c r="DQQ58" s="5"/>
      <c r="DQR58" s="5"/>
      <c r="DQS58" s="5"/>
      <c r="DQT58" s="5"/>
      <c r="DQU58" s="5"/>
      <c r="DQV58" s="5"/>
      <c r="DQW58" s="5"/>
      <c r="DQX58" s="5"/>
      <c r="DQY58" s="5"/>
      <c r="DQZ58" s="5"/>
      <c r="DRA58" s="5"/>
      <c r="DRB58" s="5"/>
      <c r="DRC58" s="5"/>
      <c r="DRD58" s="5"/>
      <c r="DRE58" s="5"/>
      <c r="DRF58" s="5"/>
      <c r="DRG58" s="5"/>
      <c r="DRH58" s="5"/>
      <c r="DRI58" s="5"/>
      <c r="DRJ58" s="5"/>
      <c r="DRK58" s="5"/>
      <c r="DRL58" s="5"/>
      <c r="DRM58" s="5"/>
      <c r="DRN58" s="5"/>
      <c r="DRO58" s="5"/>
      <c r="DRP58" s="5"/>
      <c r="DRQ58" s="5"/>
      <c r="DRR58" s="5"/>
      <c r="DRS58" s="5"/>
      <c r="DRT58" s="5"/>
      <c r="DRU58" s="5"/>
      <c r="DRV58" s="5"/>
      <c r="DRW58" s="5"/>
      <c r="DRX58" s="5"/>
      <c r="DRY58" s="5"/>
      <c r="DRZ58" s="5"/>
      <c r="DSA58" s="5"/>
      <c r="DSB58" s="5"/>
      <c r="DSC58" s="5"/>
      <c r="DSD58" s="5"/>
      <c r="DSE58" s="5"/>
      <c r="DSF58" s="5"/>
      <c r="DSG58" s="5"/>
      <c r="DSH58" s="5"/>
      <c r="DSI58" s="5"/>
      <c r="DSJ58" s="5"/>
      <c r="DSK58" s="5"/>
      <c r="DSL58" s="5"/>
      <c r="DSM58" s="5"/>
      <c r="DSN58" s="5"/>
      <c r="DSO58" s="5"/>
      <c r="DSP58" s="5"/>
      <c r="DSQ58" s="5"/>
      <c r="DSR58" s="5"/>
      <c r="DSS58" s="5"/>
      <c r="DST58" s="5"/>
      <c r="DSU58" s="5"/>
      <c r="DSV58" s="5"/>
      <c r="DSW58" s="5"/>
      <c r="DSX58" s="5"/>
      <c r="DSY58" s="5"/>
      <c r="DSZ58" s="5"/>
      <c r="DTA58" s="5"/>
      <c r="DTB58" s="5"/>
      <c r="DTC58" s="5"/>
      <c r="DTD58" s="5"/>
      <c r="DTE58" s="5"/>
      <c r="DTF58" s="5"/>
      <c r="DTG58" s="5"/>
      <c r="DTH58" s="5"/>
      <c r="DTI58" s="5"/>
      <c r="DTJ58" s="5"/>
      <c r="DTK58" s="5"/>
      <c r="DTL58" s="5"/>
      <c r="DTM58" s="5"/>
      <c r="DTN58" s="5"/>
      <c r="DTO58" s="5"/>
      <c r="DTP58" s="5"/>
      <c r="DTQ58" s="5"/>
      <c r="DTR58" s="5"/>
      <c r="DTS58" s="5"/>
      <c r="DTT58" s="5"/>
      <c r="DTU58" s="5"/>
      <c r="DTV58" s="5"/>
      <c r="DTW58" s="5"/>
      <c r="DTX58" s="5"/>
      <c r="DTY58" s="5"/>
      <c r="DTZ58" s="5"/>
      <c r="DUA58" s="5"/>
      <c r="DUB58" s="5"/>
      <c r="DUC58" s="5"/>
      <c r="DUD58" s="5"/>
      <c r="DUE58" s="5"/>
      <c r="DUF58" s="5"/>
      <c r="DUG58" s="5"/>
      <c r="DUH58" s="5"/>
      <c r="DUI58" s="5"/>
      <c r="DUJ58" s="5"/>
      <c r="DUK58" s="5"/>
      <c r="DUL58" s="5"/>
      <c r="DUM58" s="5"/>
      <c r="DUN58" s="5"/>
      <c r="DUO58" s="5"/>
      <c r="DUP58" s="5"/>
      <c r="DUQ58" s="5"/>
      <c r="DUR58" s="5"/>
      <c r="DUS58" s="5"/>
      <c r="DUT58" s="5"/>
      <c r="DUU58" s="5"/>
      <c r="DUV58" s="5"/>
      <c r="DUW58" s="5"/>
      <c r="DUX58" s="5"/>
      <c r="DUY58" s="5"/>
      <c r="DUZ58" s="5"/>
      <c r="DVA58" s="5"/>
      <c r="DVB58" s="5"/>
      <c r="DVC58" s="5"/>
      <c r="DVD58" s="5"/>
      <c r="DVE58" s="5"/>
      <c r="DVF58" s="5"/>
      <c r="DVG58" s="5"/>
      <c r="DVH58" s="5"/>
      <c r="DVI58" s="5"/>
      <c r="DVJ58" s="5"/>
      <c r="DVK58" s="5"/>
      <c r="DVL58" s="5"/>
      <c r="DVM58" s="5"/>
      <c r="DVN58" s="5"/>
      <c r="DVO58" s="5"/>
      <c r="DVP58" s="5"/>
      <c r="DVQ58" s="5"/>
      <c r="DVR58" s="5"/>
      <c r="DVS58" s="5"/>
      <c r="DVT58" s="5"/>
      <c r="DVU58" s="5"/>
      <c r="DVV58" s="5"/>
      <c r="DVW58" s="5"/>
      <c r="DVX58" s="5"/>
      <c r="DVY58" s="5"/>
      <c r="DVZ58" s="5"/>
      <c r="DWA58" s="5"/>
      <c r="DWB58" s="5"/>
      <c r="DWC58" s="5"/>
      <c r="DWD58" s="5"/>
      <c r="DWE58" s="5"/>
      <c r="DWF58" s="5"/>
      <c r="DWG58" s="5"/>
      <c r="DWH58" s="5"/>
      <c r="DWI58" s="5"/>
      <c r="DWJ58" s="5"/>
      <c r="DWK58" s="5"/>
      <c r="DWL58" s="5"/>
      <c r="DWM58" s="5"/>
      <c r="DWN58" s="5"/>
      <c r="DWO58" s="5"/>
      <c r="DWP58" s="5"/>
      <c r="DWQ58" s="5"/>
      <c r="DWR58" s="5"/>
      <c r="DWS58" s="5"/>
      <c r="DWT58" s="5"/>
      <c r="DWU58" s="5"/>
      <c r="DWV58" s="5"/>
      <c r="DWW58" s="5"/>
      <c r="DWX58" s="5"/>
      <c r="DWY58" s="5"/>
      <c r="DWZ58" s="5"/>
      <c r="DXA58" s="5"/>
      <c r="DXB58" s="5"/>
      <c r="DXC58" s="5"/>
      <c r="DXD58" s="5"/>
      <c r="DXE58" s="5"/>
      <c r="DXF58" s="5"/>
      <c r="DXG58" s="5"/>
      <c r="DXH58" s="5"/>
      <c r="DXI58" s="5"/>
      <c r="DXJ58" s="5"/>
      <c r="DXK58" s="5"/>
      <c r="DXL58" s="5"/>
      <c r="DXM58" s="5"/>
      <c r="DXN58" s="5"/>
      <c r="DXO58" s="5"/>
      <c r="DXP58" s="5"/>
      <c r="DXQ58" s="5"/>
      <c r="DXR58" s="5"/>
      <c r="DXS58" s="5"/>
      <c r="DXT58" s="5"/>
      <c r="DXU58" s="5"/>
      <c r="DXV58" s="5"/>
      <c r="DXW58" s="5"/>
      <c r="DXX58" s="5"/>
      <c r="DXY58" s="5"/>
      <c r="DXZ58" s="5"/>
      <c r="DYA58" s="5"/>
      <c r="DYB58" s="5"/>
      <c r="DYC58" s="5"/>
      <c r="DYD58" s="5"/>
      <c r="DYE58" s="5"/>
      <c r="DYF58" s="5"/>
      <c r="DYG58" s="5"/>
      <c r="DYH58" s="5"/>
      <c r="DYI58" s="5"/>
      <c r="DYJ58" s="5"/>
      <c r="DYK58" s="5"/>
      <c r="DYL58" s="5"/>
      <c r="DYM58" s="5"/>
      <c r="DYN58" s="5"/>
      <c r="DYO58" s="5"/>
      <c r="DYP58" s="5"/>
      <c r="DYQ58" s="5"/>
      <c r="DYR58" s="5"/>
      <c r="DYS58" s="5"/>
      <c r="DYT58" s="5"/>
      <c r="DYU58" s="5"/>
      <c r="DYV58" s="5"/>
      <c r="DYW58" s="5"/>
      <c r="DYX58" s="5"/>
      <c r="DYY58" s="5"/>
      <c r="DYZ58" s="5"/>
      <c r="DZA58" s="5"/>
      <c r="DZB58" s="5"/>
      <c r="DZC58" s="5"/>
      <c r="DZD58" s="5"/>
      <c r="DZE58" s="5"/>
      <c r="DZF58" s="5"/>
      <c r="DZG58" s="5"/>
      <c r="DZH58" s="5"/>
      <c r="DZI58" s="5"/>
      <c r="DZJ58" s="5"/>
      <c r="DZK58" s="5"/>
      <c r="DZL58" s="5"/>
      <c r="DZM58" s="5"/>
      <c r="DZN58" s="5"/>
      <c r="DZO58" s="5"/>
      <c r="DZP58" s="5"/>
      <c r="DZQ58" s="5"/>
      <c r="DZR58" s="5"/>
      <c r="DZS58" s="5"/>
      <c r="DZT58" s="5"/>
      <c r="DZU58" s="5"/>
      <c r="DZV58" s="5"/>
      <c r="DZW58" s="5"/>
      <c r="DZX58" s="5"/>
      <c r="DZY58" s="5"/>
      <c r="DZZ58" s="5"/>
      <c r="EAA58" s="5"/>
      <c r="EAB58" s="5"/>
      <c r="EAC58" s="5"/>
      <c r="EAD58" s="5"/>
      <c r="EAE58" s="5"/>
      <c r="EAF58" s="5"/>
      <c r="EAG58" s="5"/>
      <c r="EAH58" s="5"/>
      <c r="EAI58" s="5"/>
      <c r="EAJ58" s="5"/>
      <c r="EAK58" s="5"/>
      <c r="EAL58" s="5"/>
      <c r="EAM58" s="5"/>
      <c r="EAN58" s="5"/>
      <c r="EAO58" s="5"/>
      <c r="EAP58" s="5"/>
      <c r="EAQ58" s="5"/>
      <c r="EAR58" s="5"/>
      <c r="EAS58" s="5"/>
      <c r="EAT58" s="5"/>
      <c r="EAU58" s="5"/>
      <c r="EAV58" s="5"/>
      <c r="EAW58" s="5"/>
      <c r="EAX58" s="5"/>
      <c r="EAY58" s="5"/>
      <c r="EAZ58" s="5"/>
      <c r="EBA58" s="5"/>
      <c r="EBB58" s="5"/>
      <c r="EBC58" s="5"/>
      <c r="EBD58" s="5"/>
      <c r="EBE58" s="5"/>
      <c r="EBF58" s="5"/>
      <c r="EBG58" s="5"/>
      <c r="EBH58" s="5"/>
      <c r="EBI58" s="5"/>
      <c r="EBJ58" s="5"/>
      <c r="EBK58" s="5"/>
      <c r="EBL58" s="5"/>
      <c r="EBM58" s="5"/>
      <c r="EBN58" s="5"/>
      <c r="EBO58" s="5"/>
      <c r="EBP58" s="5"/>
      <c r="EBQ58" s="5"/>
      <c r="EBR58" s="5"/>
      <c r="EBS58" s="5"/>
      <c r="EBT58" s="5"/>
      <c r="EBU58" s="5"/>
      <c r="EBV58" s="5"/>
      <c r="EBW58" s="5"/>
      <c r="EBX58" s="5"/>
      <c r="EBY58" s="5"/>
      <c r="EBZ58" s="5"/>
      <c r="ECA58" s="5"/>
      <c r="ECB58" s="5"/>
      <c r="ECC58" s="5"/>
      <c r="ECD58" s="5"/>
      <c r="ECE58" s="5"/>
      <c r="ECF58" s="5"/>
      <c r="ECG58" s="5"/>
      <c r="ECH58" s="5"/>
      <c r="ECI58" s="5"/>
      <c r="ECJ58" s="5"/>
      <c r="ECK58" s="5"/>
      <c r="ECL58" s="5"/>
      <c r="ECM58" s="5"/>
      <c r="ECN58" s="5"/>
      <c r="ECO58" s="5"/>
      <c r="ECP58" s="5"/>
      <c r="ECQ58" s="5"/>
      <c r="ECR58" s="5"/>
      <c r="ECS58" s="5"/>
      <c r="ECT58" s="5"/>
      <c r="ECU58" s="5"/>
      <c r="ECV58" s="5"/>
      <c r="ECW58" s="5"/>
      <c r="ECX58" s="5"/>
      <c r="ECY58" s="5"/>
      <c r="ECZ58" s="5"/>
      <c r="EDA58" s="5"/>
      <c r="EDB58" s="5"/>
      <c r="EDC58" s="5"/>
      <c r="EDD58" s="5"/>
      <c r="EDE58" s="5"/>
      <c r="EDF58" s="5"/>
      <c r="EDG58" s="5"/>
      <c r="EDH58" s="5"/>
      <c r="EDI58" s="5"/>
      <c r="EDJ58" s="5"/>
      <c r="EDK58" s="5"/>
      <c r="EDL58" s="5"/>
      <c r="EDM58" s="5"/>
      <c r="EDN58" s="5"/>
      <c r="EDO58" s="5"/>
      <c r="EDP58" s="5"/>
      <c r="EDQ58" s="5"/>
      <c r="EDR58" s="5"/>
      <c r="EDS58" s="5"/>
      <c r="EDT58" s="5"/>
      <c r="EDU58" s="5"/>
      <c r="EDV58" s="5"/>
      <c r="EDW58" s="5"/>
      <c r="EDX58" s="5"/>
      <c r="EDY58" s="5"/>
      <c r="EDZ58" s="5"/>
      <c r="EEA58" s="5"/>
      <c r="EEB58" s="5"/>
      <c r="EEC58" s="5"/>
      <c r="EED58" s="5"/>
      <c r="EEE58" s="5"/>
      <c r="EEF58" s="5"/>
      <c r="EEG58" s="5"/>
      <c r="EEH58" s="5"/>
      <c r="EEI58" s="5"/>
      <c r="EEJ58" s="5"/>
      <c r="EEK58" s="5"/>
      <c r="EEL58" s="5"/>
      <c r="EEM58" s="5"/>
      <c r="EEN58" s="5"/>
      <c r="EEO58" s="5"/>
      <c r="EEP58" s="5"/>
      <c r="EEQ58" s="5"/>
      <c r="EER58" s="5"/>
      <c r="EES58" s="5"/>
      <c r="EET58" s="5"/>
      <c r="EEU58" s="5"/>
      <c r="EEV58" s="5"/>
      <c r="EEW58" s="5"/>
      <c r="EEX58" s="5"/>
      <c r="EEY58" s="5"/>
      <c r="EEZ58" s="5"/>
      <c r="EFA58" s="5"/>
      <c r="EFB58" s="5"/>
      <c r="EFC58" s="5"/>
      <c r="EFD58" s="5"/>
      <c r="EFE58" s="5"/>
      <c r="EFF58" s="5"/>
      <c r="EFG58" s="5"/>
      <c r="EFH58" s="5"/>
      <c r="EFI58" s="5"/>
      <c r="EFJ58" s="5"/>
      <c r="EFK58" s="5"/>
      <c r="EFL58" s="5"/>
      <c r="EFM58" s="5"/>
      <c r="EFN58" s="5"/>
      <c r="EFO58" s="5"/>
      <c r="EFP58" s="5"/>
      <c r="EFQ58" s="5"/>
      <c r="EFR58" s="5"/>
      <c r="EFS58" s="5"/>
      <c r="EFT58" s="5"/>
      <c r="EFU58" s="5"/>
      <c r="EFV58" s="5"/>
      <c r="EFW58" s="5"/>
      <c r="EFX58" s="5"/>
      <c r="EFY58" s="5"/>
      <c r="EFZ58" s="5"/>
      <c r="EGA58" s="5"/>
      <c r="EGB58" s="5"/>
      <c r="EGC58" s="5"/>
      <c r="EGD58" s="5"/>
      <c r="EGE58" s="5"/>
      <c r="EGF58" s="5"/>
      <c r="EGG58" s="5"/>
      <c r="EGH58" s="5"/>
      <c r="EGI58" s="5"/>
      <c r="EGJ58" s="5"/>
      <c r="EGK58" s="5"/>
      <c r="EGL58" s="5"/>
      <c r="EGM58" s="5"/>
      <c r="EGN58" s="5"/>
      <c r="EGO58" s="5"/>
      <c r="EGP58" s="5"/>
      <c r="EGQ58" s="5"/>
      <c r="EGR58" s="5"/>
      <c r="EGS58" s="5"/>
      <c r="EGT58" s="5"/>
      <c r="EGU58" s="5"/>
      <c r="EGV58" s="5"/>
      <c r="EGW58" s="5"/>
      <c r="EGX58" s="5"/>
      <c r="EGY58" s="5"/>
      <c r="EGZ58" s="5"/>
      <c r="EHA58" s="5"/>
      <c r="EHB58" s="5"/>
      <c r="EHC58" s="5"/>
      <c r="EHD58" s="5"/>
      <c r="EHE58" s="5"/>
      <c r="EHF58" s="5"/>
      <c r="EHG58" s="5"/>
      <c r="EHH58" s="5"/>
      <c r="EHI58" s="5"/>
      <c r="EHJ58" s="5"/>
      <c r="EHK58" s="5"/>
      <c r="EHL58" s="5"/>
      <c r="EHM58" s="5"/>
      <c r="EHN58" s="5"/>
      <c r="EHO58" s="5"/>
      <c r="EHP58" s="5"/>
      <c r="EHQ58" s="5"/>
      <c r="EHR58" s="5"/>
      <c r="EHS58" s="5"/>
      <c r="EHT58" s="5"/>
      <c r="EHU58" s="5"/>
      <c r="EHV58" s="5"/>
      <c r="EHW58" s="5"/>
      <c r="EHX58" s="5"/>
      <c r="EHY58" s="5"/>
      <c r="EHZ58" s="5"/>
      <c r="EIA58" s="5"/>
      <c r="EIB58" s="5"/>
      <c r="EIC58" s="5"/>
      <c r="EID58" s="5"/>
      <c r="EIE58" s="5"/>
      <c r="EIF58" s="5"/>
      <c r="EIG58" s="5"/>
      <c r="EIH58" s="5"/>
      <c r="EII58" s="5"/>
      <c r="EIJ58" s="5"/>
      <c r="EIK58" s="5"/>
      <c r="EIL58" s="5"/>
      <c r="EIM58" s="5"/>
      <c r="EIN58" s="5"/>
      <c r="EIO58" s="5"/>
      <c r="EIP58" s="5"/>
      <c r="EIQ58" s="5"/>
      <c r="EIR58" s="5"/>
      <c r="EIS58" s="5"/>
      <c r="EIT58" s="5"/>
      <c r="EIU58" s="5"/>
      <c r="EIV58" s="5"/>
      <c r="EIW58" s="5"/>
      <c r="EIX58" s="5"/>
      <c r="EIY58" s="5"/>
      <c r="EIZ58" s="5"/>
      <c r="EJA58" s="5"/>
      <c r="EJB58" s="5"/>
      <c r="EJC58" s="5"/>
      <c r="EJD58" s="5"/>
      <c r="EJE58" s="5"/>
      <c r="EJF58" s="5"/>
      <c r="EJG58" s="5"/>
      <c r="EJH58" s="5"/>
      <c r="EJI58" s="5"/>
      <c r="EJJ58" s="5"/>
      <c r="EJK58" s="5"/>
      <c r="EJL58" s="5"/>
      <c r="EJM58" s="5"/>
      <c r="EJN58" s="5"/>
      <c r="EJO58" s="5"/>
      <c r="EJP58" s="5"/>
      <c r="EJQ58" s="5"/>
      <c r="EJR58" s="5"/>
      <c r="EJS58" s="5"/>
      <c r="EJT58" s="5"/>
      <c r="EJU58" s="5"/>
      <c r="EJV58" s="5"/>
      <c r="EJW58" s="5"/>
      <c r="EJX58" s="5"/>
      <c r="EJY58" s="5"/>
      <c r="EJZ58" s="5"/>
      <c r="EKA58" s="5"/>
      <c r="EKB58" s="5"/>
      <c r="EKC58" s="5"/>
      <c r="EKD58" s="5"/>
      <c r="EKE58" s="5"/>
      <c r="EKF58" s="5"/>
      <c r="EKG58" s="5"/>
      <c r="EKH58" s="5"/>
      <c r="EKI58" s="5"/>
      <c r="EKJ58" s="5"/>
      <c r="EKK58" s="5"/>
      <c r="EKL58" s="5"/>
      <c r="EKM58" s="5"/>
      <c r="EKN58" s="5"/>
      <c r="EKO58" s="5"/>
      <c r="EKP58" s="5"/>
      <c r="EKQ58" s="5"/>
      <c r="EKR58" s="5"/>
      <c r="EKS58" s="5"/>
      <c r="EKT58" s="5"/>
      <c r="EKU58" s="5"/>
      <c r="EKV58" s="5"/>
      <c r="EKW58" s="5"/>
      <c r="EKX58" s="5"/>
      <c r="EKY58" s="5"/>
      <c r="EKZ58" s="5"/>
      <c r="ELA58" s="5"/>
      <c r="ELB58" s="5"/>
      <c r="ELC58" s="5"/>
      <c r="ELD58" s="5"/>
      <c r="ELE58" s="5"/>
      <c r="ELF58" s="5"/>
      <c r="ELG58" s="5"/>
      <c r="ELH58" s="5"/>
      <c r="ELI58" s="5"/>
      <c r="ELJ58" s="5"/>
      <c r="ELK58" s="5"/>
      <c r="ELL58" s="5"/>
      <c r="ELM58" s="5"/>
      <c r="ELN58" s="5"/>
      <c r="ELO58" s="5"/>
      <c r="ELP58" s="5"/>
      <c r="ELQ58" s="5"/>
      <c r="ELR58" s="5"/>
      <c r="ELS58" s="5"/>
      <c r="ELT58" s="5"/>
      <c r="ELU58" s="5"/>
      <c r="ELV58" s="5"/>
      <c r="ELW58" s="5"/>
      <c r="ELX58" s="5"/>
      <c r="ELY58" s="5"/>
      <c r="ELZ58" s="5"/>
      <c r="EMA58" s="5"/>
      <c r="EMB58" s="5"/>
      <c r="EMC58" s="5"/>
      <c r="EMD58" s="5"/>
      <c r="EME58" s="5"/>
      <c r="EMF58" s="5"/>
      <c r="EMG58" s="5"/>
      <c r="EMH58" s="5"/>
      <c r="EMI58" s="5"/>
      <c r="EMJ58" s="5"/>
      <c r="EMK58" s="5"/>
      <c r="EML58" s="5"/>
      <c r="EMM58" s="5"/>
      <c r="EMN58" s="5"/>
      <c r="EMO58" s="5"/>
      <c r="EMP58" s="5"/>
      <c r="EMQ58" s="5"/>
      <c r="EMR58" s="5"/>
      <c r="EMS58" s="5"/>
      <c r="EMT58" s="5"/>
      <c r="EMU58" s="5"/>
      <c r="EMV58" s="5"/>
      <c r="EMW58" s="5"/>
      <c r="EMX58" s="5"/>
      <c r="EMY58" s="5"/>
      <c r="EMZ58" s="5"/>
      <c r="ENA58" s="5"/>
      <c r="ENB58" s="5"/>
      <c r="ENC58" s="5"/>
      <c r="END58" s="5"/>
      <c r="ENE58" s="5"/>
      <c r="ENF58" s="5"/>
      <c r="ENG58" s="5"/>
      <c r="ENH58" s="5"/>
      <c r="ENI58" s="5"/>
      <c r="ENJ58" s="5"/>
      <c r="ENK58" s="5"/>
      <c r="ENL58" s="5"/>
      <c r="ENM58" s="5"/>
      <c r="ENN58" s="5"/>
      <c r="ENO58" s="5"/>
      <c r="ENP58" s="5"/>
      <c r="ENQ58" s="5"/>
      <c r="ENR58" s="5"/>
      <c r="ENS58" s="5"/>
      <c r="ENT58" s="5"/>
      <c r="ENU58" s="5"/>
      <c r="ENV58" s="5"/>
      <c r="ENW58" s="5"/>
      <c r="ENX58" s="5"/>
      <c r="ENY58" s="5"/>
      <c r="ENZ58" s="5"/>
      <c r="EOA58" s="5"/>
      <c r="EOB58" s="5"/>
      <c r="EOC58" s="5"/>
      <c r="EOD58" s="5"/>
      <c r="EOE58" s="5"/>
      <c r="EOF58" s="5"/>
      <c r="EOG58" s="5"/>
      <c r="EOH58" s="5"/>
      <c r="EOI58" s="5"/>
      <c r="EOJ58" s="5"/>
      <c r="EOK58" s="5"/>
      <c r="EOL58" s="5"/>
      <c r="EOM58" s="5"/>
      <c r="EON58" s="5"/>
      <c r="EOO58" s="5"/>
      <c r="EOP58" s="5"/>
      <c r="EOQ58" s="5"/>
      <c r="EOR58" s="5"/>
      <c r="EOS58" s="5"/>
      <c r="EOT58" s="5"/>
      <c r="EOU58" s="5"/>
      <c r="EOV58" s="5"/>
      <c r="EOW58" s="5"/>
      <c r="EOX58" s="5"/>
      <c r="EOY58" s="5"/>
      <c r="EOZ58" s="5"/>
      <c r="EPA58" s="5"/>
      <c r="EPB58" s="5"/>
      <c r="EPC58" s="5"/>
      <c r="EPD58" s="5"/>
      <c r="EPE58" s="5"/>
      <c r="EPF58" s="5"/>
      <c r="EPG58" s="5"/>
      <c r="EPH58" s="5"/>
      <c r="EPI58" s="5"/>
      <c r="EPJ58" s="5"/>
      <c r="EPK58" s="5"/>
      <c r="EPL58" s="5"/>
      <c r="EPM58" s="5"/>
      <c r="EPN58" s="5"/>
      <c r="EPO58" s="5"/>
      <c r="EPP58" s="5"/>
      <c r="EPQ58" s="5"/>
      <c r="EPR58" s="5"/>
      <c r="EPS58" s="5"/>
      <c r="EPT58" s="5"/>
      <c r="EPU58" s="5"/>
      <c r="EPV58" s="5"/>
      <c r="EPW58" s="5"/>
      <c r="EPX58" s="5"/>
      <c r="EPY58" s="5"/>
      <c r="EPZ58" s="5"/>
      <c r="EQA58" s="5"/>
      <c r="EQB58" s="5"/>
      <c r="EQC58" s="5"/>
      <c r="EQD58" s="5"/>
      <c r="EQE58" s="5"/>
      <c r="EQF58" s="5"/>
      <c r="EQG58" s="5"/>
      <c r="EQH58" s="5"/>
      <c r="EQI58" s="5"/>
      <c r="EQJ58" s="5"/>
      <c r="EQK58" s="5"/>
      <c r="EQL58" s="5"/>
      <c r="EQM58" s="5"/>
      <c r="EQN58" s="5"/>
      <c r="EQO58" s="5"/>
      <c r="EQP58" s="5"/>
      <c r="EQQ58" s="5"/>
      <c r="EQR58" s="5"/>
      <c r="EQS58" s="5"/>
      <c r="EQT58" s="5"/>
      <c r="EQU58" s="5"/>
      <c r="EQV58" s="5"/>
      <c r="EQW58" s="5"/>
      <c r="EQX58" s="5"/>
      <c r="EQY58" s="5"/>
      <c r="EQZ58" s="5"/>
      <c r="ERA58" s="5"/>
      <c r="ERB58" s="5"/>
      <c r="ERC58" s="5"/>
      <c r="ERD58" s="5"/>
      <c r="ERE58" s="5"/>
      <c r="ERF58" s="5"/>
      <c r="ERG58" s="5"/>
      <c r="ERH58" s="5"/>
      <c r="ERI58" s="5"/>
      <c r="ERJ58" s="5"/>
      <c r="ERK58" s="5"/>
      <c r="ERL58" s="5"/>
      <c r="ERM58" s="5"/>
      <c r="ERN58" s="5"/>
      <c r="ERO58" s="5"/>
      <c r="ERP58" s="5"/>
      <c r="ERQ58" s="5"/>
      <c r="ERR58" s="5"/>
      <c r="ERS58" s="5"/>
      <c r="ERT58" s="5"/>
      <c r="ERU58" s="5"/>
      <c r="ERV58" s="5"/>
      <c r="ERW58" s="5"/>
      <c r="ERX58" s="5"/>
      <c r="ERY58" s="5"/>
      <c r="ERZ58" s="5"/>
      <c r="ESA58" s="5"/>
      <c r="ESB58" s="5"/>
      <c r="ESC58" s="5"/>
      <c r="ESD58" s="5"/>
      <c r="ESE58" s="5"/>
      <c r="ESF58" s="5"/>
      <c r="ESG58" s="5"/>
      <c r="ESH58" s="5"/>
      <c r="ESI58" s="5"/>
      <c r="ESJ58" s="5"/>
      <c r="ESK58" s="5"/>
      <c r="ESL58" s="5"/>
      <c r="ESM58" s="5"/>
      <c r="ESN58" s="5"/>
      <c r="ESO58" s="5"/>
      <c r="ESP58" s="5"/>
      <c r="ESQ58" s="5"/>
      <c r="ESR58" s="5"/>
      <c r="ESS58" s="5"/>
      <c r="EST58" s="5"/>
      <c r="ESU58" s="5"/>
      <c r="ESV58" s="5"/>
      <c r="ESW58" s="5"/>
      <c r="ESX58" s="5"/>
      <c r="ESY58" s="5"/>
      <c r="ESZ58" s="5"/>
      <c r="ETA58" s="5"/>
      <c r="ETB58" s="5"/>
      <c r="ETC58" s="5"/>
      <c r="ETD58" s="5"/>
      <c r="ETE58" s="5"/>
      <c r="ETF58" s="5"/>
      <c r="ETG58" s="5"/>
      <c r="ETH58" s="5"/>
      <c r="ETI58" s="5"/>
      <c r="ETJ58" s="5"/>
      <c r="ETK58" s="5"/>
      <c r="ETL58" s="5"/>
      <c r="ETM58" s="5"/>
      <c r="ETN58" s="5"/>
      <c r="ETO58" s="5"/>
      <c r="ETP58" s="5"/>
      <c r="ETQ58" s="5"/>
      <c r="ETR58" s="5"/>
      <c r="ETS58" s="5"/>
      <c r="ETT58" s="5"/>
      <c r="ETU58" s="5"/>
      <c r="ETV58" s="5"/>
      <c r="ETW58" s="5"/>
      <c r="ETX58" s="5"/>
      <c r="ETY58" s="5"/>
      <c r="ETZ58" s="5"/>
      <c r="EUA58" s="5"/>
      <c r="EUB58" s="5"/>
      <c r="EUC58" s="5"/>
      <c r="EUD58" s="5"/>
      <c r="EUE58" s="5"/>
      <c r="EUF58" s="5"/>
      <c r="EUG58" s="5"/>
      <c r="EUH58" s="5"/>
      <c r="EUI58" s="5"/>
      <c r="EUJ58" s="5"/>
      <c r="EUK58" s="5"/>
      <c r="EUL58" s="5"/>
      <c r="EUM58" s="5"/>
      <c r="EUN58" s="5"/>
      <c r="EUO58" s="5"/>
      <c r="EUP58" s="5"/>
      <c r="EUQ58" s="5"/>
      <c r="EUR58" s="5"/>
      <c r="EUS58" s="5"/>
      <c r="EUT58" s="5"/>
      <c r="EUU58" s="5"/>
      <c r="EUV58" s="5"/>
      <c r="EUW58" s="5"/>
      <c r="EUX58" s="5"/>
      <c r="EUY58" s="5"/>
      <c r="EUZ58" s="5"/>
      <c r="EVA58" s="5"/>
      <c r="EVB58" s="5"/>
      <c r="EVC58" s="5"/>
      <c r="EVD58" s="5"/>
      <c r="EVE58" s="5"/>
      <c r="EVF58" s="5"/>
      <c r="EVG58" s="5"/>
      <c r="EVH58" s="5"/>
      <c r="EVI58" s="5"/>
      <c r="EVJ58" s="5"/>
      <c r="EVK58" s="5"/>
      <c r="EVL58" s="5"/>
      <c r="EVM58" s="5"/>
      <c r="EVN58" s="5"/>
      <c r="EVO58" s="5"/>
      <c r="EVP58" s="5"/>
      <c r="EVQ58" s="5"/>
      <c r="EVR58" s="5"/>
      <c r="EVS58" s="5"/>
      <c r="EVT58" s="5"/>
      <c r="EVU58" s="5"/>
      <c r="EVV58" s="5"/>
      <c r="EVW58" s="5"/>
      <c r="EVX58" s="5"/>
      <c r="EVY58" s="5"/>
      <c r="EVZ58" s="5"/>
      <c r="EWA58" s="5"/>
      <c r="EWB58" s="5"/>
      <c r="EWC58" s="5"/>
      <c r="EWD58" s="5"/>
      <c r="EWE58" s="5"/>
      <c r="EWF58" s="5"/>
      <c r="EWG58" s="5"/>
      <c r="EWH58" s="5"/>
      <c r="EWI58" s="5"/>
      <c r="EWJ58" s="5"/>
      <c r="EWK58" s="5"/>
      <c r="EWL58" s="5"/>
      <c r="EWM58" s="5"/>
      <c r="EWN58" s="5"/>
      <c r="EWO58" s="5"/>
      <c r="EWP58" s="5"/>
      <c r="EWQ58" s="5"/>
      <c r="EWR58" s="5"/>
      <c r="EWS58" s="5"/>
      <c r="EWT58" s="5"/>
      <c r="EWU58" s="5"/>
      <c r="EWV58" s="5"/>
      <c r="EWW58" s="5"/>
      <c r="EWX58" s="5"/>
      <c r="EWY58" s="5"/>
      <c r="EWZ58" s="5"/>
      <c r="EXA58" s="5"/>
      <c r="EXB58" s="5"/>
      <c r="EXC58" s="5"/>
      <c r="EXD58" s="5"/>
      <c r="EXE58" s="5"/>
      <c r="EXF58" s="5"/>
      <c r="EXG58" s="5"/>
      <c r="EXH58" s="5"/>
      <c r="EXI58" s="5"/>
      <c r="EXJ58" s="5"/>
      <c r="EXK58" s="5"/>
      <c r="EXL58" s="5"/>
      <c r="EXM58" s="5"/>
      <c r="EXN58" s="5"/>
      <c r="EXO58" s="5"/>
      <c r="EXP58" s="5"/>
      <c r="EXQ58" s="5"/>
      <c r="EXR58" s="5"/>
      <c r="EXS58" s="5"/>
      <c r="EXT58" s="5"/>
      <c r="EXU58" s="5"/>
      <c r="EXV58" s="5"/>
      <c r="EXW58" s="5"/>
      <c r="EXX58" s="5"/>
      <c r="EXY58" s="5"/>
      <c r="EXZ58" s="5"/>
      <c r="EYA58" s="5"/>
      <c r="EYB58" s="5"/>
      <c r="EYC58" s="5"/>
      <c r="EYD58" s="5"/>
      <c r="EYE58" s="5"/>
      <c r="EYF58" s="5"/>
      <c r="EYG58" s="5"/>
      <c r="EYH58" s="5"/>
      <c r="EYI58" s="5"/>
      <c r="EYJ58" s="5"/>
      <c r="EYK58" s="5"/>
      <c r="EYL58" s="5"/>
      <c r="EYM58" s="5"/>
      <c r="EYN58" s="5"/>
      <c r="EYO58" s="5"/>
      <c r="EYP58" s="5"/>
      <c r="EYQ58" s="5"/>
      <c r="EYR58" s="5"/>
      <c r="EYS58" s="5"/>
      <c r="EYT58" s="5"/>
      <c r="EYU58" s="5"/>
      <c r="EYV58" s="5"/>
      <c r="EYW58" s="5"/>
      <c r="EYX58" s="5"/>
      <c r="EYY58" s="5"/>
      <c r="EYZ58" s="5"/>
      <c r="EZA58" s="5"/>
      <c r="EZB58" s="5"/>
      <c r="EZC58" s="5"/>
      <c r="EZD58" s="5"/>
      <c r="EZE58" s="5"/>
      <c r="EZF58" s="5"/>
      <c r="EZG58" s="5"/>
      <c r="EZH58" s="5"/>
      <c r="EZI58" s="5"/>
      <c r="EZJ58" s="5"/>
      <c r="EZK58" s="5"/>
      <c r="EZL58" s="5"/>
      <c r="EZM58" s="5"/>
      <c r="EZN58" s="5"/>
      <c r="EZO58" s="5"/>
      <c r="EZP58" s="5"/>
      <c r="EZQ58" s="5"/>
      <c r="EZR58" s="5"/>
      <c r="EZS58" s="5"/>
      <c r="EZT58" s="5"/>
      <c r="EZU58" s="5"/>
      <c r="EZV58" s="5"/>
      <c r="EZW58" s="5"/>
      <c r="EZX58" s="5"/>
      <c r="EZY58" s="5"/>
      <c r="EZZ58" s="5"/>
      <c r="FAA58" s="5"/>
      <c r="FAB58" s="5"/>
      <c r="FAC58" s="5"/>
      <c r="FAD58" s="5"/>
      <c r="FAE58" s="5"/>
      <c r="FAF58" s="5"/>
      <c r="FAG58" s="5"/>
      <c r="FAH58" s="5"/>
      <c r="FAI58" s="5"/>
      <c r="FAJ58" s="5"/>
      <c r="FAK58" s="5"/>
      <c r="FAL58" s="5"/>
      <c r="FAM58" s="5"/>
      <c r="FAN58" s="5"/>
      <c r="FAO58" s="5"/>
      <c r="FAP58" s="5"/>
      <c r="FAQ58" s="5"/>
      <c r="FAR58" s="5"/>
      <c r="FAS58" s="5"/>
      <c r="FAT58" s="5"/>
      <c r="FAU58" s="5"/>
      <c r="FAV58" s="5"/>
      <c r="FAW58" s="5"/>
      <c r="FAX58" s="5"/>
      <c r="FAY58" s="5"/>
      <c r="FAZ58" s="5"/>
      <c r="FBA58" s="5"/>
      <c r="FBB58" s="5"/>
      <c r="FBC58" s="5"/>
      <c r="FBD58" s="5"/>
      <c r="FBE58" s="5"/>
      <c r="FBF58" s="5"/>
      <c r="FBG58" s="5"/>
      <c r="FBH58" s="5"/>
      <c r="FBI58" s="5"/>
      <c r="FBJ58" s="5"/>
      <c r="FBK58" s="5"/>
      <c r="FBL58" s="5"/>
      <c r="FBM58" s="5"/>
      <c r="FBN58" s="5"/>
      <c r="FBO58" s="5"/>
      <c r="FBP58" s="5"/>
      <c r="FBQ58" s="5"/>
      <c r="FBR58" s="5"/>
      <c r="FBS58" s="5"/>
      <c r="FBT58" s="5"/>
      <c r="FBU58" s="5"/>
      <c r="FBV58" s="5"/>
      <c r="FBW58" s="5"/>
      <c r="FBX58" s="5"/>
      <c r="FBY58" s="5"/>
      <c r="FBZ58" s="5"/>
      <c r="FCA58" s="5"/>
      <c r="FCB58" s="5"/>
      <c r="FCC58" s="5"/>
      <c r="FCD58" s="5"/>
      <c r="FCE58" s="5"/>
      <c r="FCF58" s="5"/>
      <c r="FCG58" s="5"/>
      <c r="FCH58" s="5"/>
      <c r="FCI58" s="5"/>
      <c r="FCJ58" s="5"/>
      <c r="FCK58" s="5"/>
      <c r="FCL58" s="5"/>
      <c r="FCM58" s="5"/>
      <c r="FCN58" s="5"/>
      <c r="FCO58" s="5"/>
      <c r="FCP58" s="5"/>
      <c r="FCQ58" s="5"/>
      <c r="FCR58" s="5"/>
      <c r="FCS58" s="5"/>
      <c r="FCT58" s="5"/>
      <c r="FCU58" s="5"/>
      <c r="FCV58" s="5"/>
      <c r="FCW58" s="5"/>
      <c r="FCX58" s="5"/>
      <c r="FCY58" s="5"/>
      <c r="FCZ58" s="5"/>
      <c r="FDA58" s="5"/>
      <c r="FDB58" s="5"/>
      <c r="FDC58" s="5"/>
      <c r="FDD58" s="5"/>
      <c r="FDE58" s="5"/>
      <c r="FDF58" s="5"/>
      <c r="FDG58" s="5"/>
      <c r="FDH58" s="5"/>
      <c r="FDI58" s="5"/>
      <c r="FDJ58" s="5"/>
      <c r="FDK58" s="5"/>
      <c r="FDL58" s="5"/>
      <c r="FDM58" s="5"/>
      <c r="FDN58" s="5"/>
      <c r="FDO58" s="5"/>
      <c r="FDP58" s="5"/>
      <c r="FDQ58" s="5"/>
      <c r="FDR58" s="5"/>
      <c r="FDS58" s="5"/>
      <c r="FDT58" s="5"/>
      <c r="FDU58" s="5"/>
      <c r="FDV58" s="5"/>
      <c r="FDW58" s="5"/>
      <c r="FDX58" s="5"/>
      <c r="FDY58" s="5"/>
      <c r="FDZ58" s="5"/>
      <c r="FEA58" s="5"/>
      <c r="FEB58" s="5"/>
      <c r="FEC58" s="5"/>
      <c r="FED58" s="5"/>
      <c r="FEE58" s="5"/>
      <c r="FEF58" s="5"/>
      <c r="FEG58" s="5"/>
      <c r="FEH58" s="5"/>
      <c r="FEI58" s="5"/>
      <c r="FEJ58" s="5"/>
      <c r="FEK58" s="5"/>
      <c r="FEL58" s="5"/>
      <c r="FEM58" s="5"/>
      <c r="FEN58" s="5"/>
      <c r="FEO58" s="5"/>
      <c r="FEP58" s="5"/>
      <c r="FEQ58" s="5"/>
      <c r="FER58" s="5"/>
      <c r="FES58" s="5"/>
      <c r="FET58" s="5"/>
      <c r="FEU58" s="5"/>
      <c r="FEV58" s="5"/>
      <c r="FEW58" s="5"/>
      <c r="FEX58" s="5"/>
      <c r="FEY58" s="5"/>
      <c r="FEZ58" s="5"/>
      <c r="FFA58" s="5"/>
      <c r="FFB58" s="5"/>
      <c r="FFC58" s="5"/>
      <c r="FFD58" s="5"/>
      <c r="FFE58" s="5"/>
      <c r="FFF58" s="5"/>
      <c r="FFG58" s="5"/>
      <c r="FFH58" s="5"/>
      <c r="FFI58" s="5"/>
      <c r="FFJ58" s="5"/>
      <c r="FFK58" s="5"/>
      <c r="FFL58" s="5"/>
      <c r="FFM58" s="5"/>
      <c r="FFN58" s="5"/>
      <c r="FFO58" s="5"/>
      <c r="FFP58" s="5"/>
      <c r="FFQ58" s="5"/>
      <c r="FFR58" s="5"/>
      <c r="FFS58" s="5"/>
      <c r="FFT58" s="5"/>
      <c r="FFU58" s="5"/>
      <c r="FFV58" s="5"/>
      <c r="FFW58" s="5"/>
      <c r="FFX58" s="5"/>
      <c r="FFY58" s="5"/>
      <c r="FFZ58" s="5"/>
      <c r="FGA58" s="5"/>
      <c r="FGB58" s="5"/>
      <c r="FGC58" s="5"/>
      <c r="FGD58" s="5"/>
      <c r="FGE58" s="5"/>
      <c r="FGF58" s="5"/>
      <c r="FGG58" s="5"/>
      <c r="FGH58" s="5"/>
      <c r="FGI58" s="5"/>
      <c r="FGJ58" s="5"/>
      <c r="FGK58" s="5"/>
      <c r="FGL58" s="5"/>
      <c r="FGM58" s="5"/>
      <c r="FGN58" s="5"/>
      <c r="FGO58" s="5"/>
      <c r="FGP58" s="5"/>
      <c r="FGQ58" s="5"/>
      <c r="FGR58" s="5"/>
      <c r="FGS58" s="5"/>
      <c r="FGT58" s="5"/>
      <c r="FGU58" s="5"/>
      <c r="FGV58" s="5"/>
      <c r="FGW58" s="5"/>
      <c r="FGX58" s="5"/>
      <c r="FGY58" s="5"/>
      <c r="FGZ58" s="5"/>
      <c r="FHA58" s="5"/>
      <c r="FHB58" s="5"/>
      <c r="FHC58" s="5"/>
      <c r="FHD58" s="5"/>
      <c r="FHE58" s="5"/>
      <c r="FHF58" s="5"/>
      <c r="FHG58" s="5"/>
      <c r="FHH58" s="5"/>
      <c r="FHI58" s="5"/>
      <c r="FHJ58" s="5"/>
      <c r="FHK58" s="5"/>
      <c r="FHL58" s="5"/>
      <c r="FHM58" s="5"/>
      <c r="FHN58" s="5"/>
      <c r="FHO58" s="5"/>
      <c r="FHP58" s="5"/>
      <c r="FHQ58" s="5"/>
      <c r="FHR58" s="5"/>
      <c r="FHS58" s="5"/>
      <c r="FHT58" s="5"/>
      <c r="FHU58" s="5"/>
      <c r="FHV58" s="5"/>
      <c r="FHW58" s="5"/>
      <c r="FHX58" s="5"/>
      <c r="FHY58" s="5"/>
      <c r="FHZ58" s="5"/>
      <c r="FIA58" s="5"/>
      <c r="FIB58" s="5"/>
      <c r="FIC58" s="5"/>
      <c r="FID58" s="5"/>
      <c r="FIE58" s="5"/>
      <c r="FIF58" s="5"/>
      <c r="FIG58" s="5"/>
      <c r="FIH58" s="5"/>
      <c r="FII58" s="5"/>
      <c r="FIJ58" s="5"/>
      <c r="FIK58" s="5"/>
      <c r="FIL58" s="5"/>
      <c r="FIM58" s="5"/>
      <c r="FIN58" s="5"/>
      <c r="FIO58" s="5"/>
      <c r="FIP58" s="5"/>
      <c r="FIQ58" s="5"/>
      <c r="FIR58" s="5"/>
      <c r="FIS58" s="5"/>
      <c r="FIT58" s="5"/>
      <c r="FIU58" s="5"/>
      <c r="FIV58" s="5"/>
      <c r="FIW58" s="5"/>
      <c r="FIX58" s="5"/>
      <c r="FIY58" s="5"/>
      <c r="FIZ58" s="5"/>
      <c r="FJA58" s="5"/>
      <c r="FJB58" s="5"/>
      <c r="FJC58" s="5"/>
      <c r="FJD58" s="5"/>
      <c r="FJE58" s="5"/>
      <c r="FJF58" s="5"/>
      <c r="FJG58" s="5"/>
      <c r="FJH58" s="5"/>
      <c r="FJI58" s="5"/>
      <c r="FJJ58" s="5"/>
      <c r="FJK58" s="5"/>
      <c r="FJL58" s="5"/>
      <c r="FJM58" s="5"/>
      <c r="FJN58" s="5"/>
      <c r="FJO58" s="5"/>
      <c r="FJP58" s="5"/>
      <c r="FJQ58" s="5"/>
      <c r="FJR58" s="5"/>
      <c r="FJS58" s="5"/>
      <c r="FJT58" s="5"/>
      <c r="FJU58" s="5"/>
      <c r="FJV58" s="5"/>
      <c r="FJW58" s="5"/>
      <c r="FJX58" s="5"/>
      <c r="FJY58" s="5"/>
      <c r="FJZ58" s="5"/>
      <c r="FKA58" s="5"/>
      <c r="FKB58" s="5"/>
      <c r="FKC58" s="5"/>
      <c r="FKD58" s="5"/>
      <c r="FKE58" s="5"/>
      <c r="FKF58" s="5"/>
      <c r="FKG58" s="5"/>
      <c r="FKH58" s="5"/>
      <c r="FKI58" s="5"/>
      <c r="FKJ58" s="5"/>
      <c r="FKK58" s="5"/>
      <c r="FKL58" s="5"/>
      <c r="FKM58" s="5"/>
      <c r="FKN58" s="5"/>
      <c r="FKO58" s="5"/>
      <c r="FKP58" s="5"/>
      <c r="FKQ58" s="5"/>
      <c r="FKR58" s="5"/>
      <c r="FKS58" s="5"/>
      <c r="FKT58" s="5"/>
      <c r="FKU58" s="5"/>
      <c r="FKV58" s="5"/>
      <c r="FKW58" s="5"/>
      <c r="FKX58" s="5"/>
      <c r="FKY58" s="5"/>
      <c r="FKZ58" s="5"/>
      <c r="FLA58" s="5"/>
      <c r="FLB58" s="5"/>
      <c r="FLC58" s="5"/>
      <c r="FLD58" s="5"/>
      <c r="FLE58" s="5"/>
      <c r="FLF58" s="5"/>
      <c r="FLG58" s="5"/>
      <c r="FLH58" s="5"/>
      <c r="FLI58" s="5"/>
      <c r="FLJ58" s="5"/>
      <c r="FLK58" s="5"/>
      <c r="FLL58" s="5"/>
      <c r="FLM58" s="5"/>
      <c r="FLN58" s="5"/>
      <c r="FLO58" s="5"/>
      <c r="FLP58" s="5"/>
      <c r="FLQ58" s="5"/>
      <c r="FLR58" s="5"/>
      <c r="FLS58" s="5"/>
      <c r="FLT58" s="5"/>
      <c r="FLU58" s="5"/>
      <c r="FLV58" s="5"/>
      <c r="FLW58" s="5"/>
      <c r="FLX58" s="5"/>
      <c r="FLY58" s="5"/>
      <c r="FLZ58" s="5"/>
      <c r="FMA58" s="5"/>
      <c r="FMB58" s="5"/>
      <c r="FMC58" s="5"/>
      <c r="FMD58" s="5"/>
      <c r="FME58" s="5"/>
      <c r="FMF58" s="5"/>
      <c r="FMG58" s="5"/>
      <c r="FMH58" s="5"/>
      <c r="FMI58" s="5"/>
      <c r="FMJ58" s="5"/>
      <c r="FMK58" s="5"/>
      <c r="FML58" s="5"/>
      <c r="FMM58" s="5"/>
      <c r="FMN58" s="5"/>
      <c r="FMO58" s="5"/>
      <c r="FMP58" s="5"/>
      <c r="FMQ58" s="5"/>
      <c r="FMR58" s="5"/>
      <c r="FMS58" s="5"/>
      <c r="FMT58" s="5"/>
      <c r="FMU58" s="5"/>
      <c r="FMV58" s="5"/>
      <c r="FMW58" s="5"/>
      <c r="FMX58" s="5"/>
      <c r="FMY58" s="5"/>
      <c r="FMZ58" s="5"/>
      <c r="FNA58" s="5"/>
      <c r="FNB58" s="5"/>
      <c r="FNC58" s="5"/>
      <c r="FND58" s="5"/>
      <c r="FNE58" s="5"/>
      <c r="FNF58" s="5"/>
      <c r="FNG58" s="5"/>
      <c r="FNH58" s="5"/>
      <c r="FNI58" s="5"/>
      <c r="FNJ58" s="5"/>
      <c r="FNK58" s="5"/>
      <c r="FNL58" s="5"/>
      <c r="FNM58" s="5"/>
      <c r="FNN58" s="5"/>
      <c r="FNO58" s="5"/>
      <c r="FNP58" s="5"/>
      <c r="FNQ58" s="5"/>
      <c r="FNR58" s="5"/>
      <c r="FNS58" s="5"/>
      <c r="FNT58" s="5"/>
      <c r="FNU58" s="5"/>
      <c r="FNV58" s="5"/>
      <c r="FNW58" s="5"/>
      <c r="FNX58" s="5"/>
      <c r="FNY58" s="5"/>
      <c r="FNZ58" s="5"/>
      <c r="FOA58" s="5"/>
      <c r="FOB58" s="5"/>
      <c r="FOC58" s="5"/>
      <c r="FOD58" s="5"/>
      <c r="FOE58" s="5"/>
      <c r="FOF58" s="5"/>
      <c r="FOG58" s="5"/>
      <c r="FOH58" s="5"/>
      <c r="FOI58" s="5"/>
      <c r="FOJ58" s="5"/>
      <c r="FOK58" s="5"/>
      <c r="FOL58" s="5"/>
      <c r="FOM58" s="5"/>
      <c r="FON58" s="5"/>
      <c r="FOO58" s="5"/>
      <c r="FOP58" s="5"/>
      <c r="FOQ58" s="5"/>
      <c r="FOR58" s="5"/>
      <c r="FOS58" s="5"/>
      <c r="FOT58" s="5"/>
      <c r="FOU58" s="5"/>
      <c r="FOV58" s="5"/>
      <c r="FOW58" s="5"/>
      <c r="FOX58" s="5"/>
      <c r="FOY58" s="5"/>
      <c r="FOZ58" s="5"/>
      <c r="FPA58" s="5"/>
      <c r="FPB58" s="5"/>
      <c r="FPC58" s="5"/>
      <c r="FPD58" s="5"/>
      <c r="FPE58" s="5"/>
      <c r="FPF58" s="5"/>
      <c r="FPG58" s="5"/>
      <c r="FPH58" s="5"/>
      <c r="FPI58" s="5"/>
      <c r="FPJ58" s="5"/>
      <c r="FPK58" s="5"/>
      <c r="FPL58" s="5"/>
      <c r="FPM58" s="5"/>
      <c r="FPN58" s="5"/>
      <c r="FPO58" s="5"/>
      <c r="FPP58" s="5"/>
      <c r="FPQ58" s="5"/>
      <c r="FPR58" s="5"/>
      <c r="FPS58" s="5"/>
      <c r="FPT58" s="5"/>
      <c r="FPU58" s="5"/>
      <c r="FPV58" s="5"/>
      <c r="FPW58" s="5"/>
      <c r="FPX58" s="5"/>
      <c r="FPY58" s="5"/>
      <c r="FPZ58" s="5"/>
      <c r="FQA58" s="5"/>
      <c r="FQB58" s="5"/>
      <c r="FQC58" s="5"/>
      <c r="FQD58" s="5"/>
      <c r="FQE58" s="5"/>
      <c r="FQF58" s="5"/>
      <c r="FQG58" s="5"/>
      <c r="FQH58" s="5"/>
      <c r="FQI58" s="5"/>
      <c r="FQJ58" s="5"/>
      <c r="FQK58" s="5"/>
      <c r="FQL58" s="5"/>
      <c r="FQM58" s="5"/>
      <c r="FQN58" s="5"/>
      <c r="FQO58" s="5"/>
      <c r="FQP58" s="5"/>
      <c r="FQQ58" s="5"/>
      <c r="FQR58" s="5"/>
      <c r="FQS58" s="5"/>
      <c r="FQT58" s="5"/>
      <c r="FQU58" s="5"/>
      <c r="FQV58" s="5"/>
      <c r="FQW58" s="5"/>
      <c r="FQX58" s="5"/>
      <c r="FQY58" s="5"/>
      <c r="FQZ58" s="5"/>
      <c r="FRA58" s="5"/>
      <c r="FRB58" s="5"/>
      <c r="FRC58" s="5"/>
      <c r="FRD58" s="5"/>
      <c r="FRE58" s="5"/>
      <c r="FRF58" s="5"/>
      <c r="FRG58" s="5"/>
      <c r="FRH58" s="5"/>
      <c r="FRI58" s="5"/>
      <c r="FRJ58" s="5"/>
      <c r="FRK58" s="5"/>
      <c r="FRL58" s="5"/>
      <c r="FRM58" s="5"/>
      <c r="FRN58" s="5"/>
      <c r="FRO58" s="5"/>
      <c r="FRP58" s="5"/>
      <c r="FRQ58" s="5"/>
      <c r="FRR58" s="5"/>
      <c r="FRS58" s="5"/>
      <c r="FRT58" s="5"/>
      <c r="FRU58" s="5"/>
      <c r="FRV58" s="5"/>
      <c r="FRW58" s="5"/>
      <c r="FRX58" s="5"/>
      <c r="FRY58" s="5"/>
      <c r="FRZ58" s="5"/>
      <c r="FSA58" s="5"/>
      <c r="FSB58" s="5"/>
      <c r="FSC58" s="5"/>
      <c r="FSD58" s="5"/>
      <c r="FSE58" s="5"/>
      <c r="FSF58" s="5"/>
      <c r="FSG58" s="5"/>
      <c r="FSH58" s="5"/>
      <c r="FSI58" s="5"/>
      <c r="FSJ58" s="5"/>
      <c r="FSK58" s="5"/>
      <c r="FSL58" s="5"/>
      <c r="FSM58" s="5"/>
      <c r="FSN58" s="5"/>
      <c r="FSO58" s="5"/>
      <c r="FSP58" s="5"/>
      <c r="FSQ58" s="5"/>
      <c r="FSR58" s="5"/>
      <c r="FSS58" s="5"/>
      <c r="FST58" s="5"/>
      <c r="FSU58" s="5"/>
      <c r="FSV58" s="5"/>
      <c r="FSW58" s="5"/>
      <c r="FSX58" s="5"/>
      <c r="FSY58" s="5"/>
      <c r="FSZ58" s="5"/>
      <c r="FTA58" s="5"/>
      <c r="FTB58" s="5"/>
      <c r="FTC58" s="5"/>
      <c r="FTD58" s="5"/>
      <c r="FTE58" s="5"/>
      <c r="FTF58" s="5"/>
      <c r="FTG58" s="5"/>
      <c r="FTH58" s="5"/>
      <c r="FTI58" s="5"/>
      <c r="FTJ58" s="5"/>
      <c r="FTK58" s="5"/>
      <c r="FTL58" s="5"/>
      <c r="FTM58" s="5"/>
      <c r="FTN58" s="5"/>
      <c r="FTO58" s="5"/>
      <c r="FTP58" s="5"/>
      <c r="FTQ58" s="5"/>
      <c r="FTR58" s="5"/>
      <c r="FTS58" s="5"/>
      <c r="FTT58" s="5"/>
      <c r="FTU58" s="5"/>
      <c r="FTV58" s="5"/>
      <c r="FTW58" s="5"/>
      <c r="FTX58" s="5"/>
      <c r="FTY58" s="5"/>
      <c r="FTZ58" s="5"/>
      <c r="FUA58" s="5"/>
      <c r="FUB58" s="5"/>
      <c r="FUC58" s="5"/>
      <c r="FUD58" s="5"/>
      <c r="FUE58" s="5"/>
      <c r="FUF58" s="5"/>
      <c r="FUG58" s="5"/>
      <c r="FUH58" s="5"/>
      <c r="FUI58" s="5"/>
      <c r="FUJ58" s="5"/>
      <c r="FUK58" s="5"/>
      <c r="FUL58" s="5"/>
      <c r="FUM58" s="5"/>
      <c r="FUN58" s="5"/>
      <c r="FUO58" s="5"/>
      <c r="FUP58" s="5"/>
      <c r="FUQ58" s="5"/>
      <c r="FUR58" s="5"/>
      <c r="FUS58" s="5"/>
      <c r="FUT58" s="5"/>
      <c r="FUU58" s="5"/>
      <c r="FUV58" s="5"/>
      <c r="FUW58" s="5"/>
      <c r="FUX58" s="5"/>
      <c r="FUY58" s="5"/>
      <c r="FUZ58" s="5"/>
      <c r="FVA58" s="5"/>
      <c r="FVB58" s="5"/>
      <c r="FVC58" s="5"/>
      <c r="FVD58" s="5"/>
      <c r="FVE58" s="5"/>
      <c r="FVF58" s="5"/>
      <c r="FVG58" s="5"/>
      <c r="FVH58" s="5"/>
      <c r="FVI58" s="5"/>
      <c r="FVJ58" s="5"/>
      <c r="FVK58" s="5"/>
      <c r="FVL58" s="5"/>
      <c r="FVM58" s="5"/>
      <c r="FVN58" s="5"/>
      <c r="FVO58" s="5"/>
      <c r="FVP58" s="5"/>
      <c r="FVQ58" s="5"/>
      <c r="FVR58" s="5"/>
      <c r="FVS58" s="5"/>
      <c r="FVT58" s="5"/>
      <c r="FVU58" s="5"/>
      <c r="FVV58" s="5"/>
      <c r="FVW58" s="5"/>
      <c r="FVX58" s="5"/>
      <c r="FVY58" s="5"/>
      <c r="FVZ58" s="5"/>
      <c r="FWA58" s="5"/>
      <c r="FWB58" s="5"/>
      <c r="FWC58" s="5"/>
      <c r="FWD58" s="5"/>
      <c r="FWE58" s="5"/>
      <c r="FWF58" s="5"/>
      <c r="FWG58" s="5"/>
      <c r="FWH58" s="5"/>
      <c r="FWI58" s="5"/>
      <c r="FWJ58" s="5"/>
      <c r="FWK58" s="5"/>
      <c r="FWL58" s="5"/>
      <c r="FWM58" s="5"/>
      <c r="FWN58" s="5"/>
      <c r="FWO58" s="5"/>
      <c r="FWP58" s="5"/>
      <c r="FWQ58" s="5"/>
      <c r="FWR58" s="5"/>
      <c r="FWS58" s="5"/>
      <c r="FWT58" s="5"/>
      <c r="FWU58" s="5"/>
      <c r="FWV58" s="5"/>
      <c r="FWW58" s="5"/>
      <c r="FWX58" s="5"/>
      <c r="FWY58" s="5"/>
      <c r="FWZ58" s="5"/>
      <c r="FXA58" s="5"/>
      <c r="FXB58" s="5"/>
      <c r="FXC58" s="5"/>
      <c r="FXD58" s="5"/>
      <c r="FXE58" s="5"/>
      <c r="FXF58" s="5"/>
      <c r="FXG58" s="5"/>
      <c r="FXH58" s="5"/>
      <c r="FXI58" s="5"/>
      <c r="FXJ58" s="5"/>
      <c r="FXK58" s="5"/>
      <c r="FXL58" s="5"/>
      <c r="FXM58" s="5"/>
      <c r="FXN58" s="5"/>
      <c r="FXO58" s="5"/>
      <c r="FXP58" s="5"/>
      <c r="FXQ58" s="5"/>
      <c r="FXR58" s="5"/>
      <c r="FXS58" s="5"/>
      <c r="FXT58" s="5"/>
      <c r="FXU58" s="5"/>
      <c r="FXV58" s="5"/>
      <c r="FXW58" s="5"/>
      <c r="FXX58" s="5"/>
      <c r="FXY58" s="5"/>
      <c r="FXZ58" s="5"/>
      <c r="FYA58" s="5"/>
      <c r="FYB58" s="5"/>
      <c r="FYC58" s="5"/>
      <c r="FYD58" s="5"/>
      <c r="FYE58" s="5"/>
      <c r="FYF58" s="5"/>
      <c r="FYG58" s="5"/>
      <c r="FYH58" s="5"/>
      <c r="FYI58" s="5"/>
      <c r="FYJ58" s="5"/>
      <c r="FYK58" s="5"/>
      <c r="FYL58" s="5"/>
      <c r="FYM58" s="5"/>
      <c r="FYN58" s="5"/>
      <c r="FYO58" s="5"/>
      <c r="FYP58" s="5"/>
      <c r="FYQ58" s="5"/>
      <c r="FYR58" s="5"/>
      <c r="FYS58" s="5"/>
      <c r="FYT58" s="5"/>
      <c r="FYU58" s="5"/>
      <c r="FYV58" s="5"/>
      <c r="FYW58" s="5"/>
      <c r="FYX58" s="5"/>
      <c r="FYY58" s="5"/>
      <c r="FYZ58" s="5"/>
      <c r="FZA58" s="5"/>
      <c r="FZB58" s="5"/>
      <c r="FZC58" s="5"/>
      <c r="FZD58" s="5"/>
      <c r="FZE58" s="5"/>
      <c r="FZF58" s="5"/>
      <c r="FZG58" s="5"/>
      <c r="FZH58" s="5"/>
      <c r="FZI58" s="5"/>
      <c r="FZJ58" s="5"/>
      <c r="FZK58" s="5"/>
      <c r="FZL58" s="5"/>
      <c r="FZM58" s="5"/>
      <c r="FZN58" s="5"/>
      <c r="FZO58" s="5"/>
      <c r="FZP58" s="5"/>
      <c r="FZQ58" s="5"/>
      <c r="FZR58" s="5"/>
      <c r="FZS58" s="5"/>
      <c r="FZT58" s="5"/>
      <c r="FZU58" s="5"/>
      <c r="FZV58" s="5"/>
      <c r="FZW58" s="5"/>
      <c r="FZX58" s="5"/>
      <c r="FZY58" s="5"/>
      <c r="FZZ58" s="5"/>
      <c r="GAA58" s="5"/>
      <c r="GAB58" s="5"/>
      <c r="GAC58" s="5"/>
      <c r="GAD58" s="5"/>
      <c r="GAE58" s="5"/>
      <c r="GAF58" s="5"/>
      <c r="GAG58" s="5"/>
      <c r="GAH58" s="5"/>
      <c r="GAI58" s="5"/>
      <c r="GAJ58" s="5"/>
      <c r="GAK58" s="5"/>
      <c r="GAL58" s="5"/>
      <c r="GAM58" s="5"/>
      <c r="GAN58" s="5"/>
      <c r="GAO58" s="5"/>
      <c r="GAP58" s="5"/>
      <c r="GAQ58" s="5"/>
      <c r="GAR58" s="5"/>
      <c r="GAS58" s="5"/>
      <c r="GAT58" s="5"/>
      <c r="GAU58" s="5"/>
      <c r="GAV58" s="5"/>
      <c r="GAW58" s="5"/>
      <c r="GAX58" s="5"/>
      <c r="GAY58" s="5"/>
      <c r="GAZ58" s="5"/>
      <c r="GBA58" s="5"/>
      <c r="GBB58" s="5"/>
      <c r="GBC58" s="5"/>
      <c r="GBD58" s="5"/>
      <c r="GBE58" s="5"/>
      <c r="GBF58" s="5"/>
      <c r="GBG58" s="5"/>
      <c r="GBH58" s="5"/>
      <c r="GBI58" s="5"/>
      <c r="GBJ58" s="5"/>
      <c r="GBK58" s="5"/>
      <c r="GBL58" s="5"/>
      <c r="GBM58" s="5"/>
      <c r="GBN58" s="5"/>
      <c r="GBO58" s="5"/>
      <c r="GBP58" s="5"/>
      <c r="GBQ58" s="5"/>
      <c r="GBR58" s="5"/>
      <c r="GBS58" s="5"/>
      <c r="GBT58" s="5"/>
      <c r="GBU58" s="5"/>
      <c r="GBV58" s="5"/>
      <c r="GBW58" s="5"/>
      <c r="GBX58" s="5"/>
      <c r="GBY58" s="5"/>
      <c r="GBZ58" s="5"/>
      <c r="GCA58" s="5"/>
      <c r="GCB58" s="5"/>
      <c r="GCC58" s="5"/>
      <c r="GCD58" s="5"/>
      <c r="GCE58" s="5"/>
      <c r="GCF58" s="5"/>
      <c r="GCG58" s="5"/>
      <c r="GCH58" s="5"/>
      <c r="GCI58" s="5"/>
      <c r="GCJ58" s="5"/>
      <c r="GCK58" s="5"/>
      <c r="GCL58" s="5"/>
      <c r="GCM58" s="5"/>
      <c r="GCN58" s="5"/>
      <c r="GCO58" s="5"/>
      <c r="GCP58" s="5"/>
      <c r="GCQ58" s="5"/>
      <c r="GCR58" s="5"/>
      <c r="GCS58" s="5"/>
      <c r="GCT58" s="5"/>
      <c r="GCU58" s="5"/>
      <c r="GCV58" s="5"/>
      <c r="GCW58" s="5"/>
      <c r="GCX58" s="5"/>
      <c r="GCY58" s="5"/>
      <c r="GCZ58" s="5"/>
      <c r="GDA58" s="5"/>
      <c r="GDB58" s="5"/>
      <c r="GDC58" s="5"/>
      <c r="GDD58" s="5"/>
      <c r="GDE58" s="5"/>
      <c r="GDF58" s="5"/>
      <c r="GDG58" s="5"/>
      <c r="GDH58" s="5"/>
      <c r="GDI58" s="5"/>
      <c r="GDJ58" s="5"/>
      <c r="GDK58" s="5"/>
      <c r="GDL58" s="5"/>
      <c r="GDM58" s="5"/>
      <c r="GDN58" s="5"/>
      <c r="GDO58" s="5"/>
      <c r="GDP58" s="5"/>
      <c r="GDQ58" s="5"/>
      <c r="GDR58" s="5"/>
      <c r="GDS58" s="5"/>
      <c r="GDT58" s="5"/>
      <c r="GDU58" s="5"/>
      <c r="GDV58" s="5"/>
      <c r="GDW58" s="5"/>
      <c r="GDX58" s="5"/>
      <c r="GDY58" s="5"/>
      <c r="GDZ58" s="5"/>
      <c r="GEA58" s="5"/>
      <c r="GEB58" s="5"/>
      <c r="GEC58" s="5"/>
      <c r="GED58" s="5"/>
      <c r="GEE58" s="5"/>
      <c r="GEF58" s="5"/>
      <c r="GEG58" s="5"/>
      <c r="GEH58" s="5"/>
      <c r="GEI58" s="5"/>
      <c r="GEJ58" s="5"/>
      <c r="GEK58" s="5"/>
      <c r="GEL58" s="5"/>
      <c r="GEM58" s="5"/>
      <c r="GEN58" s="5"/>
      <c r="GEO58" s="5"/>
      <c r="GEP58" s="5"/>
      <c r="GEQ58" s="5"/>
      <c r="GER58" s="5"/>
      <c r="GES58" s="5"/>
      <c r="GET58" s="5"/>
      <c r="GEU58" s="5"/>
      <c r="GEV58" s="5"/>
      <c r="GEW58" s="5"/>
      <c r="GEX58" s="5"/>
      <c r="GEY58" s="5"/>
      <c r="GEZ58" s="5"/>
      <c r="GFA58" s="5"/>
      <c r="GFB58" s="5"/>
      <c r="GFC58" s="5"/>
      <c r="GFD58" s="5"/>
      <c r="GFE58" s="5"/>
      <c r="GFF58" s="5"/>
      <c r="GFG58" s="5"/>
      <c r="GFH58" s="5"/>
      <c r="GFI58" s="5"/>
      <c r="GFJ58" s="5"/>
      <c r="GFK58" s="5"/>
      <c r="GFL58" s="5"/>
      <c r="GFM58" s="5"/>
      <c r="GFN58" s="5"/>
      <c r="GFO58" s="5"/>
      <c r="GFP58" s="5"/>
      <c r="GFQ58" s="5"/>
      <c r="GFR58" s="5"/>
      <c r="GFS58" s="5"/>
      <c r="GFT58" s="5"/>
      <c r="GFU58" s="5"/>
      <c r="GFV58" s="5"/>
      <c r="GFW58" s="5"/>
      <c r="GFX58" s="5"/>
      <c r="GFY58" s="5"/>
      <c r="GFZ58" s="5"/>
      <c r="GGA58" s="5"/>
      <c r="GGB58" s="5"/>
      <c r="GGC58" s="5"/>
      <c r="GGD58" s="5"/>
      <c r="GGE58" s="5"/>
      <c r="GGF58" s="5"/>
      <c r="GGG58" s="5"/>
      <c r="GGH58" s="5"/>
      <c r="GGI58" s="5"/>
      <c r="GGJ58" s="5"/>
      <c r="GGK58" s="5"/>
      <c r="GGL58" s="5"/>
      <c r="GGM58" s="5"/>
      <c r="GGN58" s="5"/>
      <c r="GGO58" s="5"/>
      <c r="GGP58" s="5"/>
      <c r="GGQ58" s="5"/>
      <c r="GGR58" s="5"/>
      <c r="GGS58" s="5"/>
      <c r="GGT58" s="5"/>
      <c r="GGU58" s="5"/>
      <c r="GGV58" s="5"/>
      <c r="GGW58" s="5"/>
      <c r="GGX58" s="5"/>
      <c r="GGY58" s="5"/>
      <c r="GGZ58" s="5"/>
      <c r="GHA58" s="5"/>
      <c r="GHB58" s="5"/>
      <c r="GHC58" s="5"/>
      <c r="GHD58" s="5"/>
      <c r="GHE58" s="5"/>
      <c r="GHF58" s="5"/>
      <c r="GHG58" s="5"/>
      <c r="GHH58" s="5"/>
      <c r="GHI58" s="5"/>
      <c r="GHJ58" s="5"/>
      <c r="GHK58" s="5"/>
      <c r="GHL58" s="5"/>
      <c r="GHM58" s="5"/>
      <c r="GHN58" s="5"/>
      <c r="GHO58" s="5"/>
      <c r="GHP58" s="5"/>
      <c r="GHQ58" s="5"/>
      <c r="GHR58" s="5"/>
      <c r="GHS58" s="5"/>
      <c r="GHT58" s="5"/>
      <c r="GHU58" s="5"/>
      <c r="GHV58" s="5"/>
      <c r="GHW58" s="5"/>
      <c r="GHX58" s="5"/>
      <c r="GHY58" s="5"/>
      <c r="GHZ58" s="5"/>
      <c r="GIA58" s="5"/>
      <c r="GIB58" s="5"/>
      <c r="GIC58" s="5"/>
      <c r="GID58" s="5"/>
      <c r="GIE58" s="5"/>
      <c r="GIF58" s="5"/>
      <c r="GIG58" s="5"/>
      <c r="GIH58" s="5"/>
      <c r="GII58" s="5"/>
      <c r="GIJ58" s="5"/>
      <c r="GIK58" s="5"/>
      <c r="GIL58" s="5"/>
      <c r="GIM58" s="5"/>
      <c r="GIN58" s="5"/>
      <c r="GIO58" s="5"/>
      <c r="GIP58" s="5"/>
      <c r="GIQ58" s="5"/>
      <c r="GIR58" s="5"/>
      <c r="GIS58" s="5"/>
      <c r="GIT58" s="5"/>
      <c r="GIU58" s="5"/>
      <c r="GIV58" s="5"/>
      <c r="GIW58" s="5"/>
      <c r="GIX58" s="5"/>
      <c r="GIY58" s="5"/>
      <c r="GIZ58" s="5"/>
      <c r="GJA58" s="5"/>
      <c r="GJB58" s="5"/>
      <c r="GJC58" s="5"/>
      <c r="GJD58" s="5"/>
      <c r="GJE58" s="5"/>
      <c r="GJF58" s="5"/>
      <c r="GJG58" s="5"/>
      <c r="GJH58" s="5"/>
      <c r="GJI58" s="5"/>
      <c r="GJJ58" s="5"/>
      <c r="GJK58" s="5"/>
      <c r="GJL58" s="5"/>
      <c r="GJM58" s="5"/>
      <c r="GJN58" s="5"/>
      <c r="GJO58" s="5"/>
      <c r="GJP58" s="5"/>
      <c r="GJQ58" s="5"/>
      <c r="GJR58" s="5"/>
      <c r="GJS58" s="5"/>
      <c r="GJT58" s="5"/>
      <c r="GJU58" s="5"/>
      <c r="GJV58" s="5"/>
      <c r="GJW58" s="5"/>
      <c r="GJX58" s="5"/>
      <c r="GJY58" s="5"/>
      <c r="GJZ58" s="5"/>
      <c r="GKA58" s="5"/>
      <c r="GKB58" s="5"/>
      <c r="GKC58" s="5"/>
      <c r="GKD58" s="5"/>
      <c r="GKE58" s="5"/>
      <c r="GKF58" s="5"/>
      <c r="GKG58" s="5"/>
      <c r="GKH58" s="5"/>
      <c r="GKI58" s="5"/>
      <c r="GKJ58" s="5"/>
      <c r="GKK58" s="5"/>
      <c r="GKL58" s="5"/>
      <c r="GKM58" s="5"/>
      <c r="GKN58" s="5"/>
      <c r="GKO58" s="5"/>
      <c r="GKP58" s="5"/>
      <c r="GKQ58" s="5"/>
      <c r="GKR58" s="5"/>
      <c r="GKS58" s="5"/>
      <c r="GKT58" s="5"/>
      <c r="GKU58" s="5"/>
      <c r="GKV58" s="5"/>
      <c r="GKW58" s="5"/>
      <c r="GKX58" s="5"/>
      <c r="GKY58" s="5"/>
      <c r="GKZ58" s="5"/>
      <c r="GLA58" s="5"/>
      <c r="GLB58" s="5"/>
      <c r="GLC58" s="5"/>
      <c r="GLD58" s="5"/>
      <c r="GLE58" s="5"/>
      <c r="GLF58" s="5"/>
      <c r="GLG58" s="5"/>
      <c r="GLH58" s="5"/>
      <c r="GLI58" s="5"/>
      <c r="GLJ58" s="5"/>
      <c r="GLK58" s="5"/>
      <c r="GLL58" s="5"/>
      <c r="GLM58" s="5"/>
      <c r="GLN58" s="5"/>
      <c r="GLO58" s="5"/>
      <c r="GLP58" s="5"/>
      <c r="GLQ58" s="5"/>
      <c r="GLR58" s="5"/>
      <c r="GLS58" s="5"/>
      <c r="GLT58" s="5"/>
      <c r="GLU58" s="5"/>
      <c r="GLV58" s="5"/>
      <c r="GLW58" s="5"/>
      <c r="GLX58" s="5"/>
      <c r="GLY58" s="5"/>
      <c r="GLZ58" s="5"/>
      <c r="GMA58" s="5"/>
      <c r="GMB58" s="5"/>
      <c r="GMC58" s="5"/>
      <c r="GMD58" s="5"/>
      <c r="GME58" s="5"/>
      <c r="GMF58" s="5"/>
      <c r="GMG58" s="5"/>
      <c r="GMH58" s="5"/>
      <c r="GMI58" s="5"/>
      <c r="GMJ58" s="5"/>
      <c r="GMK58" s="5"/>
      <c r="GML58" s="5"/>
      <c r="GMM58" s="5"/>
      <c r="GMN58" s="5"/>
      <c r="GMO58" s="5"/>
      <c r="GMP58" s="5"/>
      <c r="GMQ58" s="5"/>
      <c r="GMR58" s="5"/>
      <c r="GMS58" s="5"/>
      <c r="GMT58" s="5"/>
      <c r="GMU58" s="5"/>
      <c r="GMV58" s="5"/>
      <c r="GMW58" s="5"/>
      <c r="GMX58" s="5"/>
      <c r="GMY58" s="5"/>
      <c r="GMZ58" s="5"/>
      <c r="GNA58" s="5"/>
      <c r="GNB58" s="5"/>
      <c r="GNC58" s="5"/>
      <c r="GND58" s="5"/>
      <c r="GNE58" s="5"/>
      <c r="GNF58" s="5"/>
      <c r="GNG58" s="5"/>
      <c r="GNH58" s="5"/>
      <c r="GNI58" s="5"/>
      <c r="GNJ58" s="5"/>
      <c r="GNK58" s="5"/>
      <c r="GNL58" s="5"/>
      <c r="GNM58" s="5"/>
      <c r="GNN58" s="5"/>
      <c r="GNO58" s="5"/>
      <c r="GNP58" s="5"/>
      <c r="GNQ58" s="5"/>
      <c r="GNR58" s="5"/>
      <c r="GNS58" s="5"/>
      <c r="GNT58" s="5"/>
      <c r="GNU58" s="5"/>
      <c r="GNV58" s="5"/>
      <c r="GNW58" s="5"/>
      <c r="GNX58" s="5"/>
      <c r="GNY58" s="5"/>
      <c r="GNZ58" s="5"/>
      <c r="GOA58" s="5"/>
      <c r="GOB58" s="5"/>
      <c r="GOC58" s="5"/>
      <c r="GOD58" s="5"/>
      <c r="GOE58" s="5"/>
      <c r="GOF58" s="5"/>
      <c r="GOG58" s="5"/>
      <c r="GOH58" s="5"/>
      <c r="GOI58" s="5"/>
      <c r="GOJ58" s="5"/>
      <c r="GOK58" s="5"/>
      <c r="GOL58" s="5"/>
      <c r="GOM58" s="5"/>
      <c r="GON58" s="5"/>
      <c r="GOO58" s="5"/>
      <c r="GOP58" s="5"/>
      <c r="GOQ58" s="5"/>
      <c r="GOR58" s="5"/>
      <c r="GOS58" s="5"/>
      <c r="GOT58" s="5"/>
      <c r="GOU58" s="5"/>
      <c r="GOV58" s="5"/>
      <c r="GOW58" s="5"/>
      <c r="GOX58" s="5"/>
      <c r="GOY58" s="5"/>
      <c r="GOZ58" s="5"/>
      <c r="GPA58" s="5"/>
      <c r="GPB58" s="5"/>
      <c r="GPC58" s="5"/>
      <c r="GPD58" s="5"/>
      <c r="GPE58" s="5"/>
      <c r="GPF58" s="5"/>
      <c r="GPG58" s="5"/>
      <c r="GPH58" s="5"/>
      <c r="GPI58" s="5"/>
      <c r="GPJ58" s="5"/>
      <c r="GPK58" s="5"/>
      <c r="GPL58" s="5"/>
      <c r="GPM58" s="5"/>
      <c r="GPN58" s="5"/>
      <c r="GPO58" s="5"/>
      <c r="GPP58" s="5"/>
      <c r="GPQ58" s="5"/>
      <c r="GPR58" s="5"/>
      <c r="GPS58" s="5"/>
      <c r="GPT58" s="5"/>
      <c r="GPU58" s="5"/>
      <c r="GPV58" s="5"/>
      <c r="GPW58" s="5"/>
      <c r="GPX58" s="5"/>
      <c r="GPY58" s="5"/>
      <c r="GPZ58" s="5"/>
      <c r="GQA58" s="5"/>
      <c r="GQB58" s="5"/>
      <c r="GQC58" s="5"/>
      <c r="GQD58" s="5"/>
      <c r="GQE58" s="5"/>
      <c r="GQF58" s="5"/>
      <c r="GQG58" s="5"/>
      <c r="GQH58" s="5"/>
      <c r="GQI58" s="5"/>
      <c r="GQJ58" s="5"/>
      <c r="GQK58" s="5"/>
      <c r="GQL58" s="5"/>
      <c r="GQM58" s="5"/>
      <c r="GQN58" s="5"/>
      <c r="GQO58" s="5"/>
      <c r="GQP58" s="5"/>
      <c r="GQQ58" s="5"/>
      <c r="GQR58" s="5"/>
      <c r="GQS58" s="5"/>
      <c r="GQT58" s="5"/>
      <c r="GQU58" s="5"/>
      <c r="GQV58" s="5"/>
      <c r="GQW58" s="5"/>
      <c r="GQX58" s="5"/>
      <c r="GQY58" s="5"/>
      <c r="GQZ58" s="5"/>
      <c r="GRA58" s="5"/>
      <c r="GRB58" s="5"/>
      <c r="GRC58" s="5"/>
      <c r="GRD58" s="5"/>
      <c r="GRE58" s="5"/>
      <c r="GRF58" s="5"/>
      <c r="GRG58" s="5"/>
      <c r="GRH58" s="5"/>
      <c r="GRI58" s="5"/>
      <c r="GRJ58" s="5"/>
      <c r="GRK58" s="5"/>
      <c r="GRL58" s="5"/>
      <c r="GRM58" s="5"/>
      <c r="GRN58" s="5"/>
      <c r="GRO58" s="5"/>
      <c r="GRP58" s="5"/>
      <c r="GRQ58" s="5"/>
      <c r="GRR58" s="5"/>
      <c r="GRS58" s="5"/>
      <c r="GRT58" s="5"/>
      <c r="GRU58" s="5"/>
      <c r="GRV58" s="5"/>
      <c r="GRW58" s="5"/>
      <c r="GRX58" s="5"/>
      <c r="GRY58" s="5"/>
      <c r="GRZ58" s="5"/>
      <c r="GSA58" s="5"/>
      <c r="GSB58" s="5"/>
      <c r="GSC58" s="5"/>
      <c r="GSD58" s="5"/>
      <c r="GSE58" s="5"/>
      <c r="GSF58" s="5"/>
      <c r="GSG58" s="5"/>
      <c r="GSH58" s="5"/>
      <c r="GSI58" s="5"/>
      <c r="GSJ58" s="5"/>
      <c r="GSK58" s="5"/>
      <c r="GSL58" s="5"/>
      <c r="GSM58" s="5"/>
      <c r="GSN58" s="5"/>
      <c r="GSO58" s="5"/>
      <c r="GSP58" s="5"/>
      <c r="GSQ58" s="5"/>
      <c r="GSR58" s="5"/>
      <c r="GSS58" s="5"/>
      <c r="GST58" s="5"/>
      <c r="GSU58" s="5"/>
      <c r="GSV58" s="5"/>
      <c r="GSW58" s="5"/>
      <c r="GSX58" s="5"/>
      <c r="GSY58" s="5"/>
      <c r="GSZ58" s="5"/>
      <c r="GTA58" s="5"/>
      <c r="GTB58" s="5"/>
      <c r="GTC58" s="5"/>
      <c r="GTD58" s="5"/>
      <c r="GTE58" s="5"/>
      <c r="GTF58" s="5"/>
      <c r="GTG58" s="5"/>
      <c r="GTH58" s="5"/>
      <c r="GTI58" s="5"/>
      <c r="GTJ58" s="5"/>
      <c r="GTK58" s="5"/>
      <c r="GTL58" s="5"/>
      <c r="GTM58" s="5"/>
      <c r="GTN58" s="5"/>
      <c r="GTO58" s="5"/>
      <c r="GTP58" s="5"/>
      <c r="GTQ58" s="5"/>
      <c r="GTR58" s="5"/>
      <c r="GTS58" s="5"/>
      <c r="GTT58" s="5"/>
      <c r="GTU58" s="5"/>
      <c r="GTV58" s="5"/>
      <c r="GTW58" s="5"/>
      <c r="GTX58" s="5"/>
      <c r="GTY58" s="5"/>
      <c r="GTZ58" s="5"/>
      <c r="GUA58" s="5"/>
      <c r="GUB58" s="5"/>
      <c r="GUC58" s="5"/>
      <c r="GUD58" s="5"/>
      <c r="GUE58" s="5"/>
      <c r="GUF58" s="5"/>
      <c r="GUG58" s="5"/>
      <c r="GUH58" s="5"/>
      <c r="GUI58" s="5"/>
      <c r="GUJ58" s="5"/>
      <c r="GUK58" s="5"/>
      <c r="GUL58" s="5"/>
      <c r="GUM58" s="5"/>
      <c r="GUN58" s="5"/>
      <c r="GUO58" s="5"/>
      <c r="GUP58" s="5"/>
      <c r="GUQ58" s="5"/>
      <c r="GUR58" s="5"/>
      <c r="GUS58" s="5"/>
      <c r="GUT58" s="5"/>
      <c r="GUU58" s="5"/>
      <c r="GUV58" s="5"/>
      <c r="GUW58" s="5"/>
      <c r="GUX58" s="5"/>
      <c r="GUY58" s="5"/>
      <c r="GUZ58" s="5"/>
      <c r="GVA58" s="5"/>
      <c r="GVB58" s="5"/>
      <c r="GVC58" s="5"/>
      <c r="GVD58" s="5"/>
      <c r="GVE58" s="5"/>
      <c r="GVF58" s="5"/>
      <c r="GVG58" s="5"/>
      <c r="GVH58" s="5"/>
      <c r="GVI58" s="5"/>
      <c r="GVJ58" s="5"/>
      <c r="GVK58" s="5"/>
      <c r="GVL58" s="5"/>
      <c r="GVM58" s="5"/>
      <c r="GVN58" s="5"/>
      <c r="GVO58" s="5"/>
      <c r="GVP58" s="5"/>
      <c r="GVQ58" s="5"/>
      <c r="GVR58" s="5"/>
      <c r="GVS58" s="5"/>
      <c r="GVT58" s="5"/>
      <c r="GVU58" s="5"/>
      <c r="GVV58" s="5"/>
      <c r="GVW58" s="5"/>
      <c r="GVX58" s="5"/>
      <c r="GVY58" s="5"/>
      <c r="GVZ58" s="5"/>
      <c r="GWA58" s="5"/>
      <c r="GWB58" s="5"/>
      <c r="GWC58" s="5"/>
      <c r="GWD58" s="5"/>
      <c r="GWE58" s="5"/>
      <c r="GWF58" s="5"/>
      <c r="GWG58" s="5"/>
      <c r="GWH58" s="5"/>
      <c r="GWI58" s="5"/>
      <c r="GWJ58" s="5"/>
      <c r="GWK58" s="5"/>
      <c r="GWL58" s="5"/>
      <c r="GWM58" s="5"/>
      <c r="GWN58" s="5"/>
      <c r="GWO58" s="5"/>
      <c r="GWP58" s="5"/>
      <c r="GWQ58" s="5"/>
      <c r="GWR58" s="5"/>
      <c r="GWS58" s="5"/>
      <c r="GWT58" s="5"/>
      <c r="GWU58" s="5"/>
      <c r="GWV58" s="5"/>
      <c r="GWW58" s="5"/>
      <c r="GWX58" s="5"/>
      <c r="GWY58" s="5"/>
      <c r="GWZ58" s="5"/>
      <c r="GXA58" s="5"/>
      <c r="GXB58" s="5"/>
      <c r="GXC58" s="5"/>
      <c r="GXD58" s="5"/>
      <c r="GXE58" s="5"/>
      <c r="GXF58" s="5"/>
      <c r="GXG58" s="5"/>
      <c r="GXH58" s="5"/>
      <c r="GXI58" s="5"/>
      <c r="GXJ58" s="5"/>
      <c r="GXK58" s="5"/>
      <c r="GXL58" s="5"/>
      <c r="GXM58" s="5"/>
      <c r="GXN58" s="5"/>
      <c r="GXO58" s="5"/>
      <c r="GXP58" s="5"/>
      <c r="GXQ58" s="5"/>
      <c r="GXR58" s="5"/>
      <c r="GXS58" s="5"/>
      <c r="GXT58" s="5"/>
      <c r="GXU58" s="5"/>
      <c r="GXV58" s="5"/>
      <c r="GXW58" s="5"/>
      <c r="GXX58" s="5"/>
      <c r="GXY58" s="5"/>
      <c r="GXZ58" s="5"/>
      <c r="GYA58" s="5"/>
      <c r="GYB58" s="5"/>
      <c r="GYC58" s="5"/>
      <c r="GYD58" s="5"/>
      <c r="GYE58" s="5"/>
      <c r="GYF58" s="5"/>
      <c r="GYG58" s="5"/>
      <c r="GYH58" s="5"/>
      <c r="GYI58" s="5"/>
      <c r="GYJ58" s="5"/>
      <c r="GYK58" s="5"/>
      <c r="GYL58" s="5"/>
      <c r="GYM58" s="5"/>
      <c r="GYN58" s="5"/>
      <c r="GYO58" s="5"/>
      <c r="GYP58" s="5"/>
      <c r="GYQ58" s="5"/>
      <c r="GYR58" s="5"/>
      <c r="GYS58" s="5"/>
      <c r="GYT58" s="5"/>
      <c r="GYU58" s="5"/>
      <c r="GYV58" s="5"/>
      <c r="GYW58" s="5"/>
      <c r="GYX58" s="5"/>
      <c r="GYY58" s="5"/>
      <c r="GYZ58" s="5"/>
      <c r="GZA58" s="5"/>
      <c r="GZB58" s="5"/>
      <c r="GZC58" s="5"/>
      <c r="GZD58" s="5"/>
      <c r="GZE58" s="5"/>
      <c r="GZF58" s="5"/>
      <c r="GZG58" s="5"/>
      <c r="GZH58" s="5"/>
      <c r="GZI58" s="5"/>
      <c r="GZJ58" s="5"/>
      <c r="GZK58" s="5"/>
      <c r="GZL58" s="5"/>
      <c r="GZM58" s="5"/>
      <c r="GZN58" s="5"/>
      <c r="GZO58" s="5"/>
      <c r="GZP58" s="5"/>
      <c r="GZQ58" s="5"/>
      <c r="GZR58" s="5"/>
      <c r="GZS58" s="5"/>
      <c r="GZT58" s="5"/>
      <c r="GZU58" s="5"/>
      <c r="GZV58" s="5"/>
      <c r="GZW58" s="5"/>
      <c r="GZX58" s="5"/>
      <c r="GZY58" s="5"/>
      <c r="GZZ58" s="5"/>
      <c r="HAA58" s="5"/>
      <c r="HAB58" s="5"/>
      <c r="HAC58" s="5"/>
      <c r="HAD58" s="5"/>
      <c r="HAE58" s="5"/>
      <c r="HAF58" s="5"/>
      <c r="HAG58" s="5"/>
      <c r="HAH58" s="5"/>
      <c r="HAI58" s="5"/>
      <c r="HAJ58" s="5"/>
      <c r="HAK58" s="5"/>
      <c r="HAL58" s="5"/>
      <c r="HAM58" s="5"/>
      <c r="HAN58" s="5"/>
      <c r="HAO58" s="5"/>
      <c r="HAP58" s="5"/>
      <c r="HAQ58" s="5"/>
      <c r="HAR58" s="5"/>
      <c r="HAS58" s="5"/>
      <c r="HAT58" s="5"/>
      <c r="HAU58" s="5"/>
      <c r="HAV58" s="5"/>
      <c r="HAW58" s="5"/>
      <c r="HAX58" s="5"/>
      <c r="HAY58" s="5"/>
      <c r="HAZ58" s="5"/>
      <c r="HBA58" s="5"/>
      <c r="HBB58" s="5"/>
      <c r="HBC58" s="5"/>
      <c r="HBD58" s="5"/>
      <c r="HBE58" s="5"/>
      <c r="HBF58" s="5"/>
      <c r="HBG58" s="5"/>
      <c r="HBH58" s="5"/>
      <c r="HBI58" s="5"/>
      <c r="HBJ58" s="5"/>
      <c r="HBK58" s="5"/>
      <c r="HBL58" s="5"/>
      <c r="HBM58" s="5"/>
      <c r="HBN58" s="5"/>
      <c r="HBO58" s="5"/>
      <c r="HBP58" s="5"/>
      <c r="HBQ58" s="5"/>
      <c r="HBR58" s="5"/>
      <c r="HBS58" s="5"/>
      <c r="HBT58" s="5"/>
      <c r="HBU58" s="5"/>
      <c r="HBV58" s="5"/>
      <c r="HBW58" s="5"/>
      <c r="HBX58" s="5"/>
      <c r="HBY58" s="5"/>
      <c r="HBZ58" s="5"/>
      <c r="HCA58" s="5"/>
      <c r="HCB58" s="5"/>
      <c r="HCC58" s="5"/>
      <c r="HCD58" s="5"/>
      <c r="HCE58" s="5"/>
      <c r="HCF58" s="5"/>
      <c r="HCG58" s="5"/>
      <c r="HCH58" s="5"/>
      <c r="HCI58" s="5"/>
      <c r="HCJ58" s="5"/>
      <c r="HCK58" s="5"/>
      <c r="HCL58" s="5"/>
      <c r="HCM58" s="5"/>
      <c r="HCN58" s="5"/>
      <c r="HCO58" s="5"/>
      <c r="HCP58" s="5"/>
      <c r="HCQ58" s="5"/>
      <c r="HCR58" s="5"/>
      <c r="HCS58" s="5"/>
      <c r="HCT58" s="5"/>
      <c r="HCU58" s="5"/>
      <c r="HCV58" s="5"/>
      <c r="HCW58" s="5"/>
      <c r="HCX58" s="5"/>
      <c r="HCY58" s="5"/>
      <c r="HCZ58" s="5"/>
      <c r="HDA58" s="5"/>
      <c r="HDB58" s="5"/>
      <c r="HDC58" s="5"/>
      <c r="HDD58" s="5"/>
      <c r="HDE58" s="5"/>
      <c r="HDF58" s="5"/>
      <c r="HDG58" s="5"/>
      <c r="HDH58" s="5"/>
      <c r="HDI58" s="5"/>
      <c r="HDJ58" s="5"/>
      <c r="HDK58" s="5"/>
      <c r="HDL58" s="5"/>
      <c r="HDM58" s="5"/>
      <c r="HDN58" s="5"/>
      <c r="HDO58" s="5"/>
      <c r="HDP58" s="5"/>
      <c r="HDQ58" s="5"/>
      <c r="HDR58" s="5"/>
      <c r="HDS58" s="5"/>
      <c r="HDT58" s="5"/>
      <c r="HDU58" s="5"/>
      <c r="HDV58" s="5"/>
      <c r="HDW58" s="5"/>
      <c r="HDX58" s="5"/>
      <c r="HDY58" s="5"/>
      <c r="HDZ58" s="5"/>
      <c r="HEA58" s="5"/>
      <c r="HEB58" s="5"/>
      <c r="HEC58" s="5"/>
      <c r="HED58" s="5"/>
      <c r="HEE58" s="5"/>
      <c r="HEF58" s="5"/>
      <c r="HEG58" s="5"/>
      <c r="HEH58" s="5"/>
      <c r="HEI58" s="5"/>
      <c r="HEJ58" s="5"/>
      <c r="HEK58" s="5"/>
      <c r="HEL58" s="5"/>
      <c r="HEM58" s="5"/>
      <c r="HEN58" s="5"/>
      <c r="HEO58" s="5"/>
      <c r="HEP58" s="5"/>
      <c r="HEQ58" s="5"/>
      <c r="HER58" s="5"/>
      <c r="HES58" s="5"/>
      <c r="HET58" s="5"/>
      <c r="HEU58" s="5"/>
      <c r="HEV58" s="5"/>
      <c r="HEW58" s="5"/>
      <c r="HEX58" s="5"/>
      <c r="HEY58" s="5"/>
      <c r="HEZ58" s="5"/>
      <c r="HFA58" s="5"/>
      <c r="HFB58" s="5"/>
      <c r="HFC58" s="5"/>
      <c r="HFD58" s="5"/>
      <c r="HFE58" s="5"/>
      <c r="HFF58" s="5"/>
      <c r="HFG58" s="5"/>
      <c r="HFH58" s="5"/>
      <c r="HFI58" s="5"/>
      <c r="HFJ58" s="5"/>
      <c r="HFK58" s="5"/>
      <c r="HFL58" s="5"/>
      <c r="HFM58" s="5"/>
      <c r="HFN58" s="5"/>
      <c r="HFO58" s="5"/>
      <c r="HFP58" s="5"/>
      <c r="HFQ58" s="5"/>
      <c r="HFR58" s="5"/>
      <c r="HFS58" s="5"/>
      <c r="HFT58" s="5"/>
      <c r="HFU58" s="5"/>
      <c r="HFV58" s="5"/>
      <c r="HFW58" s="5"/>
      <c r="HFX58" s="5"/>
      <c r="HFY58" s="5"/>
      <c r="HFZ58" s="5"/>
      <c r="HGA58" s="5"/>
      <c r="HGB58" s="5"/>
      <c r="HGC58" s="5"/>
      <c r="HGD58" s="5"/>
      <c r="HGE58" s="5"/>
      <c r="HGF58" s="5"/>
      <c r="HGG58" s="5"/>
      <c r="HGH58" s="5"/>
      <c r="HGI58" s="5"/>
      <c r="HGJ58" s="5"/>
      <c r="HGK58" s="5"/>
      <c r="HGL58" s="5"/>
      <c r="HGM58" s="5"/>
      <c r="HGN58" s="5"/>
      <c r="HGO58" s="5"/>
      <c r="HGP58" s="5"/>
      <c r="HGQ58" s="5"/>
      <c r="HGR58" s="5"/>
      <c r="HGS58" s="5"/>
      <c r="HGT58" s="5"/>
      <c r="HGU58" s="5"/>
      <c r="HGV58" s="5"/>
      <c r="HGW58" s="5"/>
      <c r="HGX58" s="5"/>
      <c r="HGY58" s="5"/>
      <c r="HGZ58" s="5"/>
      <c r="HHA58" s="5"/>
      <c r="HHB58" s="5"/>
      <c r="HHC58" s="5"/>
      <c r="HHD58" s="5"/>
      <c r="HHE58" s="5"/>
      <c r="HHF58" s="5"/>
      <c r="HHG58" s="5"/>
      <c r="HHH58" s="5"/>
      <c r="HHI58" s="5"/>
      <c r="HHJ58" s="5"/>
      <c r="HHK58" s="5"/>
      <c r="HHL58" s="5"/>
      <c r="HHM58" s="5"/>
      <c r="HHN58" s="5"/>
      <c r="HHO58" s="5"/>
      <c r="HHP58" s="5"/>
      <c r="HHQ58" s="5"/>
      <c r="HHR58" s="5"/>
      <c r="HHS58" s="5"/>
      <c r="HHT58" s="5"/>
      <c r="HHU58" s="5"/>
      <c r="HHV58" s="5"/>
      <c r="HHW58" s="5"/>
      <c r="HHX58" s="5"/>
      <c r="HHY58" s="5"/>
      <c r="HHZ58" s="5"/>
      <c r="HIA58" s="5"/>
      <c r="HIB58" s="5"/>
      <c r="HIC58" s="5"/>
      <c r="HID58" s="5"/>
      <c r="HIE58" s="5"/>
      <c r="HIF58" s="5"/>
      <c r="HIG58" s="5"/>
      <c r="HIH58" s="5"/>
      <c r="HII58" s="5"/>
      <c r="HIJ58" s="5"/>
      <c r="HIK58" s="5"/>
      <c r="HIL58" s="5"/>
      <c r="HIM58" s="5"/>
      <c r="HIN58" s="5"/>
      <c r="HIO58" s="5"/>
      <c r="HIP58" s="5"/>
      <c r="HIQ58" s="5"/>
      <c r="HIR58" s="5"/>
      <c r="HIS58" s="5"/>
      <c r="HIT58" s="5"/>
      <c r="HIU58" s="5"/>
      <c r="HIV58" s="5"/>
      <c r="HIW58" s="5"/>
      <c r="HIX58" s="5"/>
      <c r="HIY58" s="5"/>
      <c r="HIZ58" s="5"/>
      <c r="HJA58" s="5"/>
      <c r="HJB58" s="5"/>
      <c r="HJC58" s="5"/>
      <c r="HJD58" s="5"/>
      <c r="HJE58" s="5"/>
      <c r="HJF58" s="5"/>
      <c r="HJG58" s="5"/>
      <c r="HJH58" s="5"/>
      <c r="HJI58" s="5"/>
      <c r="HJJ58" s="5"/>
      <c r="HJK58" s="5"/>
      <c r="HJL58" s="5"/>
      <c r="HJM58" s="5"/>
      <c r="HJN58" s="5"/>
      <c r="HJO58" s="5"/>
      <c r="HJP58" s="5"/>
      <c r="HJQ58" s="5"/>
      <c r="HJR58" s="5"/>
      <c r="HJS58" s="5"/>
      <c r="HJT58" s="5"/>
      <c r="HJU58" s="5"/>
      <c r="HJV58" s="5"/>
      <c r="HJW58" s="5"/>
      <c r="HJX58" s="5"/>
      <c r="HJY58" s="5"/>
      <c r="HJZ58" s="5"/>
      <c r="HKA58" s="5"/>
      <c r="HKB58" s="5"/>
      <c r="HKC58" s="5"/>
      <c r="HKD58" s="5"/>
      <c r="HKE58" s="5"/>
      <c r="HKF58" s="5"/>
      <c r="HKG58" s="5"/>
      <c r="HKH58" s="5"/>
      <c r="HKI58" s="5"/>
      <c r="HKJ58" s="5"/>
      <c r="HKK58" s="5"/>
      <c r="HKL58" s="5"/>
      <c r="HKM58" s="5"/>
      <c r="HKN58" s="5"/>
      <c r="HKO58" s="5"/>
      <c r="HKP58" s="5"/>
      <c r="HKQ58" s="5"/>
      <c r="HKR58" s="5"/>
      <c r="HKS58" s="5"/>
      <c r="HKT58" s="5"/>
      <c r="HKU58" s="5"/>
      <c r="HKV58" s="5"/>
      <c r="HKW58" s="5"/>
      <c r="HKX58" s="5"/>
      <c r="HKY58" s="5"/>
      <c r="HKZ58" s="5"/>
      <c r="HLA58" s="5"/>
      <c r="HLB58" s="5"/>
      <c r="HLC58" s="5"/>
      <c r="HLD58" s="5"/>
      <c r="HLE58" s="5"/>
      <c r="HLF58" s="5"/>
      <c r="HLG58" s="5"/>
      <c r="HLH58" s="5"/>
      <c r="HLI58" s="5"/>
      <c r="HLJ58" s="5"/>
      <c r="HLK58" s="5"/>
      <c r="HLL58" s="5"/>
      <c r="HLM58" s="5"/>
      <c r="HLN58" s="5"/>
      <c r="HLO58" s="5"/>
      <c r="HLP58" s="5"/>
      <c r="HLQ58" s="5"/>
      <c r="HLR58" s="5"/>
      <c r="HLS58" s="5"/>
      <c r="HLT58" s="5"/>
      <c r="HLU58" s="5"/>
      <c r="HLV58" s="5"/>
      <c r="HLW58" s="5"/>
      <c r="HLX58" s="5"/>
      <c r="HLY58" s="5"/>
      <c r="HLZ58" s="5"/>
      <c r="HMA58" s="5"/>
      <c r="HMB58" s="5"/>
      <c r="HMC58" s="5"/>
      <c r="HMD58" s="5"/>
      <c r="HME58" s="5"/>
      <c r="HMF58" s="5"/>
      <c r="HMG58" s="5"/>
      <c r="HMH58" s="5"/>
      <c r="HMI58" s="5"/>
      <c r="HMJ58" s="5"/>
      <c r="HMK58" s="5"/>
      <c r="HML58" s="5"/>
      <c r="HMM58" s="5"/>
      <c r="HMN58" s="5"/>
      <c r="HMO58" s="5"/>
      <c r="HMP58" s="5"/>
      <c r="HMQ58" s="5"/>
      <c r="HMR58" s="5"/>
      <c r="HMS58" s="5"/>
      <c r="HMT58" s="5"/>
      <c r="HMU58" s="5"/>
      <c r="HMV58" s="5"/>
      <c r="HMW58" s="5"/>
      <c r="HMX58" s="5"/>
      <c r="HMY58" s="5"/>
      <c r="HMZ58" s="5"/>
      <c r="HNA58" s="5"/>
      <c r="HNB58" s="5"/>
      <c r="HNC58" s="5"/>
      <c r="HND58" s="5"/>
      <c r="HNE58" s="5"/>
      <c r="HNF58" s="5"/>
      <c r="HNG58" s="5"/>
      <c r="HNH58" s="5"/>
      <c r="HNI58" s="5"/>
      <c r="HNJ58" s="5"/>
      <c r="HNK58" s="5"/>
      <c r="HNL58" s="5"/>
      <c r="HNM58" s="5"/>
      <c r="HNN58" s="5"/>
      <c r="HNO58" s="5"/>
      <c r="HNP58" s="5"/>
      <c r="HNQ58" s="5"/>
      <c r="HNR58" s="5"/>
      <c r="HNS58" s="5"/>
      <c r="HNT58" s="5"/>
      <c r="HNU58" s="5"/>
      <c r="HNV58" s="5"/>
      <c r="HNW58" s="5"/>
      <c r="HNX58" s="5"/>
      <c r="HNY58" s="5"/>
      <c r="HNZ58" s="5"/>
      <c r="HOA58" s="5"/>
      <c r="HOB58" s="5"/>
      <c r="HOC58" s="5"/>
      <c r="HOD58" s="5"/>
      <c r="HOE58" s="5"/>
      <c r="HOF58" s="5"/>
      <c r="HOG58" s="5"/>
      <c r="HOH58" s="5"/>
      <c r="HOI58" s="5"/>
      <c r="HOJ58" s="5"/>
      <c r="HOK58" s="5"/>
      <c r="HOL58" s="5"/>
      <c r="HOM58" s="5"/>
      <c r="HON58" s="5"/>
      <c r="HOO58" s="5"/>
      <c r="HOP58" s="5"/>
      <c r="HOQ58" s="5"/>
      <c r="HOR58" s="5"/>
      <c r="HOS58" s="5"/>
      <c r="HOT58" s="5"/>
      <c r="HOU58" s="5"/>
      <c r="HOV58" s="5"/>
      <c r="HOW58" s="5"/>
      <c r="HOX58" s="5"/>
      <c r="HOY58" s="5"/>
      <c r="HOZ58" s="5"/>
      <c r="HPA58" s="5"/>
      <c r="HPB58" s="5"/>
      <c r="HPC58" s="5"/>
      <c r="HPD58" s="5"/>
      <c r="HPE58" s="5"/>
      <c r="HPF58" s="5"/>
      <c r="HPG58" s="5"/>
      <c r="HPH58" s="5"/>
      <c r="HPI58" s="5"/>
      <c r="HPJ58" s="5"/>
      <c r="HPK58" s="5"/>
      <c r="HPL58" s="5"/>
      <c r="HPM58" s="5"/>
      <c r="HPN58" s="5"/>
      <c r="HPO58" s="5"/>
      <c r="HPP58" s="5"/>
      <c r="HPQ58" s="5"/>
      <c r="HPR58" s="5"/>
      <c r="HPS58" s="5"/>
      <c r="HPT58" s="5"/>
      <c r="HPU58" s="5"/>
      <c r="HPV58" s="5"/>
      <c r="HPW58" s="5"/>
      <c r="HPX58" s="5"/>
      <c r="HPY58" s="5"/>
      <c r="HPZ58" s="5"/>
      <c r="HQA58" s="5"/>
      <c r="HQB58" s="5"/>
      <c r="HQC58" s="5"/>
      <c r="HQD58" s="5"/>
      <c r="HQE58" s="5"/>
      <c r="HQF58" s="5"/>
      <c r="HQG58" s="5"/>
      <c r="HQH58" s="5"/>
      <c r="HQI58" s="5"/>
      <c r="HQJ58" s="5"/>
      <c r="HQK58" s="5"/>
      <c r="HQL58" s="5"/>
      <c r="HQM58" s="5"/>
      <c r="HQN58" s="5"/>
      <c r="HQO58" s="5"/>
      <c r="HQP58" s="5"/>
      <c r="HQQ58" s="5"/>
      <c r="HQR58" s="5"/>
      <c r="HQS58" s="5"/>
      <c r="HQT58" s="5"/>
      <c r="HQU58" s="5"/>
      <c r="HQV58" s="5"/>
      <c r="HQW58" s="5"/>
      <c r="HQX58" s="5"/>
      <c r="HQY58" s="5"/>
      <c r="HQZ58" s="5"/>
      <c r="HRA58" s="5"/>
      <c r="HRB58" s="5"/>
      <c r="HRC58" s="5"/>
      <c r="HRD58" s="5"/>
      <c r="HRE58" s="5"/>
      <c r="HRF58" s="5"/>
      <c r="HRG58" s="5"/>
      <c r="HRH58" s="5"/>
      <c r="HRI58" s="5"/>
      <c r="HRJ58" s="5"/>
      <c r="HRK58" s="5"/>
      <c r="HRL58" s="5"/>
      <c r="HRM58" s="5"/>
      <c r="HRN58" s="5"/>
      <c r="HRO58" s="5"/>
      <c r="HRP58" s="5"/>
      <c r="HRQ58" s="5"/>
      <c r="HRR58" s="5"/>
      <c r="HRS58" s="5"/>
      <c r="HRT58" s="5"/>
      <c r="HRU58" s="5"/>
      <c r="HRV58" s="5"/>
      <c r="HRW58" s="5"/>
      <c r="HRX58" s="5"/>
      <c r="HRY58" s="5"/>
      <c r="HRZ58" s="5"/>
      <c r="HSA58" s="5"/>
      <c r="HSB58" s="5"/>
      <c r="HSC58" s="5"/>
      <c r="HSD58" s="5"/>
      <c r="HSE58" s="5"/>
      <c r="HSF58" s="5"/>
      <c r="HSG58" s="5"/>
      <c r="HSH58" s="5"/>
      <c r="HSI58" s="5"/>
      <c r="HSJ58" s="5"/>
      <c r="HSK58" s="5"/>
      <c r="HSL58" s="5"/>
      <c r="HSM58" s="5"/>
      <c r="HSN58" s="5"/>
      <c r="HSO58" s="5"/>
      <c r="HSP58" s="5"/>
      <c r="HSQ58" s="5"/>
      <c r="HSR58" s="5"/>
      <c r="HSS58" s="5"/>
      <c r="HST58" s="5"/>
      <c r="HSU58" s="5"/>
      <c r="HSV58" s="5"/>
      <c r="HSW58" s="5"/>
      <c r="HSX58" s="5"/>
      <c r="HSY58" s="5"/>
      <c r="HSZ58" s="5"/>
      <c r="HTA58" s="5"/>
      <c r="HTB58" s="5"/>
      <c r="HTC58" s="5"/>
      <c r="HTD58" s="5"/>
      <c r="HTE58" s="5"/>
      <c r="HTF58" s="5"/>
      <c r="HTG58" s="5"/>
      <c r="HTH58" s="5"/>
      <c r="HTI58" s="5"/>
      <c r="HTJ58" s="5"/>
      <c r="HTK58" s="5"/>
      <c r="HTL58" s="5"/>
      <c r="HTM58" s="5"/>
      <c r="HTN58" s="5"/>
      <c r="HTO58" s="5"/>
      <c r="HTP58" s="5"/>
      <c r="HTQ58" s="5"/>
      <c r="HTR58" s="5"/>
      <c r="HTS58" s="5"/>
      <c r="HTT58" s="5"/>
      <c r="HTU58" s="5"/>
      <c r="HTV58" s="5"/>
      <c r="HTW58" s="5"/>
      <c r="HTX58" s="5"/>
      <c r="HTY58" s="5"/>
      <c r="HTZ58" s="5"/>
      <c r="HUA58" s="5"/>
      <c r="HUB58" s="5"/>
      <c r="HUC58" s="5"/>
      <c r="HUD58" s="5"/>
      <c r="HUE58" s="5"/>
      <c r="HUF58" s="5"/>
      <c r="HUG58" s="5"/>
      <c r="HUH58" s="5"/>
      <c r="HUI58" s="5"/>
      <c r="HUJ58" s="5"/>
      <c r="HUK58" s="5"/>
      <c r="HUL58" s="5"/>
      <c r="HUM58" s="5"/>
      <c r="HUN58" s="5"/>
      <c r="HUO58" s="5"/>
      <c r="HUP58" s="5"/>
      <c r="HUQ58" s="5"/>
      <c r="HUR58" s="5"/>
      <c r="HUS58" s="5"/>
      <c r="HUT58" s="5"/>
      <c r="HUU58" s="5"/>
      <c r="HUV58" s="5"/>
      <c r="HUW58" s="5"/>
      <c r="HUX58" s="5"/>
      <c r="HUY58" s="5"/>
      <c r="HUZ58" s="5"/>
      <c r="HVA58" s="5"/>
      <c r="HVB58" s="5"/>
      <c r="HVC58" s="5"/>
      <c r="HVD58" s="5"/>
      <c r="HVE58" s="5"/>
      <c r="HVF58" s="5"/>
      <c r="HVG58" s="5"/>
      <c r="HVH58" s="5"/>
      <c r="HVI58" s="5"/>
      <c r="HVJ58" s="5"/>
      <c r="HVK58" s="5"/>
      <c r="HVL58" s="5"/>
      <c r="HVM58" s="5"/>
      <c r="HVN58" s="5"/>
      <c r="HVO58" s="5"/>
      <c r="HVP58" s="5"/>
      <c r="HVQ58" s="5"/>
      <c r="HVR58" s="5"/>
      <c r="HVS58" s="5"/>
      <c r="HVT58" s="5"/>
      <c r="HVU58" s="5"/>
      <c r="HVV58" s="5"/>
      <c r="HVW58" s="5"/>
      <c r="HVX58" s="5"/>
      <c r="HVY58" s="5"/>
      <c r="HVZ58" s="5"/>
      <c r="HWA58" s="5"/>
      <c r="HWB58" s="5"/>
      <c r="HWC58" s="5"/>
      <c r="HWD58" s="5"/>
      <c r="HWE58" s="5"/>
      <c r="HWF58" s="5"/>
      <c r="HWG58" s="5"/>
      <c r="HWH58" s="5"/>
      <c r="HWI58" s="5"/>
      <c r="HWJ58" s="5"/>
      <c r="HWK58" s="5"/>
      <c r="HWL58" s="5"/>
      <c r="HWM58" s="5"/>
      <c r="HWN58" s="5"/>
      <c r="HWO58" s="5"/>
      <c r="HWP58" s="5"/>
      <c r="HWQ58" s="5"/>
      <c r="HWR58" s="5"/>
      <c r="HWS58" s="5"/>
      <c r="HWT58" s="5"/>
      <c r="HWU58" s="5"/>
      <c r="HWV58" s="5"/>
      <c r="HWW58" s="5"/>
      <c r="HWX58" s="5"/>
      <c r="HWY58" s="5"/>
      <c r="HWZ58" s="5"/>
      <c r="HXA58" s="5"/>
      <c r="HXB58" s="5"/>
      <c r="HXC58" s="5"/>
      <c r="HXD58" s="5"/>
      <c r="HXE58" s="5"/>
      <c r="HXF58" s="5"/>
      <c r="HXG58" s="5"/>
      <c r="HXH58" s="5"/>
      <c r="HXI58" s="5"/>
      <c r="HXJ58" s="5"/>
      <c r="HXK58" s="5"/>
      <c r="HXL58" s="5"/>
      <c r="HXM58" s="5"/>
      <c r="HXN58" s="5"/>
      <c r="HXO58" s="5"/>
      <c r="HXP58" s="5"/>
      <c r="HXQ58" s="5"/>
      <c r="HXR58" s="5"/>
      <c r="HXS58" s="5"/>
      <c r="HXT58" s="5"/>
      <c r="HXU58" s="5"/>
      <c r="HXV58" s="5"/>
      <c r="HXW58" s="5"/>
      <c r="HXX58" s="5"/>
      <c r="HXY58" s="5"/>
      <c r="HXZ58" s="5"/>
      <c r="HYA58" s="5"/>
      <c r="HYB58" s="5"/>
      <c r="HYC58" s="5"/>
      <c r="HYD58" s="5"/>
      <c r="HYE58" s="5"/>
      <c r="HYF58" s="5"/>
      <c r="HYG58" s="5"/>
      <c r="HYH58" s="5"/>
      <c r="HYI58" s="5"/>
      <c r="HYJ58" s="5"/>
      <c r="HYK58" s="5"/>
      <c r="HYL58" s="5"/>
      <c r="HYM58" s="5"/>
      <c r="HYN58" s="5"/>
      <c r="HYO58" s="5"/>
      <c r="HYP58" s="5"/>
      <c r="HYQ58" s="5"/>
      <c r="HYR58" s="5"/>
      <c r="HYS58" s="5"/>
      <c r="HYT58" s="5"/>
      <c r="HYU58" s="5"/>
      <c r="HYV58" s="5"/>
      <c r="HYW58" s="5"/>
      <c r="HYX58" s="5"/>
      <c r="HYY58" s="5"/>
      <c r="HYZ58" s="5"/>
      <c r="HZA58" s="5"/>
      <c r="HZB58" s="5"/>
      <c r="HZC58" s="5"/>
      <c r="HZD58" s="5"/>
      <c r="HZE58" s="5"/>
      <c r="HZF58" s="5"/>
      <c r="HZG58" s="5"/>
      <c r="HZH58" s="5"/>
      <c r="HZI58" s="5"/>
      <c r="HZJ58" s="5"/>
      <c r="HZK58" s="5"/>
      <c r="HZL58" s="5"/>
      <c r="HZM58" s="5"/>
      <c r="HZN58" s="5"/>
      <c r="HZO58" s="5"/>
      <c r="HZP58" s="5"/>
      <c r="HZQ58" s="5"/>
      <c r="HZR58" s="5"/>
      <c r="HZS58" s="5"/>
      <c r="HZT58" s="5"/>
      <c r="HZU58" s="5"/>
      <c r="HZV58" s="5"/>
      <c r="HZW58" s="5"/>
      <c r="HZX58" s="5"/>
      <c r="HZY58" s="5"/>
      <c r="HZZ58" s="5"/>
      <c r="IAA58" s="5"/>
      <c r="IAB58" s="5"/>
      <c r="IAC58" s="5"/>
      <c r="IAD58" s="5"/>
      <c r="IAE58" s="5"/>
      <c r="IAF58" s="5"/>
      <c r="IAG58" s="5"/>
      <c r="IAH58" s="5"/>
      <c r="IAI58" s="5"/>
      <c r="IAJ58" s="5"/>
      <c r="IAK58" s="5"/>
      <c r="IAL58" s="5"/>
      <c r="IAM58" s="5"/>
      <c r="IAN58" s="5"/>
      <c r="IAO58" s="5"/>
      <c r="IAP58" s="5"/>
      <c r="IAQ58" s="5"/>
      <c r="IAR58" s="5"/>
      <c r="IAS58" s="5"/>
      <c r="IAT58" s="5"/>
      <c r="IAU58" s="5"/>
      <c r="IAV58" s="5"/>
      <c r="IAW58" s="5"/>
      <c r="IAX58" s="5"/>
      <c r="IAY58" s="5"/>
      <c r="IAZ58" s="5"/>
      <c r="IBA58" s="5"/>
      <c r="IBB58" s="5"/>
      <c r="IBC58" s="5"/>
      <c r="IBD58" s="5"/>
      <c r="IBE58" s="5"/>
      <c r="IBF58" s="5"/>
      <c r="IBG58" s="5"/>
      <c r="IBH58" s="5"/>
      <c r="IBI58" s="5"/>
      <c r="IBJ58" s="5"/>
      <c r="IBK58" s="5"/>
      <c r="IBL58" s="5"/>
      <c r="IBM58" s="5"/>
      <c r="IBN58" s="5"/>
      <c r="IBO58" s="5"/>
      <c r="IBP58" s="5"/>
      <c r="IBQ58" s="5"/>
      <c r="IBR58" s="5"/>
      <c r="IBS58" s="5"/>
      <c r="IBT58" s="5"/>
      <c r="IBU58" s="5"/>
      <c r="IBV58" s="5"/>
      <c r="IBW58" s="5"/>
      <c r="IBX58" s="5"/>
      <c r="IBY58" s="5"/>
      <c r="IBZ58" s="5"/>
      <c r="ICA58" s="5"/>
      <c r="ICB58" s="5"/>
      <c r="ICC58" s="5"/>
      <c r="ICD58" s="5"/>
      <c r="ICE58" s="5"/>
      <c r="ICF58" s="5"/>
      <c r="ICG58" s="5"/>
      <c r="ICH58" s="5"/>
      <c r="ICI58" s="5"/>
      <c r="ICJ58" s="5"/>
      <c r="ICK58" s="5"/>
      <c r="ICL58" s="5"/>
      <c r="ICM58" s="5"/>
      <c r="ICN58" s="5"/>
      <c r="ICO58" s="5"/>
      <c r="ICP58" s="5"/>
      <c r="ICQ58" s="5"/>
      <c r="ICR58" s="5"/>
      <c r="ICS58" s="5"/>
      <c r="ICT58" s="5"/>
      <c r="ICU58" s="5"/>
      <c r="ICV58" s="5"/>
      <c r="ICW58" s="5"/>
      <c r="ICX58" s="5"/>
      <c r="ICY58" s="5"/>
      <c r="ICZ58" s="5"/>
      <c r="IDA58" s="5"/>
      <c r="IDB58" s="5"/>
      <c r="IDC58" s="5"/>
      <c r="IDD58" s="5"/>
      <c r="IDE58" s="5"/>
      <c r="IDF58" s="5"/>
      <c r="IDG58" s="5"/>
      <c r="IDH58" s="5"/>
      <c r="IDI58" s="5"/>
      <c r="IDJ58" s="5"/>
      <c r="IDK58" s="5"/>
      <c r="IDL58" s="5"/>
      <c r="IDM58" s="5"/>
      <c r="IDN58" s="5"/>
      <c r="IDO58" s="5"/>
      <c r="IDP58" s="5"/>
      <c r="IDQ58" s="5"/>
      <c r="IDR58" s="5"/>
      <c r="IDS58" s="5"/>
      <c r="IDT58" s="5"/>
      <c r="IDU58" s="5"/>
      <c r="IDV58" s="5"/>
      <c r="IDW58" s="5"/>
      <c r="IDX58" s="5"/>
      <c r="IDY58" s="5"/>
      <c r="IDZ58" s="5"/>
      <c r="IEA58" s="5"/>
      <c r="IEB58" s="5"/>
      <c r="IEC58" s="5"/>
      <c r="IED58" s="5"/>
      <c r="IEE58" s="5"/>
      <c r="IEF58" s="5"/>
      <c r="IEG58" s="5"/>
      <c r="IEH58" s="5"/>
      <c r="IEI58" s="5"/>
      <c r="IEJ58" s="5"/>
      <c r="IEK58" s="5"/>
      <c r="IEL58" s="5"/>
      <c r="IEM58" s="5"/>
      <c r="IEN58" s="5"/>
      <c r="IEO58" s="5"/>
      <c r="IEP58" s="5"/>
      <c r="IEQ58" s="5"/>
      <c r="IER58" s="5"/>
      <c r="IES58" s="5"/>
      <c r="IET58" s="5"/>
      <c r="IEU58" s="5"/>
      <c r="IEV58" s="5"/>
      <c r="IEW58" s="5"/>
      <c r="IEX58" s="5"/>
      <c r="IEY58" s="5"/>
      <c r="IEZ58" s="5"/>
      <c r="IFA58" s="5"/>
      <c r="IFB58" s="5"/>
      <c r="IFC58" s="5"/>
      <c r="IFD58" s="5"/>
      <c r="IFE58" s="5"/>
      <c r="IFF58" s="5"/>
      <c r="IFG58" s="5"/>
      <c r="IFH58" s="5"/>
      <c r="IFI58" s="5"/>
      <c r="IFJ58" s="5"/>
      <c r="IFK58" s="5"/>
      <c r="IFL58" s="5"/>
      <c r="IFM58" s="5"/>
      <c r="IFN58" s="5"/>
      <c r="IFO58" s="5"/>
      <c r="IFP58" s="5"/>
      <c r="IFQ58" s="5"/>
      <c r="IFR58" s="5"/>
      <c r="IFS58" s="5"/>
      <c r="IFT58" s="5"/>
      <c r="IFU58" s="5"/>
      <c r="IFV58" s="5"/>
      <c r="IFW58" s="5"/>
      <c r="IFX58" s="5"/>
      <c r="IFY58" s="5"/>
      <c r="IFZ58" s="5"/>
      <c r="IGA58" s="5"/>
      <c r="IGB58" s="5"/>
      <c r="IGC58" s="5"/>
      <c r="IGD58" s="5"/>
      <c r="IGE58" s="5"/>
      <c r="IGF58" s="5"/>
      <c r="IGG58" s="5"/>
      <c r="IGH58" s="5"/>
      <c r="IGI58" s="5"/>
      <c r="IGJ58" s="5"/>
      <c r="IGK58" s="5"/>
      <c r="IGL58" s="5"/>
      <c r="IGM58" s="5"/>
      <c r="IGN58" s="5"/>
      <c r="IGO58" s="5"/>
      <c r="IGP58" s="5"/>
      <c r="IGQ58" s="5"/>
      <c r="IGR58" s="5"/>
      <c r="IGS58" s="5"/>
      <c r="IGT58" s="5"/>
      <c r="IGU58" s="5"/>
      <c r="IGV58" s="5"/>
      <c r="IGW58" s="5"/>
      <c r="IGX58" s="5"/>
      <c r="IGY58" s="5"/>
      <c r="IGZ58" s="5"/>
      <c r="IHA58" s="5"/>
      <c r="IHB58" s="5"/>
      <c r="IHC58" s="5"/>
      <c r="IHD58" s="5"/>
      <c r="IHE58" s="5"/>
      <c r="IHF58" s="5"/>
      <c r="IHG58" s="5"/>
      <c r="IHH58" s="5"/>
      <c r="IHI58" s="5"/>
      <c r="IHJ58" s="5"/>
      <c r="IHK58" s="5"/>
      <c r="IHL58" s="5"/>
      <c r="IHM58" s="5"/>
      <c r="IHN58" s="5"/>
      <c r="IHO58" s="5"/>
      <c r="IHP58" s="5"/>
      <c r="IHQ58" s="5"/>
      <c r="IHR58" s="5"/>
      <c r="IHS58" s="5"/>
      <c r="IHT58" s="5"/>
      <c r="IHU58" s="5"/>
      <c r="IHV58" s="5"/>
      <c r="IHW58" s="5"/>
      <c r="IHX58" s="5"/>
      <c r="IHY58" s="5"/>
      <c r="IHZ58" s="5"/>
      <c r="IIA58" s="5"/>
      <c r="IIB58" s="5"/>
      <c r="IIC58" s="5"/>
      <c r="IID58" s="5"/>
      <c r="IIE58" s="5"/>
      <c r="IIF58" s="5"/>
      <c r="IIG58" s="5"/>
      <c r="IIH58" s="5"/>
      <c r="III58" s="5"/>
      <c r="IIJ58" s="5"/>
      <c r="IIK58" s="5"/>
      <c r="IIL58" s="5"/>
      <c r="IIM58" s="5"/>
      <c r="IIN58" s="5"/>
      <c r="IIO58" s="5"/>
      <c r="IIP58" s="5"/>
      <c r="IIQ58" s="5"/>
      <c r="IIR58" s="5"/>
      <c r="IIS58" s="5"/>
      <c r="IIT58" s="5"/>
      <c r="IIU58" s="5"/>
      <c r="IIV58" s="5"/>
      <c r="IIW58" s="5"/>
      <c r="IIX58" s="5"/>
      <c r="IIY58" s="5"/>
      <c r="IIZ58" s="5"/>
      <c r="IJA58" s="5"/>
      <c r="IJB58" s="5"/>
      <c r="IJC58" s="5"/>
      <c r="IJD58" s="5"/>
      <c r="IJE58" s="5"/>
      <c r="IJF58" s="5"/>
      <c r="IJG58" s="5"/>
      <c r="IJH58" s="5"/>
      <c r="IJI58" s="5"/>
      <c r="IJJ58" s="5"/>
      <c r="IJK58" s="5"/>
      <c r="IJL58" s="5"/>
      <c r="IJM58" s="5"/>
      <c r="IJN58" s="5"/>
      <c r="IJO58" s="5"/>
      <c r="IJP58" s="5"/>
      <c r="IJQ58" s="5"/>
      <c r="IJR58" s="5"/>
      <c r="IJS58" s="5"/>
      <c r="IJT58" s="5"/>
      <c r="IJU58" s="5"/>
      <c r="IJV58" s="5"/>
      <c r="IJW58" s="5"/>
      <c r="IJX58" s="5"/>
      <c r="IJY58" s="5"/>
      <c r="IJZ58" s="5"/>
      <c r="IKA58" s="5"/>
      <c r="IKB58" s="5"/>
      <c r="IKC58" s="5"/>
      <c r="IKD58" s="5"/>
      <c r="IKE58" s="5"/>
      <c r="IKF58" s="5"/>
      <c r="IKG58" s="5"/>
      <c r="IKH58" s="5"/>
      <c r="IKI58" s="5"/>
      <c r="IKJ58" s="5"/>
      <c r="IKK58" s="5"/>
      <c r="IKL58" s="5"/>
      <c r="IKM58" s="5"/>
      <c r="IKN58" s="5"/>
      <c r="IKO58" s="5"/>
      <c r="IKP58" s="5"/>
      <c r="IKQ58" s="5"/>
      <c r="IKR58" s="5"/>
      <c r="IKS58" s="5"/>
      <c r="IKT58" s="5"/>
      <c r="IKU58" s="5"/>
      <c r="IKV58" s="5"/>
      <c r="IKW58" s="5"/>
      <c r="IKX58" s="5"/>
      <c r="IKY58" s="5"/>
      <c r="IKZ58" s="5"/>
      <c r="ILA58" s="5"/>
      <c r="ILB58" s="5"/>
      <c r="ILC58" s="5"/>
      <c r="ILD58" s="5"/>
      <c r="ILE58" s="5"/>
      <c r="ILF58" s="5"/>
      <c r="ILG58" s="5"/>
      <c r="ILH58" s="5"/>
      <c r="ILI58" s="5"/>
      <c r="ILJ58" s="5"/>
      <c r="ILK58" s="5"/>
      <c r="ILL58" s="5"/>
      <c r="ILM58" s="5"/>
      <c r="ILN58" s="5"/>
      <c r="ILO58" s="5"/>
      <c r="ILP58" s="5"/>
      <c r="ILQ58" s="5"/>
      <c r="ILR58" s="5"/>
      <c r="ILS58" s="5"/>
      <c r="ILT58" s="5"/>
      <c r="ILU58" s="5"/>
      <c r="ILV58" s="5"/>
      <c r="ILW58" s="5"/>
      <c r="ILX58" s="5"/>
      <c r="ILY58" s="5"/>
      <c r="ILZ58" s="5"/>
      <c r="IMA58" s="5"/>
      <c r="IMB58" s="5"/>
      <c r="IMC58" s="5"/>
      <c r="IMD58" s="5"/>
      <c r="IME58" s="5"/>
      <c r="IMF58" s="5"/>
      <c r="IMG58" s="5"/>
      <c r="IMH58" s="5"/>
      <c r="IMI58" s="5"/>
      <c r="IMJ58" s="5"/>
      <c r="IMK58" s="5"/>
      <c r="IML58" s="5"/>
      <c r="IMM58" s="5"/>
      <c r="IMN58" s="5"/>
      <c r="IMO58" s="5"/>
      <c r="IMP58" s="5"/>
      <c r="IMQ58" s="5"/>
      <c r="IMR58" s="5"/>
      <c r="IMS58" s="5"/>
      <c r="IMT58" s="5"/>
      <c r="IMU58" s="5"/>
      <c r="IMV58" s="5"/>
      <c r="IMW58" s="5"/>
      <c r="IMX58" s="5"/>
      <c r="IMY58" s="5"/>
      <c r="IMZ58" s="5"/>
      <c r="INA58" s="5"/>
      <c r="INB58" s="5"/>
      <c r="INC58" s="5"/>
      <c r="IND58" s="5"/>
      <c r="INE58" s="5"/>
      <c r="INF58" s="5"/>
      <c r="ING58" s="5"/>
      <c r="INH58" s="5"/>
      <c r="INI58" s="5"/>
      <c r="INJ58" s="5"/>
      <c r="INK58" s="5"/>
      <c r="INL58" s="5"/>
      <c r="INM58" s="5"/>
      <c r="INN58" s="5"/>
      <c r="INO58" s="5"/>
      <c r="INP58" s="5"/>
      <c r="INQ58" s="5"/>
      <c r="INR58" s="5"/>
      <c r="INS58" s="5"/>
      <c r="INT58" s="5"/>
      <c r="INU58" s="5"/>
      <c r="INV58" s="5"/>
      <c r="INW58" s="5"/>
      <c r="INX58" s="5"/>
      <c r="INY58" s="5"/>
      <c r="INZ58" s="5"/>
      <c r="IOA58" s="5"/>
      <c r="IOB58" s="5"/>
      <c r="IOC58" s="5"/>
      <c r="IOD58" s="5"/>
      <c r="IOE58" s="5"/>
      <c r="IOF58" s="5"/>
      <c r="IOG58" s="5"/>
      <c r="IOH58" s="5"/>
      <c r="IOI58" s="5"/>
      <c r="IOJ58" s="5"/>
      <c r="IOK58" s="5"/>
      <c r="IOL58" s="5"/>
      <c r="IOM58" s="5"/>
      <c r="ION58" s="5"/>
      <c r="IOO58" s="5"/>
      <c r="IOP58" s="5"/>
      <c r="IOQ58" s="5"/>
      <c r="IOR58" s="5"/>
      <c r="IOS58" s="5"/>
      <c r="IOT58" s="5"/>
      <c r="IOU58" s="5"/>
      <c r="IOV58" s="5"/>
      <c r="IOW58" s="5"/>
      <c r="IOX58" s="5"/>
      <c r="IOY58" s="5"/>
      <c r="IOZ58" s="5"/>
      <c r="IPA58" s="5"/>
      <c r="IPB58" s="5"/>
      <c r="IPC58" s="5"/>
      <c r="IPD58" s="5"/>
      <c r="IPE58" s="5"/>
      <c r="IPF58" s="5"/>
      <c r="IPG58" s="5"/>
      <c r="IPH58" s="5"/>
      <c r="IPI58" s="5"/>
      <c r="IPJ58" s="5"/>
      <c r="IPK58" s="5"/>
      <c r="IPL58" s="5"/>
      <c r="IPM58" s="5"/>
      <c r="IPN58" s="5"/>
      <c r="IPO58" s="5"/>
      <c r="IPP58" s="5"/>
      <c r="IPQ58" s="5"/>
      <c r="IPR58" s="5"/>
      <c r="IPS58" s="5"/>
      <c r="IPT58" s="5"/>
      <c r="IPU58" s="5"/>
      <c r="IPV58" s="5"/>
      <c r="IPW58" s="5"/>
      <c r="IPX58" s="5"/>
      <c r="IPY58" s="5"/>
      <c r="IPZ58" s="5"/>
      <c r="IQA58" s="5"/>
      <c r="IQB58" s="5"/>
      <c r="IQC58" s="5"/>
      <c r="IQD58" s="5"/>
      <c r="IQE58" s="5"/>
      <c r="IQF58" s="5"/>
      <c r="IQG58" s="5"/>
      <c r="IQH58" s="5"/>
      <c r="IQI58" s="5"/>
      <c r="IQJ58" s="5"/>
      <c r="IQK58" s="5"/>
      <c r="IQL58" s="5"/>
      <c r="IQM58" s="5"/>
      <c r="IQN58" s="5"/>
      <c r="IQO58" s="5"/>
      <c r="IQP58" s="5"/>
      <c r="IQQ58" s="5"/>
      <c r="IQR58" s="5"/>
      <c r="IQS58" s="5"/>
      <c r="IQT58" s="5"/>
      <c r="IQU58" s="5"/>
      <c r="IQV58" s="5"/>
      <c r="IQW58" s="5"/>
      <c r="IQX58" s="5"/>
      <c r="IQY58" s="5"/>
      <c r="IQZ58" s="5"/>
      <c r="IRA58" s="5"/>
      <c r="IRB58" s="5"/>
      <c r="IRC58" s="5"/>
      <c r="IRD58" s="5"/>
      <c r="IRE58" s="5"/>
      <c r="IRF58" s="5"/>
      <c r="IRG58" s="5"/>
      <c r="IRH58" s="5"/>
      <c r="IRI58" s="5"/>
      <c r="IRJ58" s="5"/>
      <c r="IRK58" s="5"/>
      <c r="IRL58" s="5"/>
      <c r="IRM58" s="5"/>
      <c r="IRN58" s="5"/>
      <c r="IRO58" s="5"/>
      <c r="IRP58" s="5"/>
      <c r="IRQ58" s="5"/>
      <c r="IRR58" s="5"/>
      <c r="IRS58" s="5"/>
      <c r="IRT58" s="5"/>
      <c r="IRU58" s="5"/>
      <c r="IRV58" s="5"/>
      <c r="IRW58" s="5"/>
      <c r="IRX58" s="5"/>
      <c r="IRY58" s="5"/>
      <c r="IRZ58" s="5"/>
      <c r="ISA58" s="5"/>
      <c r="ISB58" s="5"/>
      <c r="ISC58" s="5"/>
      <c r="ISD58" s="5"/>
      <c r="ISE58" s="5"/>
      <c r="ISF58" s="5"/>
      <c r="ISG58" s="5"/>
      <c r="ISH58" s="5"/>
      <c r="ISI58" s="5"/>
      <c r="ISJ58" s="5"/>
      <c r="ISK58" s="5"/>
      <c r="ISL58" s="5"/>
      <c r="ISM58" s="5"/>
      <c r="ISN58" s="5"/>
      <c r="ISO58" s="5"/>
      <c r="ISP58" s="5"/>
      <c r="ISQ58" s="5"/>
      <c r="ISR58" s="5"/>
      <c r="ISS58" s="5"/>
      <c r="IST58" s="5"/>
      <c r="ISU58" s="5"/>
      <c r="ISV58" s="5"/>
      <c r="ISW58" s="5"/>
      <c r="ISX58" s="5"/>
      <c r="ISY58" s="5"/>
      <c r="ISZ58" s="5"/>
      <c r="ITA58" s="5"/>
      <c r="ITB58" s="5"/>
      <c r="ITC58" s="5"/>
      <c r="ITD58" s="5"/>
      <c r="ITE58" s="5"/>
      <c r="ITF58" s="5"/>
      <c r="ITG58" s="5"/>
      <c r="ITH58" s="5"/>
      <c r="ITI58" s="5"/>
      <c r="ITJ58" s="5"/>
      <c r="ITK58" s="5"/>
      <c r="ITL58" s="5"/>
      <c r="ITM58" s="5"/>
      <c r="ITN58" s="5"/>
      <c r="ITO58" s="5"/>
      <c r="ITP58" s="5"/>
      <c r="ITQ58" s="5"/>
      <c r="ITR58" s="5"/>
      <c r="ITS58" s="5"/>
      <c r="ITT58" s="5"/>
      <c r="ITU58" s="5"/>
      <c r="ITV58" s="5"/>
      <c r="ITW58" s="5"/>
      <c r="ITX58" s="5"/>
      <c r="ITY58" s="5"/>
      <c r="ITZ58" s="5"/>
      <c r="IUA58" s="5"/>
      <c r="IUB58" s="5"/>
      <c r="IUC58" s="5"/>
      <c r="IUD58" s="5"/>
      <c r="IUE58" s="5"/>
      <c r="IUF58" s="5"/>
      <c r="IUG58" s="5"/>
      <c r="IUH58" s="5"/>
      <c r="IUI58" s="5"/>
      <c r="IUJ58" s="5"/>
      <c r="IUK58" s="5"/>
      <c r="IUL58" s="5"/>
      <c r="IUM58" s="5"/>
      <c r="IUN58" s="5"/>
      <c r="IUO58" s="5"/>
      <c r="IUP58" s="5"/>
      <c r="IUQ58" s="5"/>
      <c r="IUR58" s="5"/>
      <c r="IUS58" s="5"/>
      <c r="IUT58" s="5"/>
      <c r="IUU58" s="5"/>
      <c r="IUV58" s="5"/>
      <c r="IUW58" s="5"/>
      <c r="IUX58" s="5"/>
      <c r="IUY58" s="5"/>
      <c r="IUZ58" s="5"/>
      <c r="IVA58" s="5"/>
      <c r="IVB58" s="5"/>
      <c r="IVC58" s="5"/>
      <c r="IVD58" s="5"/>
      <c r="IVE58" s="5"/>
      <c r="IVF58" s="5"/>
      <c r="IVG58" s="5"/>
      <c r="IVH58" s="5"/>
      <c r="IVI58" s="5"/>
      <c r="IVJ58" s="5"/>
      <c r="IVK58" s="5"/>
      <c r="IVL58" s="5"/>
      <c r="IVM58" s="5"/>
      <c r="IVN58" s="5"/>
      <c r="IVO58" s="5"/>
      <c r="IVP58" s="5"/>
      <c r="IVQ58" s="5"/>
      <c r="IVR58" s="5"/>
      <c r="IVS58" s="5"/>
      <c r="IVT58" s="5"/>
      <c r="IVU58" s="5"/>
      <c r="IVV58" s="5"/>
      <c r="IVW58" s="5"/>
      <c r="IVX58" s="5"/>
      <c r="IVY58" s="5"/>
      <c r="IVZ58" s="5"/>
      <c r="IWA58" s="5"/>
      <c r="IWB58" s="5"/>
      <c r="IWC58" s="5"/>
      <c r="IWD58" s="5"/>
      <c r="IWE58" s="5"/>
      <c r="IWF58" s="5"/>
      <c r="IWG58" s="5"/>
      <c r="IWH58" s="5"/>
      <c r="IWI58" s="5"/>
      <c r="IWJ58" s="5"/>
      <c r="IWK58" s="5"/>
      <c r="IWL58" s="5"/>
      <c r="IWM58" s="5"/>
      <c r="IWN58" s="5"/>
      <c r="IWO58" s="5"/>
      <c r="IWP58" s="5"/>
      <c r="IWQ58" s="5"/>
      <c r="IWR58" s="5"/>
      <c r="IWS58" s="5"/>
      <c r="IWT58" s="5"/>
      <c r="IWU58" s="5"/>
      <c r="IWV58" s="5"/>
      <c r="IWW58" s="5"/>
      <c r="IWX58" s="5"/>
      <c r="IWY58" s="5"/>
      <c r="IWZ58" s="5"/>
      <c r="IXA58" s="5"/>
      <c r="IXB58" s="5"/>
      <c r="IXC58" s="5"/>
      <c r="IXD58" s="5"/>
      <c r="IXE58" s="5"/>
      <c r="IXF58" s="5"/>
      <c r="IXG58" s="5"/>
      <c r="IXH58" s="5"/>
      <c r="IXI58" s="5"/>
      <c r="IXJ58" s="5"/>
      <c r="IXK58" s="5"/>
      <c r="IXL58" s="5"/>
      <c r="IXM58" s="5"/>
      <c r="IXN58" s="5"/>
      <c r="IXO58" s="5"/>
      <c r="IXP58" s="5"/>
      <c r="IXQ58" s="5"/>
      <c r="IXR58" s="5"/>
      <c r="IXS58" s="5"/>
      <c r="IXT58" s="5"/>
      <c r="IXU58" s="5"/>
      <c r="IXV58" s="5"/>
      <c r="IXW58" s="5"/>
      <c r="IXX58" s="5"/>
      <c r="IXY58" s="5"/>
      <c r="IXZ58" s="5"/>
      <c r="IYA58" s="5"/>
      <c r="IYB58" s="5"/>
      <c r="IYC58" s="5"/>
      <c r="IYD58" s="5"/>
      <c r="IYE58" s="5"/>
      <c r="IYF58" s="5"/>
      <c r="IYG58" s="5"/>
      <c r="IYH58" s="5"/>
      <c r="IYI58" s="5"/>
      <c r="IYJ58" s="5"/>
      <c r="IYK58" s="5"/>
      <c r="IYL58" s="5"/>
      <c r="IYM58" s="5"/>
      <c r="IYN58" s="5"/>
      <c r="IYO58" s="5"/>
      <c r="IYP58" s="5"/>
      <c r="IYQ58" s="5"/>
      <c r="IYR58" s="5"/>
      <c r="IYS58" s="5"/>
      <c r="IYT58" s="5"/>
      <c r="IYU58" s="5"/>
      <c r="IYV58" s="5"/>
      <c r="IYW58" s="5"/>
      <c r="IYX58" s="5"/>
      <c r="IYY58" s="5"/>
      <c r="IYZ58" s="5"/>
      <c r="IZA58" s="5"/>
      <c r="IZB58" s="5"/>
      <c r="IZC58" s="5"/>
      <c r="IZD58" s="5"/>
      <c r="IZE58" s="5"/>
      <c r="IZF58" s="5"/>
      <c r="IZG58" s="5"/>
      <c r="IZH58" s="5"/>
      <c r="IZI58" s="5"/>
      <c r="IZJ58" s="5"/>
      <c r="IZK58" s="5"/>
      <c r="IZL58" s="5"/>
      <c r="IZM58" s="5"/>
      <c r="IZN58" s="5"/>
      <c r="IZO58" s="5"/>
      <c r="IZP58" s="5"/>
      <c r="IZQ58" s="5"/>
      <c r="IZR58" s="5"/>
      <c r="IZS58" s="5"/>
      <c r="IZT58" s="5"/>
      <c r="IZU58" s="5"/>
      <c r="IZV58" s="5"/>
      <c r="IZW58" s="5"/>
      <c r="IZX58" s="5"/>
      <c r="IZY58" s="5"/>
      <c r="IZZ58" s="5"/>
      <c r="JAA58" s="5"/>
      <c r="JAB58" s="5"/>
      <c r="JAC58" s="5"/>
      <c r="JAD58" s="5"/>
      <c r="JAE58" s="5"/>
      <c r="JAF58" s="5"/>
      <c r="JAG58" s="5"/>
      <c r="JAH58" s="5"/>
      <c r="JAI58" s="5"/>
      <c r="JAJ58" s="5"/>
      <c r="JAK58" s="5"/>
      <c r="JAL58" s="5"/>
      <c r="JAM58" s="5"/>
      <c r="JAN58" s="5"/>
      <c r="JAO58" s="5"/>
      <c r="JAP58" s="5"/>
      <c r="JAQ58" s="5"/>
      <c r="JAR58" s="5"/>
      <c r="JAS58" s="5"/>
      <c r="JAT58" s="5"/>
      <c r="JAU58" s="5"/>
      <c r="JAV58" s="5"/>
      <c r="JAW58" s="5"/>
      <c r="JAX58" s="5"/>
      <c r="JAY58" s="5"/>
      <c r="JAZ58" s="5"/>
      <c r="JBA58" s="5"/>
      <c r="JBB58" s="5"/>
      <c r="JBC58" s="5"/>
      <c r="JBD58" s="5"/>
      <c r="JBE58" s="5"/>
      <c r="JBF58" s="5"/>
      <c r="JBG58" s="5"/>
      <c r="JBH58" s="5"/>
      <c r="JBI58" s="5"/>
      <c r="JBJ58" s="5"/>
      <c r="JBK58" s="5"/>
      <c r="JBL58" s="5"/>
      <c r="JBM58" s="5"/>
      <c r="JBN58" s="5"/>
      <c r="JBO58" s="5"/>
      <c r="JBP58" s="5"/>
      <c r="JBQ58" s="5"/>
      <c r="JBR58" s="5"/>
      <c r="JBS58" s="5"/>
      <c r="JBT58" s="5"/>
      <c r="JBU58" s="5"/>
      <c r="JBV58" s="5"/>
      <c r="JBW58" s="5"/>
      <c r="JBX58" s="5"/>
      <c r="JBY58" s="5"/>
      <c r="JBZ58" s="5"/>
      <c r="JCA58" s="5"/>
      <c r="JCB58" s="5"/>
      <c r="JCC58" s="5"/>
      <c r="JCD58" s="5"/>
      <c r="JCE58" s="5"/>
      <c r="JCF58" s="5"/>
      <c r="JCG58" s="5"/>
      <c r="JCH58" s="5"/>
      <c r="JCI58" s="5"/>
      <c r="JCJ58" s="5"/>
      <c r="JCK58" s="5"/>
      <c r="JCL58" s="5"/>
      <c r="JCM58" s="5"/>
      <c r="JCN58" s="5"/>
      <c r="JCO58" s="5"/>
      <c r="JCP58" s="5"/>
      <c r="JCQ58" s="5"/>
      <c r="JCR58" s="5"/>
      <c r="JCS58" s="5"/>
      <c r="JCT58" s="5"/>
      <c r="JCU58" s="5"/>
      <c r="JCV58" s="5"/>
      <c r="JCW58" s="5"/>
      <c r="JCX58" s="5"/>
      <c r="JCY58" s="5"/>
      <c r="JCZ58" s="5"/>
      <c r="JDA58" s="5"/>
      <c r="JDB58" s="5"/>
      <c r="JDC58" s="5"/>
      <c r="JDD58" s="5"/>
      <c r="JDE58" s="5"/>
      <c r="JDF58" s="5"/>
      <c r="JDG58" s="5"/>
      <c r="JDH58" s="5"/>
      <c r="JDI58" s="5"/>
      <c r="JDJ58" s="5"/>
      <c r="JDK58" s="5"/>
      <c r="JDL58" s="5"/>
      <c r="JDM58" s="5"/>
      <c r="JDN58" s="5"/>
      <c r="JDO58" s="5"/>
      <c r="JDP58" s="5"/>
      <c r="JDQ58" s="5"/>
      <c r="JDR58" s="5"/>
      <c r="JDS58" s="5"/>
      <c r="JDT58" s="5"/>
      <c r="JDU58" s="5"/>
      <c r="JDV58" s="5"/>
      <c r="JDW58" s="5"/>
      <c r="JDX58" s="5"/>
      <c r="JDY58" s="5"/>
      <c r="JDZ58" s="5"/>
      <c r="JEA58" s="5"/>
      <c r="JEB58" s="5"/>
      <c r="JEC58" s="5"/>
      <c r="JED58" s="5"/>
      <c r="JEE58" s="5"/>
      <c r="JEF58" s="5"/>
      <c r="JEG58" s="5"/>
      <c r="JEH58" s="5"/>
      <c r="JEI58" s="5"/>
      <c r="JEJ58" s="5"/>
      <c r="JEK58" s="5"/>
      <c r="JEL58" s="5"/>
      <c r="JEM58" s="5"/>
      <c r="JEN58" s="5"/>
      <c r="JEO58" s="5"/>
      <c r="JEP58" s="5"/>
      <c r="JEQ58" s="5"/>
      <c r="JER58" s="5"/>
      <c r="JES58" s="5"/>
      <c r="JET58" s="5"/>
      <c r="JEU58" s="5"/>
      <c r="JEV58" s="5"/>
      <c r="JEW58" s="5"/>
      <c r="JEX58" s="5"/>
      <c r="JEY58" s="5"/>
      <c r="JEZ58" s="5"/>
      <c r="JFA58" s="5"/>
      <c r="JFB58" s="5"/>
      <c r="JFC58" s="5"/>
      <c r="JFD58" s="5"/>
      <c r="JFE58" s="5"/>
      <c r="JFF58" s="5"/>
      <c r="JFG58" s="5"/>
      <c r="JFH58" s="5"/>
      <c r="JFI58" s="5"/>
      <c r="JFJ58" s="5"/>
      <c r="JFK58" s="5"/>
      <c r="JFL58" s="5"/>
      <c r="JFM58" s="5"/>
      <c r="JFN58" s="5"/>
      <c r="JFO58" s="5"/>
      <c r="JFP58" s="5"/>
      <c r="JFQ58" s="5"/>
      <c r="JFR58" s="5"/>
      <c r="JFS58" s="5"/>
      <c r="JFT58" s="5"/>
      <c r="JFU58" s="5"/>
      <c r="JFV58" s="5"/>
      <c r="JFW58" s="5"/>
      <c r="JFX58" s="5"/>
      <c r="JFY58" s="5"/>
      <c r="JFZ58" s="5"/>
      <c r="JGA58" s="5"/>
      <c r="JGB58" s="5"/>
      <c r="JGC58" s="5"/>
      <c r="JGD58" s="5"/>
      <c r="JGE58" s="5"/>
      <c r="JGF58" s="5"/>
      <c r="JGG58" s="5"/>
      <c r="JGH58" s="5"/>
      <c r="JGI58" s="5"/>
      <c r="JGJ58" s="5"/>
      <c r="JGK58" s="5"/>
      <c r="JGL58" s="5"/>
      <c r="JGM58" s="5"/>
      <c r="JGN58" s="5"/>
      <c r="JGO58" s="5"/>
      <c r="JGP58" s="5"/>
      <c r="JGQ58" s="5"/>
      <c r="JGR58" s="5"/>
      <c r="JGS58" s="5"/>
      <c r="JGT58" s="5"/>
      <c r="JGU58" s="5"/>
      <c r="JGV58" s="5"/>
      <c r="JGW58" s="5"/>
      <c r="JGX58" s="5"/>
      <c r="JGY58" s="5"/>
      <c r="JGZ58" s="5"/>
      <c r="JHA58" s="5"/>
      <c r="JHB58" s="5"/>
      <c r="JHC58" s="5"/>
      <c r="JHD58" s="5"/>
      <c r="JHE58" s="5"/>
      <c r="JHF58" s="5"/>
      <c r="JHG58" s="5"/>
      <c r="JHH58" s="5"/>
      <c r="JHI58" s="5"/>
      <c r="JHJ58" s="5"/>
      <c r="JHK58" s="5"/>
      <c r="JHL58" s="5"/>
      <c r="JHM58" s="5"/>
      <c r="JHN58" s="5"/>
      <c r="JHO58" s="5"/>
      <c r="JHP58" s="5"/>
      <c r="JHQ58" s="5"/>
      <c r="JHR58" s="5"/>
      <c r="JHS58" s="5"/>
      <c r="JHT58" s="5"/>
      <c r="JHU58" s="5"/>
      <c r="JHV58" s="5"/>
      <c r="JHW58" s="5"/>
      <c r="JHX58" s="5"/>
      <c r="JHY58" s="5"/>
      <c r="JHZ58" s="5"/>
      <c r="JIA58" s="5"/>
      <c r="JIB58" s="5"/>
      <c r="JIC58" s="5"/>
      <c r="JID58" s="5"/>
      <c r="JIE58" s="5"/>
      <c r="JIF58" s="5"/>
      <c r="JIG58" s="5"/>
      <c r="JIH58" s="5"/>
      <c r="JII58" s="5"/>
      <c r="JIJ58" s="5"/>
      <c r="JIK58" s="5"/>
      <c r="JIL58" s="5"/>
      <c r="JIM58" s="5"/>
      <c r="JIN58" s="5"/>
      <c r="JIO58" s="5"/>
      <c r="JIP58" s="5"/>
      <c r="JIQ58" s="5"/>
      <c r="JIR58" s="5"/>
      <c r="JIS58" s="5"/>
      <c r="JIT58" s="5"/>
      <c r="JIU58" s="5"/>
      <c r="JIV58" s="5"/>
      <c r="JIW58" s="5"/>
      <c r="JIX58" s="5"/>
      <c r="JIY58" s="5"/>
      <c r="JIZ58" s="5"/>
      <c r="JJA58" s="5"/>
      <c r="JJB58" s="5"/>
      <c r="JJC58" s="5"/>
      <c r="JJD58" s="5"/>
      <c r="JJE58" s="5"/>
      <c r="JJF58" s="5"/>
      <c r="JJG58" s="5"/>
      <c r="JJH58" s="5"/>
      <c r="JJI58" s="5"/>
      <c r="JJJ58" s="5"/>
      <c r="JJK58" s="5"/>
      <c r="JJL58" s="5"/>
      <c r="JJM58" s="5"/>
      <c r="JJN58" s="5"/>
      <c r="JJO58" s="5"/>
      <c r="JJP58" s="5"/>
      <c r="JJQ58" s="5"/>
      <c r="JJR58" s="5"/>
      <c r="JJS58" s="5"/>
      <c r="JJT58" s="5"/>
      <c r="JJU58" s="5"/>
      <c r="JJV58" s="5"/>
      <c r="JJW58" s="5"/>
      <c r="JJX58" s="5"/>
      <c r="JJY58" s="5"/>
      <c r="JJZ58" s="5"/>
      <c r="JKA58" s="5"/>
      <c r="JKB58" s="5"/>
      <c r="JKC58" s="5"/>
      <c r="JKD58" s="5"/>
      <c r="JKE58" s="5"/>
      <c r="JKF58" s="5"/>
      <c r="JKG58" s="5"/>
      <c r="JKH58" s="5"/>
      <c r="JKI58" s="5"/>
      <c r="JKJ58" s="5"/>
      <c r="JKK58" s="5"/>
      <c r="JKL58" s="5"/>
      <c r="JKM58" s="5"/>
      <c r="JKN58" s="5"/>
      <c r="JKO58" s="5"/>
      <c r="JKP58" s="5"/>
      <c r="JKQ58" s="5"/>
      <c r="JKR58" s="5"/>
      <c r="JKS58" s="5"/>
      <c r="JKT58" s="5"/>
      <c r="JKU58" s="5"/>
      <c r="JKV58" s="5"/>
      <c r="JKW58" s="5"/>
      <c r="JKX58" s="5"/>
      <c r="JKY58" s="5"/>
      <c r="JKZ58" s="5"/>
      <c r="JLA58" s="5"/>
      <c r="JLB58" s="5"/>
      <c r="JLC58" s="5"/>
      <c r="JLD58" s="5"/>
      <c r="JLE58" s="5"/>
      <c r="JLF58" s="5"/>
      <c r="JLG58" s="5"/>
      <c r="JLH58" s="5"/>
      <c r="JLI58" s="5"/>
      <c r="JLJ58" s="5"/>
      <c r="JLK58" s="5"/>
      <c r="JLL58" s="5"/>
      <c r="JLM58" s="5"/>
      <c r="JLN58" s="5"/>
      <c r="JLO58" s="5"/>
      <c r="JLP58" s="5"/>
      <c r="JLQ58" s="5"/>
      <c r="JLR58" s="5"/>
      <c r="JLS58" s="5"/>
      <c r="JLT58" s="5"/>
      <c r="JLU58" s="5"/>
      <c r="JLV58" s="5"/>
      <c r="JLW58" s="5"/>
      <c r="JLX58" s="5"/>
      <c r="JLY58" s="5"/>
      <c r="JLZ58" s="5"/>
      <c r="JMA58" s="5"/>
      <c r="JMB58" s="5"/>
      <c r="JMC58" s="5"/>
      <c r="JMD58" s="5"/>
      <c r="JME58" s="5"/>
      <c r="JMF58" s="5"/>
      <c r="JMG58" s="5"/>
      <c r="JMH58" s="5"/>
      <c r="JMI58" s="5"/>
      <c r="JMJ58" s="5"/>
      <c r="JMK58" s="5"/>
      <c r="JML58" s="5"/>
      <c r="JMM58" s="5"/>
      <c r="JMN58" s="5"/>
      <c r="JMO58" s="5"/>
      <c r="JMP58" s="5"/>
      <c r="JMQ58" s="5"/>
      <c r="JMR58" s="5"/>
      <c r="JMS58" s="5"/>
      <c r="JMT58" s="5"/>
      <c r="JMU58" s="5"/>
      <c r="JMV58" s="5"/>
      <c r="JMW58" s="5"/>
      <c r="JMX58" s="5"/>
      <c r="JMY58" s="5"/>
      <c r="JMZ58" s="5"/>
      <c r="JNA58" s="5"/>
      <c r="JNB58" s="5"/>
      <c r="JNC58" s="5"/>
      <c r="JND58" s="5"/>
      <c r="JNE58" s="5"/>
      <c r="JNF58" s="5"/>
      <c r="JNG58" s="5"/>
      <c r="JNH58" s="5"/>
      <c r="JNI58" s="5"/>
      <c r="JNJ58" s="5"/>
      <c r="JNK58" s="5"/>
      <c r="JNL58" s="5"/>
      <c r="JNM58" s="5"/>
      <c r="JNN58" s="5"/>
      <c r="JNO58" s="5"/>
      <c r="JNP58" s="5"/>
      <c r="JNQ58" s="5"/>
      <c r="JNR58" s="5"/>
      <c r="JNS58" s="5"/>
      <c r="JNT58" s="5"/>
      <c r="JNU58" s="5"/>
      <c r="JNV58" s="5"/>
      <c r="JNW58" s="5"/>
      <c r="JNX58" s="5"/>
      <c r="JNY58" s="5"/>
      <c r="JNZ58" s="5"/>
      <c r="JOA58" s="5"/>
      <c r="JOB58" s="5"/>
      <c r="JOC58" s="5"/>
      <c r="JOD58" s="5"/>
      <c r="JOE58" s="5"/>
      <c r="JOF58" s="5"/>
      <c r="JOG58" s="5"/>
      <c r="JOH58" s="5"/>
      <c r="JOI58" s="5"/>
      <c r="JOJ58" s="5"/>
      <c r="JOK58" s="5"/>
      <c r="JOL58" s="5"/>
      <c r="JOM58" s="5"/>
      <c r="JON58" s="5"/>
      <c r="JOO58" s="5"/>
      <c r="JOP58" s="5"/>
      <c r="JOQ58" s="5"/>
      <c r="JOR58" s="5"/>
      <c r="JOS58" s="5"/>
      <c r="JOT58" s="5"/>
      <c r="JOU58" s="5"/>
      <c r="JOV58" s="5"/>
      <c r="JOW58" s="5"/>
      <c r="JOX58" s="5"/>
      <c r="JOY58" s="5"/>
      <c r="JOZ58" s="5"/>
      <c r="JPA58" s="5"/>
      <c r="JPB58" s="5"/>
      <c r="JPC58" s="5"/>
      <c r="JPD58" s="5"/>
      <c r="JPE58" s="5"/>
      <c r="JPF58" s="5"/>
      <c r="JPG58" s="5"/>
      <c r="JPH58" s="5"/>
      <c r="JPI58" s="5"/>
      <c r="JPJ58" s="5"/>
      <c r="JPK58" s="5"/>
      <c r="JPL58" s="5"/>
      <c r="JPM58" s="5"/>
      <c r="JPN58" s="5"/>
      <c r="JPO58" s="5"/>
      <c r="JPP58" s="5"/>
      <c r="JPQ58" s="5"/>
      <c r="JPR58" s="5"/>
      <c r="JPS58" s="5"/>
      <c r="JPT58" s="5"/>
      <c r="JPU58" s="5"/>
      <c r="JPV58" s="5"/>
      <c r="JPW58" s="5"/>
      <c r="JPX58" s="5"/>
      <c r="JPY58" s="5"/>
      <c r="JPZ58" s="5"/>
      <c r="JQA58" s="5"/>
      <c r="JQB58" s="5"/>
      <c r="JQC58" s="5"/>
      <c r="JQD58" s="5"/>
      <c r="JQE58" s="5"/>
      <c r="JQF58" s="5"/>
      <c r="JQG58" s="5"/>
      <c r="JQH58" s="5"/>
      <c r="JQI58" s="5"/>
      <c r="JQJ58" s="5"/>
      <c r="JQK58" s="5"/>
      <c r="JQL58" s="5"/>
      <c r="JQM58" s="5"/>
      <c r="JQN58" s="5"/>
      <c r="JQO58" s="5"/>
      <c r="JQP58" s="5"/>
      <c r="JQQ58" s="5"/>
      <c r="JQR58" s="5"/>
      <c r="JQS58" s="5"/>
      <c r="JQT58" s="5"/>
      <c r="JQU58" s="5"/>
      <c r="JQV58" s="5"/>
      <c r="JQW58" s="5"/>
      <c r="JQX58" s="5"/>
      <c r="JQY58" s="5"/>
      <c r="JQZ58" s="5"/>
      <c r="JRA58" s="5"/>
      <c r="JRB58" s="5"/>
      <c r="JRC58" s="5"/>
      <c r="JRD58" s="5"/>
      <c r="JRE58" s="5"/>
      <c r="JRF58" s="5"/>
      <c r="JRG58" s="5"/>
      <c r="JRH58" s="5"/>
      <c r="JRI58" s="5"/>
      <c r="JRJ58" s="5"/>
      <c r="JRK58" s="5"/>
      <c r="JRL58" s="5"/>
      <c r="JRM58" s="5"/>
      <c r="JRN58" s="5"/>
      <c r="JRO58" s="5"/>
      <c r="JRP58" s="5"/>
      <c r="JRQ58" s="5"/>
      <c r="JRR58" s="5"/>
      <c r="JRS58" s="5"/>
      <c r="JRT58" s="5"/>
      <c r="JRU58" s="5"/>
      <c r="JRV58" s="5"/>
      <c r="JRW58" s="5"/>
      <c r="JRX58" s="5"/>
      <c r="JRY58" s="5"/>
      <c r="JRZ58" s="5"/>
      <c r="JSA58" s="5"/>
      <c r="JSB58" s="5"/>
      <c r="JSC58" s="5"/>
      <c r="JSD58" s="5"/>
      <c r="JSE58" s="5"/>
      <c r="JSF58" s="5"/>
      <c r="JSG58" s="5"/>
      <c r="JSH58" s="5"/>
      <c r="JSI58" s="5"/>
      <c r="JSJ58" s="5"/>
      <c r="JSK58" s="5"/>
      <c r="JSL58" s="5"/>
      <c r="JSM58" s="5"/>
      <c r="JSN58" s="5"/>
      <c r="JSO58" s="5"/>
      <c r="JSP58" s="5"/>
      <c r="JSQ58" s="5"/>
      <c r="JSR58" s="5"/>
      <c r="JSS58" s="5"/>
      <c r="JST58" s="5"/>
      <c r="JSU58" s="5"/>
      <c r="JSV58" s="5"/>
      <c r="JSW58" s="5"/>
      <c r="JSX58" s="5"/>
      <c r="JSY58" s="5"/>
      <c r="JSZ58" s="5"/>
      <c r="JTA58" s="5"/>
      <c r="JTB58" s="5"/>
      <c r="JTC58" s="5"/>
      <c r="JTD58" s="5"/>
      <c r="JTE58" s="5"/>
      <c r="JTF58" s="5"/>
      <c r="JTG58" s="5"/>
      <c r="JTH58" s="5"/>
      <c r="JTI58" s="5"/>
      <c r="JTJ58" s="5"/>
      <c r="JTK58" s="5"/>
      <c r="JTL58" s="5"/>
      <c r="JTM58" s="5"/>
      <c r="JTN58" s="5"/>
      <c r="JTO58" s="5"/>
      <c r="JTP58" s="5"/>
      <c r="JTQ58" s="5"/>
      <c r="JTR58" s="5"/>
      <c r="JTS58" s="5"/>
      <c r="JTT58" s="5"/>
      <c r="JTU58" s="5"/>
      <c r="JTV58" s="5"/>
      <c r="JTW58" s="5"/>
      <c r="JTX58" s="5"/>
      <c r="JTY58" s="5"/>
      <c r="JTZ58" s="5"/>
      <c r="JUA58" s="5"/>
      <c r="JUB58" s="5"/>
      <c r="JUC58" s="5"/>
      <c r="JUD58" s="5"/>
      <c r="JUE58" s="5"/>
      <c r="JUF58" s="5"/>
      <c r="JUG58" s="5"/>
      <c r="JUH58" s="5"/>
      <c r="JUI58" s="5"/>
      <c r="JUJ58" s="5"/>
      <c r="JUK58" s="5"/>
      <c r="JUL58" s="5"/>
      <c r="JUM58" s="5"/>
      <c r="JUN58" s="5"/>
      <c r="JUO58" s="5"/>
      <c r="JUP58" s="5"/>
      <c r="JUQ58" s="5"/>
      <c r="JUR58" s="5"/>
      <c r="JUS58" s="5"/>
      <c r="JUT58" s="5"/>
      <c r="JUU58" s="5"/>
      <c r="JUV58" s="5"/>
      <c r="JUW58" s="5"/>
      <c r="JUX58" s="5"/>
      <c r="JUY58" s="5"/>
      <c r="JUZ58" s="5"/>
      <c r="JVA58" s="5"/>
      <c r="JVB58" s="5"/>
      <c r="JVC58" s="5"/>
      <c r="JVD58" s="5"/>
      <c r="JVE58" s="5"/>
      <c r="JVF58" s="5"/>
      <c r="JVG58" s="5"/>
      <c r="JVH58" s="5"/>
      <c r="JVI58" s="5"/>
      <c r="JVJ58" s="5"/>
      <c r="JVK58" s="5"/>
      <c r="JVL58" s="5"/>
      <c r="JVM58" s="5"/>
      <c r="JVN58" s="5"/>
      <c r="JVO58" s="5"/>
      <c r="JVP58" s="5"/>
      <c r="JVQ58" s="5"/>
      <c r="JVR58" s="5"/>
      <c r="JVS58" s="5"/>
      <c r="JVT58" s="5"/>
      <c r="JVU58" s="5"/>
      <c r="JVV58" s="5"/>
      <c r="JVW58" s="5"/>
      <c r="JVX58" s="5"/>
      <c r="JVY58" s="5"/>
      <c r="JVZ58" s="5"/>
      <c r="JWA58" s="5"/>
      <c r="JWB58" s="5"/>
      <c r="JWC58" s="5"/>
      <c r="JWD58" s="5"/>
      <c r="JWE58" s="5"/>
      <c r="JWF58" s="5"/>
      <c r="JWG58" s="5"/>
      <c r="JWH58" s="5"/>
      <c r="JWI58" s="5"/>
      <c r="JWJ58" s="5"/>
      <c r="JWK58" s="5"/>
      <c r="JWL58" s="5"/>
      <c r="JWM58" s="5"/>
      <c r="JWN58" s="5"/>
      <c r="JWO58" s="5"/>
      <c r="JWP58" s="5"/>
      <c r="JWQ58" s="5"/>
      <c r="JWR58" s="5"/>
      <c r="JWS58" s="5"/>
      <c r="JWT58" s="5"/>
      <c r="JWU58" s="5"/>
      <c r="JWV58" s="5"/>
      <c r="JWW58" s="5"/>
      <c r="JWX58" s="5"/>
      <c r="JWY58" s="5"/>
      <c r="JWZ58" s="5"/>
      <c r="JXA58" s="5"/>
      <c r="JXB58" s="5"/>
      <c r="JXC58" s="5"/>
      <c r="JXD58" s="5"/>
      <c r="JXE58" s="5"/>
      <c r="JXF58" s="5"/>
      <c r="JXG58" s="5"/>
      <c r="JXH58" s="5"/>
      <c r="JXI58" s="5"/>
      <c r="JXJ58" s="5"/>
      <c r="JXK58" s="5"/>
      <c r="JXL58" s="5"/>
      <c r="JXM58" s="5"/>
      <c r="JXN58" s="5"/>
      <c r="JXO58" s="5"/>
      <c r="JXP58" s="5"/>
      <c r="JXQ58" s="5"/>
      <c r="JXR58" s="5"/>
      <c r="JXS58" s="5"/>
      <c r="JXT58" s="5"/>
      <c r="JXU58" s="5"/>
      <c r="JXV58" s="5"/>
      <c r="JXW58" s="5"/>
      <c r="JXX58" s="5"/>
      <c r="JXY58" s="5"/>
      <c r="JXZ58" s="5"/>
      <c r="JYA58" s="5"/>
      <c r="JYB58" s="5"/>
      <c r="JYC58" s="5"/>
      <c r="JYD58" s="5"/>
      <c r="JYE58" s="5"/>
      <c r="JYF58" s="5"/>
      <c r="JYG58" s="5"/>
      <c r="JYH58" s="5"/>
      <c r="JYI58" s="5"/>
      <c r="JYJ58" s="5"/>
      <c r="JYK58" s="5"/>
      <c r="JYL58" s="5"/>
      <c r="JYM58" s="5"/>
      <c r="JYN58" s="5"/>
      <c r="JYO58" s="5"/>
      <c r="JYP58" s="5"/>
      <c r="JYQ58" s="5"/>
      <c r="JYR58" s="5"/>
      <c r="JYS58" s="5"/>
      <c r="JYT58" s="5"/>
      <c r="JYU58" s="5"/>
      <c r="JYV58" s="5"/>
      <c r="JYW58" s="5"/>
      <c r="JYX58" s="5"/>
      <c r="JYY58" s="5"/>
      <c r="JYZ58" s="5"/>
      <c r="JZA58" s="5"/>
      <c r="JZB58" s="5"/>
      <c r="JZC58" s="5"/>
      <c r="JZD58" s="5"/>
      <c r="JZE58" s="5"/>
      <c r="JZF58" s="5"/>
      <c r="JZG58" s="5"/>
      <c r="JZH58" s="5"/>
      <c r="JZI58" s="5"/>
      <c r="JZJ58" s="5"/>
      <c r="JZK58" s="5"/>
      <c r="JZL58" s="5"/>
      <c r="JZM58" s="5"/>
      <c r="JZN58" s="5"/>
      <c r="JZO58" s="5"/>
      <c r="JZP58" s="5"/>
      <c r="JZQ58" s="5"/>
      <c r="JZR58" s="5"/>
      <c r="JZS58" s="5"/>
      <c r="JZT58" s="5"/>
      <c r="JZU58" s="5"/>
      <c r="JZV58" s="5"/>
      <c r="JZW58" s="5"/>
      <c r="JZX58" s="5"/>
      <c r="JZY58" s="5"/>
      <c r="JZZ58" s="5"/>
      <c r="KAA58" s="5"/>
      <c r="KAB58" s="5"/>
      <c r="KAC58" s="5"/>
      <c r="KAD58" s="5"/>
      <c r="KAE58" s="5"/>
      <c r="KAF58" s="5"/>
      <c r="KAG58" s="5"/>
      <c r="KAH58" s="5"/>
      <c r="KAI58" s="5"/>
      <c r="KAJ58" s="5"/>
      <c r="KAK58" s="5"/>
      <c r="KAL58" s="5"/>
      <c r="KAM58" s="5"/>
      <c r="KAN58" s="5"/>
      <c r="KAO58" s="5"/>
      <c r="KAP58" s="5"/>
      <c r="KAQ58" s="5"/>
      <c r="KAR58" s="5"/>
      <c r="KAS58" s="5"/>
      <c r="KAT58" s="5"/>
      <c r="KAU58" s="5"/>
      <c r="KAV58" s="5"/>
      <c r="KAW58" s="5"/>
      <c r="KAX58" s="5"/>
      <c r="KAY58" s="5"/>
      <c r="KAZ58" s="5"/>
      <c r="KBA58" s="5"/>
      <c r="KBB58" s="5"/>
      <c r="KBC58" s="5"/>
      <c r="KBD58" s="5"/>
      <c r="KBE58" s="5"/>
      <c r="KBF58" s="5"/>
      <c r="KBG58" s="5"/>
      <c r="KBH58" s="5"/>
      <c r="KBI58" s="5"/>
      <c r="KBJ58" s="5"/>
      <c r="KBK58" s="5"/>
      <c r="KBL58" s="5"/>
      <c r="KBM58" s="5"/>
      <c r="KBN58" s="5"/>
      <c r="KBO58" s="5"/>
      <c r="KBP58" s="5"/>
      <c r="KBQ58" s="5"/>
      <c r="KBR58" s="5"/>
      <c r="KBS58" s="5"/>
      <c r="KBT58" s="5"/>
      <c r="KBU58" s="5"/>
      <c r="KBV58" s="5"/>
      <c r="KBW58" s="5"/>
      <c r="KBX58" s="5"/>
      <c r="KBY58" s="5"/>
      <c r="KBZ58" s="5"/>
      <c r="KCA58" s="5"/>
      <c r="KCB58" s="5"/>
      <c r="KCC58" s="5"/>
      <c r="KCD58" s="5"/>
      <c r="KCE58" s="5"/>
      <c r="KCF58" s="5"/>
      <c r="KCG58" s="5"/>
      <c r="KCH58" s="5"/>
      <c r="KCI58" s="5"/>
      <c r="KCJ58" s="5"/>
      <c r="KCK58" s="5"/>
      <c r="KCL58" s="5"/>
      <c r="KCM58" s="5"/>
      <c r="KCN58" s="5"/>
      <c r="KCO58" s="5"/>
      <c r="KCP58" s="5"/>
      <c r="KCQ58" s="5"/>
      <c r="KCR58" s="5"/>
      <c r="KCS58" s="5"/>
      <c r="KCT58" s="5"/>
      <c r="KCU58" s="5"/>
      <c r="KCV58" s="5"/>
      <c r="KCW58" s="5"/>
      <c r="KCX58" s="5"/>
      <c r="KCY58" s="5"/>
      <c r="KCZ58" s="5"/>
      <c r="KDA58" s="5"/>
      <c r="KDB58" s="5"/>
      <c r="KDC58" s="5"/>
      <c r="KDD58" s="5"/>
      <c r="KDE58" s="5"/>
      <c r="KDF58" s="5"/>
      <c r="KDG58" s="5"/>
      <c r="KDH58" s="5"/>
      <c r="KDI58" s="5"/>
      <c r="KDJ58" s="5"/>
      <c r="KDK58" s="5"/>
      <c r="KDL58" s="5"/>
      <c r="KDM58" s="5"/>
      <c r="KDN58" s="5"/>
      <c r="KDO58" s="5"/>
      <c r="KDP58" s="5"/>
      <c r="KDQ58" s="5"/>
      <c r="KDR58" s="5"/>
      <c r="KDS58" s="5"/>
      <c r="KDT58" s="5"/>
      <c r="KDU58" s="5"/>
      <c r="KDV58" s="5"/>
      <c r="KDW58" s="5"/>
      <c r="KDX58" s="5"/>
      <c r="KDY58" s="5"/>
      <c r="KDZ58" s="5"/>
      <c r="KEA58" s="5"/>
      <c r="KEB58" s="5"/>
      <c r="KEC58" s="5"/>
      <c r="KED58" s="5"/>
      <c r="KEE58" s="5"/>
      <c r="KEF58" s="5"/>
      <c r="KEG58" s="5"/>
      <c r="KEH58" s="5"/>
      <c r="KEI58" s="5"/>
      <c r="KEJ58" s="5"/>
      <c r="KEK58" s="5"/>
      <c r="KEL58" s="5"/>
      <c r="KEM58" s="5"/>
      <c r="KEN58" s="5"/>
      <c r="KEO58" s="5"/>
      <c r="KEP58" s="5"/>
      <c r="KEQ58" s="5"/>
      <c r="KER58" s="5"/>
      <c r="KES58" s="5"/>
      <c r="KET58" s="5"/>
      <c r="KEU58" s="5"/>
      <c r="KEV58" s="5"/>
      <c r="KEW58" s="5"/>
      <c r="KEX58" s="5"/>
      <c r="KEY58" s="5"/>
      <c r="KEZ58" s="5"/>
      <c r="KFA58" s="5"/>
      <c r="KFB58" s="5"/>
      <c r="KFC58" s="5"/>
      <c r="KFD58" s="5"/>
      <c r="KFE58" s="5"/>
      <c r="KFF58" s="5"/>
      <c r="KFG58" s="5"/>
      <c r="KFH58" s="5"/>
      <c r="KFI58" s="5"/>
      <c r="KFJ58" s="5"/>
      <c r="KFK58" s="5"/>
      <c r="KFL58" s="5"/>
      <c r="KFM58" s="5"/>
      <c r="KFN58" s="5"/>
      <c r="KFO58" s="5"/>
      <c r="KFP58" s="5"/>
      <c r="KFQ58" s="5"/>
      <c r="KFR58" s="5"/>
      <c r="KFS58" s="5"/>
      <c r="KFT58" s="5"/>
      <c r="KFU58" s="5"/>
      <c r="KFV58" s="5"/>
      <c r="KFW58" s="5"/>
      <c r="KFX58" s="5"/>
      <c r="KFY58" s="5"/>
      <c r="KFZ58" s="5"/>
      <c r="KGA58" s="5"/>
      <c r="KGB58" s="5"/>
      <c r="KGC58" s="5"/>
      <c r="KGD58" s="5"/>
      <c r="KGE58" s="5"/>
      <c r="KGF58" s="5"/>
      <c r="KGG58" s="5"/>
      <c r="KGH58" s="5"/>
      <c r="KGI58" s="5"/>
      <c r="KGJ58" s="5"/>
      <c r="KGK58" s="5"/>
      <c r="KGL58" s="5"/>
      <c r="KGM58" s="5"/>
      <c r="KGN58" s="5"/>
      <c r="KGO58" s="5"/>
      <c r="KGP58" s="5"/>
      <c r="KGQ58" s="5"/>
      <c r="KGR58" s="5"/>
      <c r="KGS58" s="5"/>
      <c r="KGT58" s="5"/>
      <c r="KGU58" s="5"/>
      <c r="KGV58" s="5"/>
      <c r="KGW58" s="5"/>
      <c r="KGX58" s="5"/>
      <c r="KGY58" s="5"/>
      <c r="KGZ58" s="5"/>
      <c r="KHA58" s="5"/>
      <c r="KHB58" s="5"/>
      <c r="KHC58" s="5"/>
      <c r="KHD58" s="5"/>
      <c r="KHE58" s="5"/>
      <c r="KHF58" s="5"/>
      <c r="KHG58" s="5"/>
      <c r="KHH58" s="5"/>
      <c r="KHI58" s="5"/>
      <c r="KHJ58" s="5"/>
      <c r="KHK58" s="5"/>
      <c r="KHL58" s="5"/>
      <c r="KHM58" s="5"/>
      <c r="KHN58" s="5"/>
      <c r="KHO58" s="5"/>
      <c r="KHP58" s="5"/>
      <c r="KHQ58" s="5"/>
      <c r="KHR58" s="5"/>
      <c r="KHS58" s="5"/>
      <c r="KHT58" s="5"/>
      <c r="KHU58" s="5"/>
      <c r="KHV58" s="5"/>
      <c r="KHW58" s="5"/>
      <c r="KHX58" s="5"/>
      <c r="KHY58" s="5"/>
      <c r="KHZ58" s="5"/>
      <c r="KIA58" s="5"/>
      <c r="KIB58" s="5"/>
      <c r="KIC58" s="5"/>
      <c r="KID58" s="5"/>
      <c r="KIE58" s="5"/>
      <c r="KIF58" s="5"/>
      <c r="KIG58" s="5"/>
      <c r="KIH58" s="5"/>
      <c r="KII58" s="5"/>
      <c r="KIJ58" s="5"/>
      <c r="KIK58" s="5"/>
      <c r="KIL58" s="5"/>
      <c r="KIM58" s="5"/>
      <c r="KIN58" s="5"/>
      <c r="KIO58" s="5"/>
      <c r="KIP58" s="5"/>
      <c r="KIQ58" s="5"/>
      <c r="KIR58" s="5"/>
      <c r="KIS58" s="5"/>
      <c r="KIT58" s="5"/>
      <c r="KIU58" s="5"/>
      <c r="KIV58" s="5"/>
      <c r="KIW58" s="5"/>
      <c r="KIX58" s="5"/>
      <c r="KIY58" s="5"/>
      <c r="KIZ58" s="5"/>
      <c r="KJA58" s="5"/>
      <c r="KJB58" s="5"/>
      <c r="KJC58" s="5"/>
      <c r="KJD58" s="5"/>
      <c r="KJE58" s="5"/>
      <c r="KJF58" s="5"/>
      <c r="KJG58" s="5"/>
      <c r="KJH58" s="5"/>
      <c r="KJI58" s="5"/>
      <c r="KJJ58" s="5"/>
      <c r="KJK58" s="5"/>
      <c r="KJL58" s="5"/>
      <c r="KJM58" s="5"/>
      <c r="KJN58" s="5"/>
      <c r="KJO58" s="5"/>
      <c r="KJP58" s="5"/>
      <c r="KJQ58" s="5"/>
      <c r="KJR58" s="5"/>
      <c r="KJS58" s="5"/>
      <c r="KJT58" s="5"/>
      <c r="KJU58" s="5"/>
      <c r="KJV58" s="5"/>
      <c r="KJW58" s="5"/>
      <c r="KJX58" s="5"/>
      <c r="KJY58" s="5"/>
      <c r="KJZ58" s="5"/>
      <c r="KKA58" s="5"/>
      <c r="KKB58" s="5"/>
      <c r="KKC58" s="5"/>
      <c r="KKD58" s="5"/>
      <c r="KKE58" s="5"/>
      <c r="KKF58" s="5"/>
      <c r="KKG58" s="5"/>
      <c r="KKH58" s="5"/>
      <c r="KKI58" s="5"/>
      <c r="KKJ58" s="5"/>
      <c r="KKK58" s="5"/>
      <c r="KKL58" s="5"/>
      <c r="KKM58" s="5"/>
      <c r="KKN58" s="5"/>
      <c r="KKO58" s="5"/>
      <c r="KKP58" s="5"/>
      <c r="KKQ58" s="5"/>
      <c r="KKR58" s="5"/>
      <c r="KKS58" s="5"/>
      <c r="KKT58" s="5"/>
      <c r="KKU58" s="5"/>
      <c r="KKV58" s="5"/>
      <c r="KKW58" s="5"/>
      <c r="KKX58" s="5"/>
      <c r="KKY58" s="5"/>
      <c r="KKZ58" s="5"/>
      <c r="KLA58" s="5"/>
      <c r="KLB58" s="5"/>
      <c r="KLC58" s="5"/>
      <c r="KLD58" s="5"/>
      <c r="KLE58" s="5"/>
      <c r="KLF58" s="5"/>
      <c r="KLG58" s="5"/>
      <c r="KLH58" s="5"/>
      <c r="KLI58" s="5"/>
      <c r="KLJ58" s="5"/>
      <c r="KLK58" s="5"/>
      <c r="KLL58" s="5"/>
      <c r="KLM58" s="5"/>
      <c r="KLN58" s="5"/>
      <c r="KLO58" s="5"/>
      <c r="KLP58" s="5"/>
      <c r="KLQ58" s="5"/>
      <c r="KLR58" s="5"/>
      <c r="KLS58" s="5"/>
      <c r="KLT58" s="5"/>
      <c r="KLU58" s="5"/>
      <c r="KLV58" s="5"/>
      <c r="KLW58" s="5"/>
      <c r="KLX58" s="5"/>
      <c r="KLY58" s="5"/>
      <c r="KLZ58" s="5"/>
      <c r="KMA58" s="5"/>
      <c r="KMB58" s="5"/>
      <c r="KMC58" s="5"/>
      <c r="KMD58" s="5"/>
      <c r="KME58" s="5"/>
      <c r="KMF58" s="5"/>
      <c r="KMG58" s="5"/>
      <c r="KMH58" s="5"/>
      <c r="KMI58" s="5"/>
      <c r="KMJ58" s="5"/>
      <c r="KMK58" s="5"/>
      <c r="KML58" s="5"/>
      <c r="KMM58" s="5"/>
      <c r="KMN58" s="5"/>
      <c r="KMO58" s="5"/>
      <c r="KMP58" s="5"/>
      <c r="KMQ58" s="5"/>
      <c r="KMR58" s="5"/>
      <c r="KMS58" s="5"/>
      <c r="KMT58" s="5"/>
      <c r="KMU58" s="5"/>
      <c r="KMV58" s="5"/>
      <c r="KMW58" s="5"/>
      <c r="KMX58" s="5"/>
      <c r="KMY58" s="5"/>
      <c r="KMZ58" s="5"/>
      <c r="KNA58" s="5"/>
      <c r="KNB58" s="5"/>
      <c r="KNC58" s="5"/>
      <c r="KND58" s="5"/>
      <c r="KNE58" s="5"/>
      <c r="KNF58" s="5"/>
      <c r="KNG58" s="5"/>
      <c r="KNH58" s="5"/>
      <c r="KNI58" s="5"/>
      <c r="KNJ58" s="5"/>
      <c r="KNK58" s="5"/>
      <c r="KNL58" s="5"/>
      <c r="KNM58" s="5"/>
      <c r="KNN58" s="5"/>
      <c r="KNO58" s="5"/>
      <c r="KNP58" s="5"/>
      <c r="KNQ58" s="5"/>
      <c r="KNR58" s="5"/>
      <c r="KNS58" s="5"/>
      <c r="KNT58" s="5"/>
      <c r="KNU58" s="5"/>
      <c r="KNV58" s="5"/>
      <c r="KNW58" s="5"/>
      <c r="KNX58" s="5"/>
      <c r="KNY58" s="5"/>
      <c r="KNZ58" s="5"/>
      <c r="KOA58" s="5"/>
      <c r="KOB58" s="5"/>
      <c r="KOC58" s="5"/>
      <c r="KOD58" s="5"/>
      <c r="KOE58" s="5"/>
      <c r="KOF58" s="5"/>
      <c r="KOG58" s="5"/>
      <c r="KOH58" s="5"/>
      <c r="KOI58" s="5"/>
      <c r="KOJ58" s="5"/>
      <c r="KOK58" s="5"/>
      <c r="KOL58" s="5"/>
      <c r="KOM58" s="5"/>
      <c r="KON58" s="5"/>
      <c r="KOO58" s="5"/>
      <c r="KOP58" s="5"/>
      <c r="KOQ58" s="5"/>
      <c r="KOR58" s="5"/>
      <c r="KOS58" s="5"/>
      <c r="KOT58" s="5"/>
      <c r="KOU58" s="5"/>
      <c r="KOV58" s="5"/>
      <c r="KOW58" s="5"/>
      <c r="KOX58" s="5"/>
      <c r="KOY58" s="5"/>
      <c r="KOZ58" s="5"/>
      <c r="KPA58" s="5"/>
      <c r="KPB58" s="5"/>
      <c r="KPC58" s="5"/>
      <c r="KPD58" s="5"/>
      <c r="KPE58" s="5"/>
      <c r="KPF58" s="5"/>
      <c r="KPG58" s="5"/>
      <c r="KPH58" s="5"/>
      <c r="KPI58" s="5"/>
      <c r="KPJ58" s="5"/>
      <c r="KPK58" s="5"/>
      <c r="KPL58" s="5"/>
      <c r="KPM58" s="5"/>
      <c r="KPN58" s="5"/>
      <c r="KPO58" s="5"/>
      <c r="KPP58" s="5"/>
      <c r="KPQ58" s="5"/>
      <c r="KPR58" s="5"/>
      <c r="KPS58" s="5"/>
      <c r="KPT58" s="5"/>
      <c r="KPU58" s="5"/>
      <c r="KPV58" s="5"/>
      <c r="KPW58" s="5"/>
      <c r="KPX58" s="5"/>
      <c r="KPY58" s="5"/>
      <c r="KPZ58" s="5"/>
      <c r="KQA58" s="5"/>
      <c r="KQB58" s="5"/>
      <c r="KQC58" s="5"/>
      <c r="KQD58" s="5"/>
      <c r="KQE58" s="5"/>
      <c r="KQF58" s="5"/>
      <c r="KQG58" s="5"/>
      <c r="KQH58" s="5"/>
      <c r="KQI58" s="5"/>
      <c r="KQJ58" s="5"/>
      <c r="KQK58" s="5"/>
      <c r="KQL58" s="5"/>
      <c r="KQM58" s="5"/>
      <c r="KQN58" s="5"/>
      <c r="KQO58" s="5"/>
      <c r="KQP58" s="5"/>
      <c r="KQQ58" s="5"/>
      <c r="KQR58" s="5"/>
      <c r="KQS58" s="5"/>
      <c r="KQT58" s="5"/>
      <c r="KQU58" s="5"/>
      <c r="KQV58" s="5"/>
      <c r="KQW58" s="5"/>
      <c r="KQX58" s="5"/>
      <c r="KQY58" s="5"/>
      <c r="KQZ58" s="5"/>
      <c r="KRA58" s="5"/>
      <c r="KRB58" s="5"/>
      <c r="KRC58" s="5"/>
      <c r="KRD58" s="5"/>
      <c r="KRE58" s="5"/>
      <c r="KRF58" s="5"/>
      <c r="KRG58" s="5"/>
      <c r="KRH58" s="5"/>
      <c r="KRI58" s="5"/>
      <c r="KRJ58" s="5"/>
      <c r="KRK58" s="5"/>
      <c r="KRL58" s="5"/>
      <c r="KRM58" s="5"/>
      <c r="KRN58" s="5"/>
      <c r="KRO58" s="5"/>
      <c r="KRP58" s="5"/>
      <c r="KRQ58" s="5"/>
      <c r="KRR58" s="5"/>
      <c r="KRS58" s="5"/>
      <c r="KRT58" s="5"/>
      <c r="KRU58" s="5"/>
      <c r="KRV58" s="5"/>
      <c r="KRW58" s="5"/>
      <c r="KRX58" s="5"/>
      <c r="KRY58" s="5"/>
      <c r="KRZ58" s="5"/>
      <c r="KSA58" s="5"/>
      <c r="KSB58" s="5"/>
      <c r="KSC58" s="5"/>
      <c r="KSD58" s="5"/>
      <c r="KSE58" s="5"/>
      <c r="KSF58" s="5"/>
      <c r="KSG58" s="5"/>
      <c r="KSH58" s="5"/>
      <c r="KSI58" s="5"/>
      <c r="KSJ58" s="5"/>
      <c r="KSK58" s="5"/>
      <c r="KSL58" s="5"/>
      <c r="KSM58" s="5"/>
      <c r="KSN58" s="5"/>
      <c r="KSO58" s="5"/>
      <c r="KSP58" s="5"/>
      <c r="KSQ58" s="5"/>
      <c r="KSR58" s="5"/>
      <c r="KSS58" s="5"/>
      <c r="KST58" s="5"/>
      <c r="KSU58" s="5"/>
      <c r="KSV58" s="5"/>
      <c r="KSW58" s="5"/>
      <c r="KSX58" s="5"/>
      <c r="KSY58" s="5"/>
      <c r="KSZ58" s="5"/>
      <c r="KTA58" s="5"/>
      <c r="KTB58" s="5"/>
      <c r="KTC58" s="5"/>
      <c r="KTD58" s="5"/>
      <c r="KTE58" s="5"/>
      <c r="KTF58" s="5"/>
      <c r="KTG58" s="5"/>
      <c r="KTH58" s="5"/>
      <c r="KTI58" s="5"/>
      <c r="KTJ58" s="5"/>
      <c r="KTK58" s="5"/>
      <c r="KTL58" s="5"/>
      <c r="KTM58" s="5"/>
      <c r="KTN58" s="5"/>
      <c r="KTO58" s="5"/>
      <c r="KTP58" s="5"/>
      <c r="KTQ58" s="5"/>
      <c r="KTR58" s="5"/>
      <c r="KTS58" s="5"/>
      <c r="KTT58" s="5"/>
      <c r="KTU58" s="5"/>
      <c r="KTV58" s="5"/>
      <c r="KTW58" s="5"/>
      <c r="KTX58" s="5"/>
      <c r="KTY58" s="5"/>
      <c r="KTZ58" s="5"/>
      <c r="KUA58" s="5"/>
      <c r="KUB58" s="5"/>
      <c r="KUC58" s="5"/>
      <c r="KUD58" s="5"/>
      <c r="KUE58" s="5"/>
      <c r="KUF58" s="5"/>
      <c r="KUG58" s="5"/>
      <c r="KUH58" s="5"/>
      <c r="KUI58" s="5"/>
      <c r="KUJ58" s="5"/>
      <c r="KUK58" s="5"/>
      <c r="KUL58" s="5"/>
      <c r="KUM58" s="5"/>
      <c r="KUN58" s="5"/>
      <c r="KUO58" s="5"/>
      <c r="KUP58" s="5"/>
      <c r="KUQ58" s="5"/>
      <c r="KUR58" s="5"/>
      <c r="KUS58" s="5"/>
      <c r="KUT58" s="5"/>
      <c r="KUU58" s="5"/>
      <c r="KUV58" s="5"/>
      <c r="KUW58" s="5"/>
      <c r="KUX58" s="5"/>
      <c r="KUY58" s="5"/>
      <c r="KUZ58" s="5"/>
      <c r="KVA58" s="5"/>
      <c r="KVB58" s="5"/>
      <c r="KVC58" s="5"/>
      <c r="KVD58" s="5"/>
      <c r="KVE58" s="5"/>
      <c r="KVF58" s="5"/>
      <c r="KVG58" s="5"/>
      <c r="KVH58" s="5"/>
      <c r="KVI58" s="5"/>
      <c r="KVJ58" s="5"/>
      <c r="KVK58" s="5"/>
      <c r="KVL58" s="5"/>
      <c r="KVM58" s="5"/>
      <c r="KVN58" s="5"/>
      <c r="KVO58" s="5"/>
      <c r="KVP58" s="5"/>
      <c r="KVQ58" s="5"/>
      <c r="KVR58" s="5"/>
      <c r="KVS58" s="5"/>
      <c r="KVT58" s="5"/>
      <c r="KVU58" s="5"/>
      <c r="KVV58" s="5"/>
      <c r="KVW58" s="5"/>
      <c r="KVX58" s="5"/>
      <c r="KVY58" s="5"/>
      <c r="KVZ58" s="5"/>
      <c r="KWA58" s="5"/>
      <c r="KWB58" s="5"/>
      <c r="KWC58" s="5"/>
      <c r="KWD58" s="5"/>
      <c r="KWE58" s="5"/>
      <c r="KWF58" s="5"/>
      <c r="KWG58" s="5"/>
      <c r="KWH58" s="5"/>
      <c r="KWI58" s="5"/>
      <c r="KWJ58" s="5"/>
      <c r="KWK58" s="5"/>
      <c r="KWL58" s="5"/>
      <c r="KWM58" s="5"/>
      <c r="KWN58" s="5"/>
      <c r="KWO58" s="5"/>
      <c r="KWP58" s="5"/>
      <c r="KWQ58" s="5"/>
      <c r="KWR58" s="5"/>
      <c r="KWS58" s="5"/>
      <c r="KWT58" s="5"/>
      <c r="KWU58" s="5"/>
      <c r="KWV58" s="5"/>
      <c r="KWW58" s="5"/>
      <c r="KWX58" s="5"/>
      <c r="KWY58" s="5"/>
      <c r="KWZ58" s="5"/>
      <c r="KXA58" s="5"/>
      <c r="KXB58" s="5"/>
      <c r="KXC58" s="5"/>
      <c r="KXD58" s="5"/>
      <c r="KXE58" s="5"/>
      <c r="KXF58" s="5"/>
      <c r="KXG58" s="5"/>
      <c r="KXH58" s="5"/>
      <c r="KXI58" s="5"/>
      <c r="KXJ58" s="5"/>
      <c r="KXK58" s="5"/>
      <c r="KXL58" s="5"/>
      <c r="KXM58" s="5"/>
      <c r="KXN58" s="5"/>
      <c r="KXO58" s="5"/>
      <c r="KXP58" s="5"/>
      <c r="KXQ58" s="5"/>
      <c r="KXR58" s="5"/>
      <c r="KXS58" s="5"/>
      <c r="KXT58" s="5"/>
      <c r="KXU58" s="5"/>
      <c r="KXV58" s="5"/>
      <c r="KXW58" s="5"/>
      <c r="KXX58" s="5"/>
      <c r="KXY58" s="5"/>
      <c r="KXZ58" s="5"/>
      <c r="KYA58" s="5"/>
      <c r="KYB58" s="5"/>
      <c r="KYC58" s="5"/>
      <c r="KYD58" s="5"/>
      <c r="KYE58" s="5"/>
      <c r="KYF58" s="5"/>
      <c r="KYG58" s="5"/>
      <c r="KYH58" s="5"/>
      <c r="KYI58" s="5"/>
      <c r="KYJ58" s="5"/>
      <c r="KYK58" s="5"/>
      <c r="KYL58" s="5"/>
      <c r="KYM58" s="5"/>
      <c r="KYN58" s="5"/>
      <c r="KYO58" s="5"/>
      <c r="KYP58" s="5"/>
      <c r="KYQ58" s="5"/>
      <c r="KYR58" s="5"/>
      <c r="KYS58" s="5"/>
      <c r="KYT58" s="5"/>
      <c r="KYU58" s="5"/>
      <c r="KYV58" s="5"/>
      <c r="KYW58" s="5"/>
      <c r="KYX58" s="5"/>
      <c r="KYY58" s="5"/>
      <c r="KYZ58" s="5"/>
      <c r="KZA58" s="5"/>
      <c r="KZB58" s="5"/>
      <c r="KZC58" s="5"/>
      <c r="KZD58" s="5"/>
      <c r="KZE58" s="5"/>
      <c r="KZF58" s="5"/>
      <c r="KZG58" s="5"/>
      <c r="KZH58" s="5"/>
      <c r="KZI58" s="5"/>
      <c r="KZJ58" s="5"/>
      <c r="KZK58" s="5"/>
      <c r="KZL58" s="5"/>
      <c r="KZM58" s="5"/>
      <c r="KZN58" s="5"/>
      <c r="KZO58" s="5"/>
      <c r="KZP58" s="5"/>
      <c r="KZQ58" s="5"/>
      <c r="KZR58" s="5"/>
      <c r="KZS58" s="5"/>
      <c r="KZT58" s="5"/>
      <c r="KZU58" s="5"/>
      <c r="KZV58" s="5"/>
      <c r="KZW58" s="5"/>
      <c r="KZX58" s="5"/>
      <c r="KZY58" s="5"/>
      <c r="KZZ58" s="5"/>
      <c r="LAA58" s="5"/>
      <c r="LAB58" s="5"/>
      <c r="LAC58" s="5"/>
      <c r="LAD58" s="5"/>
      <c r="LAE58" s="5"/>
      <c r="LAF58" s="5"/>
      <c r="LAG58" s="5"/>
      <c r="LAH58" s="5"/>
      <c r="LAI58" s="5"/>
      <c r="LAJ58" s="5"/>
      <c r="LAK58" s="5"/>
      <c r="LAL58" s="5"/>
      <c r="LAM58" s="5"/>
      <c r="LAN58" s="5"/>
      <c r="LAO58" s="5"/>
      <c r="LAP58" s="5"/>
      <c r="LAQ58" s="5"/>
      <c r="LAR58" s="5"/>
      <c r="LAS58" s="5"/>
      <c r="LAT58" s="5"/>
      <c r="LAU58" s="5"/>
      <c r="LAV58" s="5"/>
      <c r="LAW58" s="5"/>
      <c r="LAX58" s="5"/>
      <c r="LAY58" s="5"/>
      <c r="LAZ58" s="5"/>
      <c r="LBA58" s="5"/>
      <c r="LBB58" s="5"/>
      <c r="LBC58" s="5"/>
      <c r="LBD58" s="5"/>
      <c r="LBE58" s="5"/>
      <c r="LBF58" s="5"/>
      <c r="LBG58" s="5"/>
      <c r="LBH58" s="5"/>
      <c r="LBI58" s="5"/>
      <c r="LBJ58" s="5"/>
      <c r="LBK58" s="5"/>
      <c r="LBL58" s="5"/>
      <c r="LBM58" s="5"/>
      <c r="LBN58" s="5"/>
      <c r="LBO58" s="5"/>
      <c r="LBP58" s="5"/>
      <c r="LBQ58" s="5"/>
      <c r="LBR58" s="5"/>
      <c r="LBS58" s="5"/>
      <c r="LBT58" s="5"/>
      <c r="LBU58" s="5"/>
      <c r="LBV58" s="5"/>
      <c r="LBW58" s="5"/>
      <c r="LBX58" s="5"/>
      <c r="LBY58" s="5"/>
      <c r="LBZ58" s="5"/>
      <c r="LCA58" s="5"/>
      <c r="LCB58" s="5"/>
      <c r="LCC58" s="5"/>
      <c r="LCD58" s="5"/>
      <c r="LCE58" s="5"/>
      <c r="LCF58" s="5"/>
      <c r="LCG58" s="5"/>
      <c r="LCH58" s="5"/>
      <c r="LCI58" s="5"/>
      <c r="LCJ58" s="5"/>
      <c r="LCK58" s="5"/>
      <c r="LCL58" s="5"/>
      <c r="LCM58" s="5"/>
      <c r="LCN58" s="5"/>
      <c r="LCO58" s="5"/>
      <c r="LCP58" s="5"/>
      <c r="LCQ58" s="5"/>
      <c r="LCR58" s="5"/>
      <c r="LCS58" s="5"/>
      <c r="LCT58" s="5"/>
      <c r="LCU58" s="5"/>
      <c r="LCV58" s="5"/>
      <c r="LCW58" s="5"/>
      <c r="LCX58" s="5"/>
      <c r="LCY58" s="5"/>
      <c r="LCZ58" s="5"/>
      <c r="LDA58" s="5"/>
      <c r="LDB58" s="5"/>
      <c r="LDC58" s="5"/>
      <c r="LDD58" s="5"/>
      <c r="LDE58" s="5"/>
      <c r="LDF58" s="5"/>
      <c r="LDG58" s="5"/>
      <c r="LDH58" s="5"/>
      <c r="LDI58" s="5"/>
      <c r="LDJ58" s="5"/>
      <c r="LDK58" s="5"/>
      <c r="LDL58" s="5"/>
      <c r="LDM58" s="5"/>
      <c r="LDN58" s="5"/>
      <c r="LDO58" s="5"/>
      <c r="LDP58" s="5"/>
      <c r="LDQ58" s="5"/>
      <c r="LDR58" s="5"/>
      <c r="LDS58" s="5"/>
      <c r="LDT58" s="5"/>
      <c r="LDU58" s="5"/>
      <c r="LDV58" s="5"/>
      <c r="LDW58" s="5"/>
      <c r="LDX58" s="5"/>
      <c r="LDY58" s="5"/>
      <c r="LDZ58" s="5"/>
      <c r="LEA58" s="5"/>
      <c r="LEB58" s="5"/>
      <c r="LEC58" s="5"/>
      <c r="LED58" s="5"/>
      <c r="LEE58" s="5"/>
      <c r="LEF58" s="5"/>
      <c r="LEG58" s="5"/>
      <c r="LEH58" s="5"/>
      <c r="LEI58" s="5"/>
      <c r="LEJ58" s="5"/>
      <c r="LEK58" s="5"/>
      <c r="LEL58" s="5"/>
      <c r="LEM58" s="5"/>
      <c r="LEN58" s="5"/>
      <c r="LEO58" s="5"/>
      <c r="LEP58" s="5"/>
      <c r="LEQ58" s="5"/>
      <c r="LER58" s="5"/>
      <c r="LES58" s="5"/>
      <c r="LET58" s="5"/>
      <c r="LEU58" s="5"/>
      <c r="LEV58" s="5"/>
      <c r="LEW58" s="5"/>
      <c r="LEX58" s="5"/>
      <c r="LEY58" s="5"/>
      <c r="LEZ58" s="5"/>
      <c r="LFA58" s="5"/>
      <c r="LFB58" s="5"/>
      <c r="LFC58" s="5"/>
      <c r="LFD58" s="5"/>
      <c r="LFE58" s="5"/>
      <c r="LFF58" s="5"/>
      <c r="LFG58" s="5"/>
      <c r="LFH58" s="5"/>
      <c r="LFI58" s="5"/>
      <c r="LFJ58" s="5"/>
      <c r="LFK58" s="5"/>
      <c r="LFL58" s="5"/>
      <c r="LFM58" s="5"/>
      <c r="LFN58" s="5"/>
      <c r="LFO58" s="5"/>
      <c r="LFP58" s="5"/>
      <c r="LFQ58" s="5"/>
      <c r="LFR58" s="5"/>
      <c r="LFS58" s="5"/>
      <c r="LFT58" s="5"/>
      <c r="LFU58" s="5"/>
      <c r="LFV58" s="5"/>
      <c r="LFW58" s="5"/>
      <c r="LFX58" s="5"/>
      <c r="LFY58" s="5"/>
      <c r="LFZ58" s="5"/>
      <c r="LGA58" s="5"/>
      <c r="LGB58" s="5"/>
      <c r="LGC58" s="5"/>
      <c r="LGD58" s="5"/>
      <c r="LGE58" s="5"/>
      <c r="LGF58" s="5"/>
      <c r="LGG58" s="5"/>
      <c r="LGH58" s="5"/>
      <c r="LGI58" s="5"/>
      <c r="LGJ58" s="5"/>
      <c r="LGK58" s="5"/>
      <c r="LGL58" s="5"/>
      <c r="LGM58" s="5"/>
      <c r="LGN58" s="5"/>
      <c r="LGO58" s="5"/>
      <c r="LGP58" s="5"/>
      <c r="LGQ58" s="5"/>
      <c r="LGR58" s="5"/>
      <c r="LGS58" s="5"/>
      <c r="LGT58" s="5"/>
      <c r="LGU58" s="5"/>
      <c r="LGV58" s="5"/>
      <c r="LGW58" s="5"/>
      <c r="LGX58" s="5"/>
      <c r="LGY58" s="5"/>
      <c r="LGZ58" s="5"/>
      <c r="LHA58" s="5"/>
      <c r="LHB58" s="5"/>
      <c r="LHC58" s="5"/>
      <c r="LHD58" s="5"/>
      <c r="LHE58" s="5"/>
      <c r="LHF58" s="5"/>
      <c r="LHG58" s="5"/>
      <c r="LHH58" s="5"/>
      <c r="LHI58" s="5"/>
      <c r="LHJ58" s="5"/>
      <c r="LHK58" s="5"/>
      <c r="LHL58" s="5"/>
      <c r="LHM58" s="5"/>
      <c r="LHN58" s="5"/>
      <c r="LHO58" s="5"/>
      <c r="LHP58" s="5"/>
      <c r="LHQ58" s="5"/>
      <c r="LHR58" s="5"/>
      <c r="LHS58" s="5"/>
      <c r="LHT58" s="5"/>
      <c r="LHU58" s="5"/>
      <c r="LHV58" s="5"/>
      <c r="LHW58" s="5"/>
      <c r="LHX58" s="5"/>
      <c r="LHY58" s="5"/>
      <c r="LHZ58" s="5"/>
      <c r="LIA58" s="5"/>
      <c r="LIB58" s="5"/>
      <c r="LIC58" s="5"/>
      <c r="LID58" s="5"/>
      <c r="LIE58" s="5"/>
      <c r="LIF58" s="5"/>
      <c r="LIG58" s="5"/>
      <c r="LIH58" s="5"/>
      <c r="LII58" s="5"/>
      <c r="LIJ58" s="5"/>
      <c r="LIK58" s="5"/>
      <c r="LIL58" s="5"/>
      <c r="LIM58" s="5"/>
      <c r="LIN58" s="5"/>
      <c r="LIO58" s="5"/>
      <c r="LIP58" s="5"/>
      <c r="LIQ58" s="5"/>
      <c r="LIR58" s="5"/>
      <c r="LIS58" s="5"/>
      <c r="LIT58" s="5"/>
      <c r="LIU58" s="5"/>
      <c r="LIV58" s="5"/>
      <c r="LIW58" s="5"/>
      <c r="LIX58" s="5"/>
      <c r="LIY58" s="5"/>
      <c r="LIZ58" s="5"/>
      <c r="LJA58" s="5"/>
      <c r="LJB58" s="5"/>
      <c r="LJC58" s="5"/>
      <c r="LJD58" s="5"/>
      <c r="LJE58" s="5"/>
      <c r="LJF58" s="5"/>
      <c r="LJG58" s="5"/>
      <c r="LJH58" s="5"/>
      <c r="LJI58" s="5"/>
      <c r="LJJ58" s="5"/>
      <c r="LJK58" s="5"/>
      <c r="LJL58" s="5"/>
      <c r="LJM58" s="5"/>
      <c r="LJN58" s="5"/>
      <c r="LJO58" s="5"/>
      <c r="LJP58" s="5"/>
      <c r="LJQ58" s="5"/>
      <c r="LJR58" s="5"/>
      <c r="LJS58" s="5"/>
      <c r="LJT58" s="5"/>
      <c r="LJU58" s="5"/>
      <c r="LJV58" s="5"/>
      <c r="LJW58" s="5"/>
      <c r="LJX58" s="5"/>
      <c r="LJY58" s="5"/>
      <c r="LJZ58" s="5"/>
      <c r="LKA58" s="5"/>
      <c r="LKB58" s="5"/>
      <c r="LKC58" s="5"/>
      <c r="LKD58" s="5"/>
      <c r="LKE58" s="5"/>
      <c r="LKF58" s="5"/>
      <c r="LKG58" s="5"/>
      <c r="LKH58" s="5"/>
      <c r="LKI58" s="5"/>
      <c r="LKJ58" s="5"/>
      <c r="LKK58" s="5"/>
      <c r="LKL58" s="5"/>
      <c r="LKM58" s="5"/>
      <c r="LKN58" s="5"/>
      <c r="LKO58" s="5"/>
      <c r="LKP58" s="5"/>
      <c r="LKQ58" s="5"/>
      <c r="LKR58" s="5"/>
      <c r="LKS58" s="5"/>
      <c r="LKT58" s="5"/>
      <c r="LKU58" s="5"/>
      <c r="LKV58" s="5"/>
      <c r="LKW58" s="5"/>
      <c r="LKX58" s="5"/>
      <c r="LKY58" s="5"/>
      <c r="LKZ58" s="5"/>
      <c r="LLA58" s="5"/>
      <c r="LLB58" s="5"/>
      <c r="LLC58" s="5"/>
      <c r="LLD58" s="5"/>
      <c r="LLE58" s="5"/>
      <c r="LLF58" s="5"/>
      <c r="LLG58" s="5"/>
      <c r="LLH58" s="5"/>
      <c r="LLI58" s="5"/>
      <c r="LLJ58" s="5"/>
      <c r="LLK58" s="5"/>
      <c r="LLL58" s="5"/>
      <c r="LLM58" s="5"/>
      <c r="LLN58" s="5"/>
      <c r="LLO58" s="5"/>
      <c r="LLP58" s="5"/>
      <c r="LLQ58" s="5"/>
      <c r="LLR58" s="5"/>
      <c r="LLS58" s="5"/>
      <c r="LLT58" s="5"/>
      <c r="LLU58" s="5"/>
      <c r="LLV58" s="5"/>
      <c r="LLW58" s="5"/>
      <c r="LLX58" s="5"/>
      <c r="LLY58" s="5"/>
      <c r="LLZ58" s="5"/>
      <c r="LMA58" s="5"/>
      <c r="LMB58" s="5"/>
      <c r="LMC58" s="5"/>
      <c r="LMD58" s="5"/>
      <c r="LME58" s="5"/>
      <c r="LMF58" s="5"/>
      <c r="LMG58" s="5"/>
      <c r="LMH58" s="5"/>
      <c r="LMI58" s="5"/>
      <c r="LMJ58" s="5"/>
      <c r="LMK58" s="5"/>
      <c r="LML58" s="5"/>
      <c r="LMM58" s="5"/>
      <c r="LMN58" s="5"/>
      <c r="LMO58" s="5"/>
      <c r="LMP58" s="5"/>
      <c r="LMQ58" s="5"/>
      <c r="LMR58" s="5"/>
      <c r="LMS58" s="5"/>
      <c r="LMT58" s="5"/>
      <c r="LMU58" s="5"/>
      <c r="LMV58" s="5"/>
      <c r="LMW58" s="5"/>
      <c r="LMX58" s="5"/>
      <c r="LMY58" s="5"/>
      <c r="LMZ58" s="5"/>
      <c r="LNA58" s="5"/>
      <c r="LNB58" s="5"/>
      <c r="LNC58" s="5"/>
      <c r="LND58" s="5"/>
      <c r="LNE58" s="5"/>
      <c r="LNF58" s="5"/>
      <c r="LNG58" s="5"/>
      <c r="LNH58" s="5"/>
      <c r="LNI58" s="5"/>
      <c r="LNJ58" s="5"/>
      <c r="LNK58" s="5"/>
      <c r="LNL58" s="5"/>
      <c r="LNM58" s="5"/>
      <c r="LNN58" s="5"/>
      <c r="LNO58" s="5"/>
      <c r="LNP58" s="5"/>
      <c r="LNQ58" s="5"/>
      <c r="LNR58" s="5"/>
      <c r="LNS58" s="5"/>
      <c r="LNT58" s="5"/>
      <c r="LNU58" s="5"/>
      <c r="LNV58" s="5"/>
      <c r="LNW58" s="5"/>
      <c r="LNX58" s="5"/>
      <c r="LNY58" s="5"/>
      <c r="LNZ58" s="5"/>
      <c r="LOA58" s="5"/>
      <c r="LOB58" s="5"/>
      <c r="LOC58" s="5"/>
      <c r="LOD58" s="5"/>
      <c r="LOE58" s="5"/>
      <c r="LOF58" s="5"/>
      <c r="LOG58" s="5"/>
      <c r="LOH58" s="5"/>
      <c r="LOI58" s="5"/>
      <c r="LOJ58" s="5"/>
      <c r="LOK58" s="5"/>
      <c r="LOL58" s="5"/>
      <c r="LOM58" s="5"/>
      <c r="LON58" s="5"/>
      <c r="LOO58" s="5"/>
      <c r="LOP58" s="5"/>
      <c r="LOQ58" s="5"/>
      <c r="LOR58" s="5"/>
      <c r="LOS58" s="5"/>
      <c r="LOT58" s="5"/>
      <c r="LOU58" s="5"/>
      <c r="LOV58" s="5"/>
      <c r="LOW58" s="5"/>
      <c r="LOX58" s="5"/>
      <c r="LOY58" s="5"/>
      <c r="LOZ58" s="5"/>
      <c r="LPA58" s="5"/>
      <c r="LPB58" s="5"/>
      <c r="LPC58" s="5"/>
      <c r="LPD58" s="5"/>
      <c r="LPE58" s="5"/>
      <c r="LPF58" s="5"/>
      <c r="LPG58" s="5"/>
      <c r="LPH58" s="5"/>
      <c r="LPI58" s="5"/>
      <c r="LPJ58" s="5"/>
      <c r="LPK58" s="5"/>
      <c r="LPL58" s="5"/>
      <c r="LPM58" s="5"/>
      <c r="LPN58" s="5"/>
      <c r="LPO58" s="5"/>
      <c r="LPP58" s="5"/>
      <c r="LPQ58" s="5"/>
      <c r="LPR58" s="5"/>
      <c r="LPS58" s="5"/>
      <c r="LPT58" s="5"/>
      <c r="LPU58" s="5"/>
      <c r="LPV58" s="5"/>
      <c r="LPW58" s="5"/>
      <c r="LPX58" s="5"/>
      <c r="LPY58" s="5"/>
      <c r="LPZ58" s="5"/>
      <c r="LQA58" s="5"/>
      <c r="LQB58" s="5"/>
      <c r="LQC58" s="5"/>
      <c r="LQD58" s="5"/>
      <c r="LQE58" s="5"/>
      <c r="LQF58" s="5"/>
      <c r="LQG58" s="5"/>
      <c r="LQH58" s="5"/>
      <c r="LQI58" s="5"/>
      <c r="LQJ58" s="5"/>
      <c r="LQK58" s="5"/>
      <c r="LQL58" s="5"/>
      <c r="LQM58" s="5"/>
      <c r="LQN58" s="5"/>
      <c r="LQO58" s="5"/>
      <c r="LQP58" s="5"/>
      <c r="LQQ58" s="5"/>
      <c r="LQR58" s="5"/>
      <c r="LQS58" s="5"/>
      <c r="LQT58" s="5"/>
      <c r="LQU58" s="5"/>
      <c r="LQV58" s="5"/>
      <c r="LQW58" s="5"/>
      <c r="LQX58" s="5"/>
      <c r="LQY58" s="5"/>
      <c r="LQZ58" s="5"/>
      <c r="LRA58" s="5"/>
      <c r="LRB58" s="5"/>
      <c r="LRC58" s="5"/>
      <c r="LRD58" s="5"/>
      <c r="LRE58" s="5"/>
      <c r="LRF58" s="5"/>
      <c r="LRG58" s="5"/>
      <c r="LRH58" s="5"/>
      <c r="LRI58" s="5"/>
      <c r="LRJ58" s="5"/>
      <c r="LRK58" s="5"/>
      <c r="LRL58" s="5"/>
      <c r="LRM58" s="5"/>
      <c r="LRN58" s="5"/>
      <c r="LRO58" s="5"/>
      <c r="LRP58" s="5"/>
      <c r="LRQ58" s="5"/>
      <c r="LRR58" s="5"/>
      <c r="LRS58" s="5"/>
      <c r="LRT58" s="5"/>
      <c r="LRU58" s="5"/>
      <c r="LRV58" s="5"/>
      <c r="LRW58" s="5"/>
      <c r="LRX58" s="5"/>
      <c r="LRY58" s="5"/>
      <c r="LRZ58" s="5"/>
      <c r="LSA58" s="5"/>
      <c r="LSB58" s="5"/>
      <c r="LSC58" s="5"/>
      <c r="LSD58" s="5"/>
      <c r="LSE58" s="5"/>
      <c r="LSF58" s="5"/>
      <c r="LSG58" s="5"/>
      <c r="LSH58" s="5"/>
      <c r="LSI58" s="5"/>
      <c r="LSJ58" s="5"/>
      <c r="LSK58" s="5"/>
      <c r="LSL58" s="5"/>
      <c r="LSM58" s="5"/>
      <c r="LSN58" s="5"/>
      <c r="LSO58" s="5"/>
      <c r="LSP58" s="5"/>
      <c r="LSQ58" s="5"/>
      <c r="LSR58" s="5"/>
      <c r="LSS58" s="5"/>
      <c r="LST58" s="5"/>
      <c r="LSU58" s="5"/>
      <c r="LSV58" s="5"/>
      <c r="LSW58" s="5"/>
      <c r="LSX58" s="5"/>
      <c r="LSY58" s="5"/>
      <c r="LSZ58" s="5"/>
      <c r="LTA58" s="5"/>
      <c r="LTB58" s="5"/>
      <c r="LTC58" s="5"/>
      <c r="LTD58" s="5"/>
      <c r="LTE58" s="5"/>
      <c r="LTF58" s="5"/>
      <c r="LTG58" s="5"/>
      <c r="LTH58" s="5"/>
      <c r="LTI58" s="5"/>
      <c r="LTJ58" s="5"/>
      <c r="LTK58" s="5"/>
      <c r="LTL58" s="5"/>
      <c r="LTM58" s="5"/>
      <c r="LTN58" s="5"/>
      <c r="LTO58" s="5"/>
      <c r="LTP58" s="5"/>
      <c r="LTQ58" s="5"/>
      <c r="LTR58" s="5"/>
      <c r="LTS58" s="5"/>
      <c r="LTT58" s="5"/>
      <c r="LTU58" s="5"/>
      <c r="LTV58" s="5"/>
      <c r="LTW58" s="5"/>
      <c r="LTX58" s="5"/>
      <c r="LTY58" s="5"/>
      <c r="LTZ58" s="5"/>
      <c r="LUA58" s="5"/>
      <c r="LUB58" s="5"/>
      <c r="LUC58" s="5"/>
      <c r="LUD58" s="5"/>
      <c r="LUE58" s="5"/>
      <c r="LUF58" s="5"/>
      <c r="LUG58" s="5"/>
      <c r="LUH58" s="5"/>
      <c r="LUI58" s="5"/>
      <c r="LUJ58" s="5"/>
      <c r="LUK58" s="5"/>
      <c r="LUL58" s="5"/>
      <c r="LUM58" s="5"/>
      <c r="LUN58" s="5"/>
      <c r="LUO58" s="5"/>
      <c r="LUP58" s="5"/>
      <c r="LUQ58" s="5"/>
      <c r="LUR58" s="5"/>
      <c r="LUS58" s="5"/>
      <c r="LUT58" s="5"/>
      <c r="LUU58" s="5"/>
      <c r="LUV58" s="5"/>
      <c r="LUW58" s="5"/>
      <c r="LUX58" s="5"/>
      <c r="LUY58" s="5"/>
      <c r="LUZ58" s="5"/>
      <c r="LVA58" s="5"/>
      <c r="LVB58" s="5"/>
      <c r="LVC58" s="5"/>
      <c r="LVD58" s="5"/>
      <c r="LVE58" s="5"/>
      <c r="LVF58" s="5"/>
      <c r="LVG58" s="5"/>
      <c r="LVH58" s="5"/>
      <c r="LVI58" s="5"/>
      <c r="LVJ58" s="5"/>
      <c r="LVK58" s="5"/>
      <c r="LVL58" s="5"/>
      <c r="LVM58" s="5"/>
      <c r="LVN58" s="5"/>
      <c r="LVO58" s="5"/>
      <c r="LVP58" s="5"/>
      <c r="LVQ58" s="5"/>
      <c r="LVR58" s="5"/>
      <c r="LVS58" s="5"/>
      <c r="LVT58" s="5"/>
      <c r="LVU58" s="5"/>
      <c r="LVV58" s="5"/>
      <c r="LVW58" s="5"/>
      <c r="LVX58" s="5"/>
      <c r="LVY58" s="5"/>
      <c r="LVZ58" s="5"/>
      <c r="LWA58" s="5"/>
      <c r="LWB58" s="5"/>
      <c r="LWC58" s="5"/>
      <c r="LWD58" s="5"/>
      <c r="LWE58" s="5"/>
      <c r="LWF58" s="5"/>
      <c r="LWG58" s="5"/>
      <c r="LWH58" s="5"/>
      <c r="LWI58" s="5"/>
      <c r="LWJ58" s="5"/>
      <c r="LWK58" s="5"/>
      <c r="LWL58" s="5"/>
      <c r="LWM58" s="5"/>
      <c r="LWN58" s="5"/>
      <c r="LWO58" s="5"/>
      <c r="LWP58" s="5"/>
      <c r="LWQ58" s="5"/>
      <c r="LWR58" s="5"/>
      <c r="LWS58" s="5"/>
      <c r="LWT58" s="5"/>
      <c r="LWU58" s="5"/>
      <c r="LWV58" s="5"/>
      <c r="LWW58" s="5"/>
      <c r="LWX58" s="5"/>
      <c r="LWY58" s="5"/>
      <c r="LWZ58" s="5"/>
      <c r="LXA58" s="5"/>
      <c r="LXB58" s="5"/>
      <c r="LXC58" s="5"/>
      <c r="LXD58" s="5"/>
      <c r="LXE58" s="5"/>
      <c r="LXF58" s="5"/>
      <c r="LXG58" s="5"/>
      <c r="LXH58" s="5"/>
      <c r="LXI58" s="5"/>
      <c r="LXJ58" s="5"/>
      <c r="LXK58" s="5"/>
      <c r="LXL58" s="5"/>
      <c r="LXM58" s="5"/>
      <c r="LXN58" s="5"/>
      <c r="LXO58" s="5"/>
      <c r="LXP58" s="5"/>
      <c r="LXQ58" s="5"/>
      <c r="LXR58" s="5"/>
      <c r="LXS58" s="5"/>
      <c r="LXT58" s="5"/>
      <c r="LXU58" s="5"/>
      <c r="LXV58" s="5"/>
      <c r="LXW58" s="5"/>
      <c r="LXX58" s="5"/>
      <c r="LXY58" s="5"/>
      <c r="LXZ58" s="5"/>
      <c r="LYA58" s="5"/>
      <c r="LYB58" s="5"/>
      <c r="LYC58" s="5"/>
      <c r="LYD58" s="5"/>
      <c r="LYE58" s="5"/>
      <c r="LYF58" s="5"/>
      <c r="LYG58" s="5"/>
      <c r="LYH58" s="5"/>
      <c r="LYI58" s="5"/>
      <c r="LYJ58" s="5"/>
      <c r="LYK58" s="5"/>
      <c r="LYL58" s="5"/>
      <c r="LYM58" s="5"/>
      <c r="LYN58" s="5"/>
      <c r="LYO58" s="5"/>
      <c r="LYP58" s="5"/>
      <c r="LYQ58" s="5"/>
      <c r="LYR58" s="5"/>
      <c r="LYS58" s="5"/>
      <c r="LYT58" s="5"/>
      <c r="LYU58" s="5"/>
      <c r="LYV58" s="5"/>
      <c r="LYW58" s="5"/>
      <c r="LYX58" s="5"/>
      <c r="LYY58" s="5"/>
      <c r="LYZ58" s="5"/>
      <c r="LZA58" s="5"/>
      <c r="LZB58" s="5"/>
      <c r="LZC58" s="5"/>
      <c r="LZD58" s="5"/>
      <c r="LZE58" s="5"/>
      <c r="LZF58" s="5"/>
      <c r="LZG58" s="5"/>
      <c r="LZH58" s="5"/>
      <c r="LZI58" s="5"/>
      <c r="LZJ58" s="5"/>
      <c r="LZK58" s="5"/>
      <c r="LZL58" s="5"/>
      <c r="LZM58" s="5"/>
      <c r="LZN58" s="5"/>
      <c r="LZO58" s="5"/>
      <c r="LZP58" s="5"/>
      <c r="LZQ58" s="5"/>
      <c r="LZR58" s="5"/>
      <c r="LZS58" s="5"/>
      <c r="LZT58" s="5"/>
      <c r="LZU58" s="5"/>
      <c r="LZV58" s="5"/>
      <c r="LZW58" s="5"/>
      <c r="LZX58" s="5"/>
      <c r="LZY58" s="5"/>
      <c r="LZZ58" s="5"/>
      <c r="MAA58" s="5"/>
      <c r="MAB58" s="5"/>
      <c r="MAC58" s="5"/>
      <c r="MAD58" s="5"/>
      <c r="MAE58" s="5"/>
      <c r="MAF58" s="5"/>
      <c r="MAG58" s="5"/>
      <c r="MAH58" s="5"/>
      <c r="MAI58" s="5"/>
      <c r="MAJ58" s="5"/>
      <c r="MAK58" s="5"/>
      <c r="MAL58" s="5"/>
      <c r="MAM58" s="5"/>
      <c r="MAN58" s="5"/>
      <c r="MAO58" s="5"/>
      <c r="MAP58" s="5"/>
      <c r="MAQ58" s="5"/>
      <c r="MAR58" s="5"/>
      <c r="MAS58" s="5"/>
      <c r="MAT58" s="5"/>
      <c r="MAU58" s="5"/>
      <c r="MAV58" s="5"/>
      <c r="MAW58" s="5"/>
      <c r="MAX58" s="5"/>
      <c r="MAY58" s="5"/>
      <c r="MAZ58" s="5"/>
      <c r="MBA58" s="5"/>
      <c r="MBB58" s="5"/>
      <c r="MBC58" s="5"/>
      <c r="MBD58" s="5"/>
      <c r="MBE58" s="5"/>
      <c r="MBF58" s="5"/>
      <c r="MBG58" s="5"/>
      <c r="MBH58" s="5"/>
      <c r="MBI58" s="5"/>
      <c r="MBJ58" s="5"/>
      <c r="MBK58" s="5"/>
      <c r="MBL58" s="5"/>
      <c r="MBM58" s="5"/>
      <c r="MBN58" s="5"/>
      <c r="MBO58" s="5"/>
      <c r="MBP58" s="5"/>
      <c r="MBQ58" s="5"/>
      <c r="MBR58" s="5"/>
      <c r="MBS58" s="5"/>
      <c r="MBT58" s="5"/>
      <c r="MBU58" s="5"/>
      <c r="MBV58" s="5"/>
      <c r="MBW58" s="5"/>
      <c r="MBX58" s="5"/>
      <c r="MBY58" s="5"/>
      <c r="MBZ58" s="5"/>
      <c r="MCA58" s="5"/>
      <c r="MCB58" s="5"/>
      <c r="MCC58" s="5"/>
      <c r="MCD58" s="5"/>
      <c r="MCE58" s="5"/>
      <c r="MCF58" s="5"/>
      <c r="MCG58" s="5"/>
      <c r="MCH58" s="5"/>
      <c r="MCI58" s="5"/>
      <c r="MCJ58" s="5"/>
      <c r="MCK58" s="5"/>
      <c r="MCL58" s="5"/>
      <c r="MCM58" s="5"/>
      <c r="MCN58" s="5"/>
      <c r="MCO58" s="5"/>
      <c r="MCP58" s="5"/>
      <c r="MCQ58" s="5"/>
      <c r="MCR58" s="5"/>
      <c r="MCS58" s="5"/>
      <c r="MCT58" s="5"/>
      <c r="MCU58" s="5"/>
      <c r="MCV58" s="5"/>
      <c r="MCW58" s="5"/>
      <c r="MCX58" s="5"/>
      <c r="MCY58" s="5"/>
      <c r="MCZ58" s="5"/>
      <c r="MDA58" s="5"/>
      <c r="MDB58" s="5"/>
      <c r="MDC58" s="5"/>
      <c r="MDD58" s="5"/>
      <c r="MDE58" s="5"/>
      <c r="MDF58" s="5"/>
      <c r="MDG58" s="5"/>
      <c r="MDH58" s="5"/>
      <c r="MDI58" s="5"/>
      <c r="MDJ58" s="5"/>
      <c r="MDK58" s="5"/>
      <c r="MDL58" s="5"/>
      <c r="MDM58" s="5"/>
      <c r="MDN58" s="5"/>
      <c r="MDO58" s="5"/>
      <c r="MDP58" s="5"/>
      <c r="MDQ58" s="5"/>
      <c r="MDR58" s="5"/>
      <c r="MDS58" s="5"/>
      <c r="MDT58" s="5"/>
      <c r="MDU58" s="5"/>
      <c r="MDV58" s="5"/>
      <c r="MDW58" s="5"/>
      <c r="MDX58" s="5"/>
      <c r="MDY58" s="5"/>
      <c r="MDZ58" s="5"/>
      <c r="MEA58" s="5"/>
      <c r="MEB58" s="5"/>
      <c r="MEC58" s="5"/>
      <c r="MED58" s="5"/>
      <c r="MEE58" s="5"/>
      <c r="MEF58" s="5"/>
      <c r="MEG58" s="5"/>
      <c r="MEH58" s="5"/>
      <c r="MEI58" s="5"/>
      <c r="MEJ58" s="5"/>
      <c r="MEK58" s="5"/>
      <c r="MEL58" s="5"/>
      <c r="MEM58" s="5"/>
      <c r="MEN58" s="5"/>
      <c r="MEO58" s="5"/>
      <c r="MEP58" s="5"/>
      <c r="MEQ58" s="5"/>
      <c r="MER58" s="5"/>
      <c r="MES58" s="5"/>
      <c r="MET58" s="5"/>
      <c r="MEU58" s="5"/>
      <c r="MEV58" s="5"/>
      <c r="MEW58" s="5"/>
      <c r="MEX58" s="5"/>
      <c r="MEY58" s="5"/>
      <c r="MEZ58" s="5"/>
      <c r="MFA58" s="5"/>
      <c r="MFB58" s="5"/>
      <c r="MFC58" s="5"/>
      <c r="MFD58" s="5"/>
      <c r="MFE58" s="5"/>
      <c r="MFF58" s="5"/>
      <c r="MFG58" s="5"/>
      <c r="MFH58" s="5"/>
      <c r="MFI58" s="5"/>
      <c r="MFJ58" s="5"/>
      <c r="MFK58" s="5"/>
      <c r="MFL58" s="5"/>
      <c r="MFM58" s="5"/>
      <c r="MFN58" s="5"/>
      <c r="MFO58" s="5"/>
      <c r="MFP58" s="5"/>
      <c r="MFQ58" s="5"/>
      <c r="MFR58" s="5"/>
      <c r="MFS58" s="5"/>
      <c r="MFT58" s="5"/>
      <c r="MFU58" s="5"/>
      <c r="MFV58" s="5"/>
      <c r="MFW58" s="5"/>
      <c r="MFX58" s="5"/>
      <c r="MFY58" s="5"/>
      <c r="MFZ58" s="5"/>
      <c r="MGA58" s="5"/>
      <c r="MGB58" s="5"/>
      <c r="MGC58" s="5"/>
      <c r="MGD58" s="5"/>
      <c r="MGE58" s="5"/>
      <c r="MGF58" s="5"/>
      <c r="MGG58" s="5"/>
      <c r="MGH58" s="5"/>
      <c r="MGI58" s="5"/>
      <c r="MGJ58" s="5"/>
      <c r="MGK58" s="5"/>
      <c r="MGL58" s="5"/>
      <c r="MGM58" s="5"/>
      <c r="MGN58" s="5"/>
      <c r="MGO58" s="5"/>
      <c r="MGP58" s="5"/>
      <c r="MGQ58" s="5"/>
      <c r="MGR58" s="5"/>
      <c r="MGS58" s="5"/>
      <c r="MGT58" s="5"/>
      <c r="MGU58" s="5"/>
      <c r="MGV58" s="5"/>
      <c r="MGW58" s="5"/>
      <c r="MGX58" s="5"/>
      <c r="MGY58" s="5"/>
      <c r="MGZ58" s="5"/>
      <c r="MHA58" s="5"/>
      <c r="MHB58" s="5"/>
      <c r="MHC58" s="5"/>
      <c r="MHD58" s="5"/>
      <c r="MHE58" s="5"/>
      <c r="MHF58" s="5"/>
      <c r="MHG58" s="5"/>
      <c r="MHH58" s="5"/>
      <c r="MHI58" s="5"/>
      <c r="MHJ58" s="5"/>
      <c r="MHK58" s="5"/>
      <c r="MHL58" s="5"/>
      <c r="MHM58" s="5"/>
      <c r="MHN58" s="5"/>
      <c r="MHO58" s="5"/>
      <c r="MHP58" s="5"/>
      <c r="MHQ58" s="5"/>
      <c r="MHR58" s="5"/>
      <c r="MHS58" s="5"/>
      <c r="MHT58" s="5"/>
      <c r="MHU58" s="5"/>
      <c r="MHV58" s="5"/>
      <c r="MHW58" s="5"/>
      <c r="MHX58" s="5"/>
      <c r="MHY58" s="5"/>
      <c r="MHZ58" s="5"/>
      <c r="MIA58" s="5"/>
      <c r="MIB58" s="5"/>
      <c r="MIC58" s="5"/>
      <c r="MID58" s="5"/>
      <c r="MIE58" s="5"/>
      <c r="MIF58" s="5"/>
      <c r="MIG58" s="5"/>
      <c r="MIH58" s="5"/>
      <c r="MII58" s="5"/>
      <c r="MIJ58" s="5"/>
      <c r="MIK58" s="5"/>
      <c r="MIL58" s="5"/>
      <c r="MIM58" s="5"/>
      <c r="MIN58" s="5"/>
      <c r="MIO58" s="5"/>
      <c r="MIP58" s="5"/>
      <c r="MIQ58" s="5"/>
      <c r="MIR58" s="5"/>
      <c r="MIS58" s="5"/>
      <c r="MIT58" s="5"/>
      <c r="MIU58" s="5"/>
      <c r="MIV58" s="5"/>
      <c r="MIW58" s="5"/>
      <c r="MIX58" s="5"/>
      <c r="MIY58" s="5"/>
      <c r="MIZ58" s="5"/>
      <c r="MJA58" s="5"/>
      <c r="MJB58" s="5"/>
      <c r="MJC58" s="5"/>
      <c r="MJD58" s="5"/>
      <c r="MJE58" s="5"/>
      <c r="MJF58" s="5"/>
      <c r="MJG58" s="5"/>
      <c r="MJH58" s="5"/>
      <c r="MJI58" s="5"/>
      <c r="MJJ58" s="5"/>
      <c r="MJK58" s="5"/>
      <c r="MJL58" s="5"/>
      <c r="MJM58" s="5"/>
      <c r="MJN58" s="5"/>
      <c r="MJO58" s="5"/>
      <c r="MJP58" s="5"/>
      <c r="MJQ58" s="5"/>
      <c r="MJR58" s="5"/>
      <c r="MJS58" s="5"/>
      <c r="MJT58" s="5"/>
      <c r="MJU58" s="5"/>
      <c r="MJV58" s="5"/>
      <c r="MJW58" s="5"/>
      <c r="MJX58" s="5"/>
      <c r="MJY58" s="5"/>
      <c r="MJZ58" s="5"/>
      <c r="MKA58" s="5"/>
      <c r="MKB58" s="5"/>
      <c r="MKC58" s="5"/>
      <c r="MKD58" s="5"/>
      <c r="MKE58" s="5"/>
      <c r="MKF58" s="5"/>
      <c r="MKG58" s="5"/>
      <c r="MKH58" s="5"/>
      <c r="MKI58" s="5"/>
      <c r="MKJ58" s="5"/>
      <c r="MKK58" s="5"/>
      <c r="MKL58" s="5"/>
      <c r="MKM58" s="5"/>
      <c r="MKN58" s="5"/>
      <c r="MKO58" s="5"/>
      <c r="MKP58" s="5"/>
      <c r="MKQ58" s="5"/>
      <c r="MKR58" s="5"/>
      <c r="MKS58" s="5"/>
      <c r="MKT58" s="5"/>
      <c r="MKU58" s="5"/>
      <c r="MKV58" s="5"/>
      <c r="MKW58" s="5"/>
      <c r="MKX58" s="5"/>
      <c r="MKY58" s="5"/>
      <c r="MKZ58" s="5"/>
      <c r="MLA58" s="5"/>
      <c r="MLB58" s="5"/>
      <c r="MLC58" s="5"/>
      <c r="MLD58" s="5"/>
      <c r="MLE58" s="5"/>
      <c r="MLF58" s="5"/>
      <c r="MLG58" s="5"/>
      <c r="MLH58" s="5"/>
      <c r="MLI58" s="5"/>
      <c r="MLJ58" s="5"/>
      <c r="MLK58" s="5"/>
      <c r="MLL58" s="5"/>
      <c r="MLM58" s="5"/>
      <c r="MLN58" s="5"/>
      <c r="MLO58" s="5"/>
      <c r="MLP58" s="5"/>
      <c r="MLQ58" s="5"/>
      <c r="MLR58" s="5"/>
      <c r="MLS58" s="5"/>
      <c r="MLT58" s="5"/>
      <c r="MLU58" s="5"/>
      <c r="MLV58" s="5"/>
      <c r="MLW58" s="5"/>
      <c r="MLX58" s="5"/>
      <c r="MLY58" s="5"/>
      <c r="MLZ58" s="5"/>
      <c r="MMA58" s="5"/>
      <c r="MMB58" s="5"/>
      <c r="MMC58" s="5"/>
      <c r="MMD58" s="5"/>
      <c r="MME58" s="5"/>
      <c r="MMF58" s="5"/>
      <c r="MMG58" s="5"/>
      <c r="MMH58" s="5"/>
      <c r="MMI58" s="5"/>
      <c r="MMJ58" s="5"/>
      <c r="MMK58" s="5"/>
      <c r="MML58" s="5"/>
      <c r="MMM58" s="5"/>
      <c r="MMN58" s="5"/>
      <c r="MMO58" s="5"/>
      <c r="MMP58" s="5"/>
      <c r="MMQ58" s="5"/>
      <c r="MMR58" s="5"/>
      <c r="MMS58" s="5"/>
      <c r="MMT58" s="5"/>
      <c r="MMU58" s="5"/>
      <c r="MMV58" s="5"/>
      <c r="MMW58" s="5"/>
      <c r="MMX58" s="5"/>
      <c r="MMY58" s="5"/>
      <c r="MMZ58" s="5"/>
      <c r="MNA58" s="5"/>
      <c r="MNB58" s="5"/>
      <c r="MNC58" s="5"/>
      <c r="MND58" s="5"/>
      <c r="MNE58" s="5"/>
      <c r="MNF58" s="5"/>
      <c r="MNG58" s="5"/>
      <c r="MNH58" s="5"/>
      <c r="MNI58" s="5"/>
      <c r="MNJ58" s="5"/>
      <c r="MNK58" s="5"/>
      <c r="MNL58" s="5"/>
      <c r="MNM58" s="5"/>
      <c r="MNN58" s="5"/>
      <c r="MNO58" s="5"/>
      <c r="MNP58" s="5"/>
      <c r="MNQ58" s="5"/>
      <c r="MNR58" s="5"/>
      <c r="MNS58" s="5"/>
      <c r="MNT58" s="5"/>
      <c r="MNU58" s="5"/>
      <c r="MNV58" s="5"/>
      <c r="MNW58" s="5"/>
      <c r="MNX58" s="5"/>
      <c r="MNY58" s="5"/>
      <c r="MNZ58" s="5"/>
      <c r="MOA58" s="5"/>
      <c r="MOB58" s="5"/>
      <c r="MOC58" s="5"/>
      <c r="MOD58" s="5"/>
      <c r="MOE58" s="5"/>
      <c r="MOF58" s="5"/>
      <c r="MOG58" s="5"/>
      <c r="MOH58" s="5"/>
      <c r="MOI58" s="5"/>
      <c r="MOJ58" s="5"/>
      <c r="MOK58" s="5"/>
      <c r="MOL58" s="5"/>
      <c r="MOM58" s="5"/>
      <c r="MON58" s="5"/>
      <c r="MOO58" s="5"/>
      <c r="MOP58" s="5"/>
      <c r="MOQ58" s="5"/>
      <c r="MOR58" s="5"/>
      <c r="MOS58" s="5"/>
      <c r="MOT58" s="5"/>
      <c r="MOU58" s="5"/>
      <c r="MOV58" s="5"/>
      <c r="MOW58" s="5"/>
      <c r="MOX58" s="5"/>
      <c r="MOY58" s="5"/>
      <c r="MOZ58" s="5"/>
      <c r="MPA58" s="5"/>
      <c r="MPB58" s="5"/>
      <c r="MPC58" s="5"/>
      <c r="MPD58" s="5"/>
      <c r="MPE58" s="5"/>
      <c r="MPF58" s="5"/>
      <c r="MPG58" s="5"/>
      <c r="MPH58" s="5"/>
      <c r="MPI58" s="5"/>
      <c r="MPJ58" s="5"/>
      <c r="MPK58" s="5"/>
      <c r="MPL58" s="5"/>
      <c r="MPM58" s="5"/>
      <c r="MPN58" s="5"/>
      <c r="MPO58" s="5"/>
      <c r="MPP58" s="5"/>
      <c r="MPQ58" s="5"/>
      <c r="MPR58" s="5"/>
      <c r="MPS58" s="5"/>
      <c r="MPT58" s="5"/>
      <c r="MPU58" s="5"/>
      <c r="MPV58" s="5"/>
      <c r="MPW58" s="5"/>
      <c r="MPX58" s="5"/>
      <c r="MPY58" s="5"/>
      <c r="MPZ58" s="5"/>
      <c r="MQA58" s="5"/>
      <c r="MQB58" s="5"/>
      <c r="MQC58" s="5"/>
      <c r="MQD58" s="5"/>
      <c r="MQE58" s="5"/>
      <c r="MQF58" s="5"/>
      <c r="MQG58" s="5"/>
      <c r="MQH58" s="5"/>
      <c r="MQI58" s="5"/>
      <c r="MQJ58" s="5"/>
      <c r="MQK58" s="5"/>
      <c r="MQL58" s="5"/>
      <c r="MQM58" s="5"/>
      <c r="MQN58" s="5"/>
      <c r="MQO58" s="5"/>
      <c r="MQP58" s="5"/>
      <c r="MQQ58" s="5"/>
      <c r="MQR58" s="5"/>
      <c r="MQS58" s="5"/>
      <c r="MQT58" s="5"/>
      <c r="MQU58" s="5"/>
      <c r="MQV58" s="5"/>
      <c r="MQW58" s="5"/>
      <c r="MQX58" s="5"/>
      <c r="MQY58" s="5"/>
      <c r="MQZ58" s="5"/>
      <c r="MRA58" s="5"/>
      <c r="MRB58" s="5"/>
      <c r="MRC58" s="5"/>
      <c r="MRD58" s="5"/>
      <c r="MRE58" s="5"/>
      <c r="MRF58" s="5"/>
      <c r="MRG58" s="5"/>
      <c r="MRH58" s="5"/>
      <c r="MRI58" s="5"/>
      <c r="MRJ58" s="5"/>
      <c r="MRK58" s="5"/>
      <c r="MRL58" s="5"/>
      <c r="MRM58" s="5"/>
      <c r="MRN58" s="5"/>
      <c r="MRO58" s="5"/>
      <c r="MRP58" s="5"/>
      <c r="MRQ58" s="5"/>
      <c r="MRR58" s="5"/>
      <c r="MRS58" s="5"/>
      <c r="MRT58" s="5"/>
      <c r="MRU58" s="5"/>
      <c r="MRV58" s="5"/>
      <c r="MRW58" s="5"/>
      <c r="MRX58" s="5"/>
      <c r="MRY58" s="5"/>
      <c r="MRZ58" s="5"/>
      <c r="MSA58" s="5"/>
      <c r="MSB58" s="5"/>
      <c r="MSC58" s="5"/>
      <c r="MSD58" s="5"/>
      <c r="MSE58" s="5"/>
      <c r="MSF58" s="5"/>
      <c r="MSG58" s="5"/>
      <c r="MSH58" s="5"/>
      <c r="MSI58" s="5"/>
      <c r="MSJ58" s="5"/>
      <c r="MSK58" s="5"/>
      <c r="MSL58" s="5"/>
      <c r="MSM58" s="5"/>
      <c r="MSN58" s="5"/>
      <c r="MSO58" s="5"/>
      <c r="MSP58" s="5"/>
      <c r="MSQ58" s="5"/>
      <c r="MSR58" s="5"/>
      <c r="MSS58" s="5"/>
      <c r="MST58" s="5"/>
      <c r="MSU58" s="5"/>
      <c r="MSV58" s="5"/>
      <c r="MSW58" s="5"/>
      <c r="MSX58" s="5"/>
      <c r="MSY58" s="5"/>
      <c r="MSZ58" s="5"/>
      <c r="MTA58" s="5"/>
      <c r="MTB58" s="5"/>
      <c r="MTC58" s="5"/>
      <c r="MTD58" s="5"/>
      <c r="MTE58" s="5"/>
      <c r="MTF58" s="5"/>
      <c r="MTG58" s="5"/>
      <c r="MTH58" s="5"/>
      <c r="MTI58" s="5"/>
      <c r="MTJ58" s="5"/>
      <c r="MTK58" s="5"/>
      <c r="MTL58" s="5"/>
      <c r="MTM58" s="5"/>
      <c r="MTN58" s="5"/>
      <c r="MTO58" s="5"/>
      <c r="MTP58" s="5"/>
      <c r="MTQ58" s="5"/>
      <c r="MTR58" s="5"/>
      <c r="MTS58" s="5"/>
      <c r="MTT58" s="5"/>
      <c r="MTU58" s="5"/>
      <c r="MTV58" s="5"/>
      <c r="MTW58" s="5"/>
      <c r="MTX58" s="5"/>
      <c r="MTY58" s="5"/>
      <c r="MTZ58" s="5"/>
      <c r="MUA58" s="5"/>
      <c r="MUB58" s="5"/>
      <c r="MUC58" s="5"/>
      <c r="MUD58" s="5"/>
      <c r="MUE58" s="5"/>
      <c r="MUF58" s="5"/>
      <c r="MUG58" s="5"/>
      <c r="MUH58" s="5"/>
      <c r="MUI58" s="5"/>
      <c r="MUJ58" s="5"/>
      <c r="MUK58" s="5"/>
      <c r="MUL58" s="5"/>
      <c r="MUM58" s="5"/>
      <c r="MUN58" s="5"/>
      <c r="MUO58" s="5"/>
      <c r="MUP58" s="5"/>
      <c r="MUQ58" s="5"/>
      <c r="MUR58" s="5"/>
      <c r="MUS58" s="5"/>
      <c r="MUT58" s="5"/>
      <c r="MUU58" s="5"/>
      <c r="MUV58" s="5"/>
      <c r="MUW58" s="5"/>
      <c r="MUX58" s="5"/>
      <c r="MUY58" s="5"/>
      <c r="MUZ58" s="5"/>
      <c r="MVA58" s="5"/>
      <c r="MVB58" s="5"/>
      <c r="MVC58" s="5"/>
      <c r="MVD58" s="5"/>
      <c r="MVE58" s="5"/>
      <c r="MVF58" s="5"/>
      <c r="MVG58" s="5"/>
      <c r="MVH58" s="5"/>
      <c r="MVI58" s="5"/>
      <c r="MVJ58" s="5"/>
      <c r="MVK58" s="5"/>
      <c r="MVL58" s="5"/>
      <c r="MVM58" s="5"/>
      <c r="MVN58" s="5"/>
      <c r="MVO58" s="5"/>
      <c r="MVP58" s="5"/>
      <c r="MVQ58" s="5"/>
      <c r="MVR58" s="5"/>
      <c r="MVS58" s="5"/>
      <c r="MVT58" s="5"/>
      <c r="MVU58" s="5"/>
      <c r="MVV58" s="5"/>
      <c r="MVW58" s="5"/>
      <c r="MVX58" s="5"/>
      <c r="MVY58" s="5"/>
      <c r="MVZ58" s="5"/>
      <c r="MWA58" s="5"/>
      <c r="MWB58" s="5"/>
      <c r="MWC58" s="5"/>
      <c r="MWD58" s="5"/>
      <c r="MWE58" s="5"/>
      <c r="MWF58" s="5"/>
      <c r="MWG58" s="5"/>
      <c r="MWH58" s="5"/>
      <c r="MWI58" s="5"/>
      <c r="MWJ58" s="5"/>
      <c r="MWK58" s="5"/>
      <c r="MWL58" s="5"/>
      <c r="MWM58" s="5"/>
      <c r="MWN58" s="5"/>
      <c r="MWO58" s="5"/>
      <c r="MWP58" s="5"/>
      <c r="MWQ58" s="5"/>
      <c r="MWR58" s="5"/>
      <c r="MWS58" s="5"/>
      <c r="MWT58" s="5"/>
      <c r="MWU58" s="5"/>
      <c r="MWV58" s="5"/>
      <c r="MWW58" s="5"/>
      <c r="MWX58" s="5"/>
      <c r="MWY58" s="5"/>
      <c r="MWZ58" s="5"/>
      <c r="MXA58" s="5"/>
      <c r="MXB58" s="5"/>
      <c r="MXC58" s="5"/>
      <c r="MXD58" s="5"/>
      <c r="MXE58" s="5"/>
      <c r="MXF58" s="5"/>
      <c r="MXG58" s="5"/>
      <c r="MXH58" s="5"/>
      <c r="MXI58" s="5"/>
      <c r="MXJ58" s="5"/>
      <c r="MXK58" s="5"/>
      <c r="MXL58" s="5"/>
      <c r="MXM58" s="5"/>
      <c r="MXN58" s="5"/>
      <c r="MXO58" s="5"/>
      <c r="MXP58" s="5"/>
      <c r="MXQ58" s="5"/>
      <c r="MXR58" s="5"/>
      <c r="MXS58" s="5"/>
      <c r="MXT58" s="5"/>
      <c r="MXU58" s="5"/>
      <c r="MXV58" s="5"/>
      <c r="MXW58" s="5"/>
      <c r="MXX58" s="5"/>
      <c r="MXY58" s="5"/>
      <c r="MXZ58" s="5"/>
      <c r="MYA58" s="5"/>
      <c r="MYB58" s="5"/>
      <c r="MYC58" s="5"/>
      <c r="MYD58" s="5"/>
      <c r="MYE58" s="5"/>
      <c r="MYF58" s="5"/>
      <c r="MYG58" s="5"/>
      <c r="MYH58" s="5"/>
      <c r="MYI58" s="5"/>
      <c r="MYJ58" s="5"/>
      <c r="MYK58" s="5"/>
      <c r="MYL58" s="5"/>
      <c r="MYM58" s="5"/>
      <c r="MYN58" s="5"/>
      <c r="MYO58" s="5"/>
      <c r="MYP58" s="5"/>
      <c r="MYQ58" s="5"/>
      <c r="MYR58" s="5"/>
      <c r="MYS58" s="5"/>
      <c r="MYT58" s="5"/>
      <c r="MYU58" s="5"/>
      <c r="MYV58" s="5"/>
      <c r="MYW58" s="5"/>
      <c r="MYX58" s="5"/>
      <c r="MYY58" s="5"/>
      <c r="MYZ58" s="5"/>
      <c r="MZA58" s="5"/>
      <c r="MZB58" s="5"/>
      <c r="MZC58" s="5"/>
      <c r="MZD58" s="5"/>
      <c r="MZE58" s="5"/>
      <c r="MZF58" s="5"/>
      <c r="MZG58" s="5"/>
      <c r="MZH58" s="5"/>
      <c r="MZI58" s="5"/>
      <c r="MZJ58" s="5"/>
      <c r="MZK58" s="5"/>
      <c r="MZL58" s="5"/>
      <c r="MZM58" s="5"/>
      <c r="MZN58" s="5"/>
      <c r="MZO58" s="5"/>
      <c r="MZP58" s="5"/>
      <c r="MZQ58" s="5"/>
      <c r="MZR58" s="5"/>
      <c r="MZS58" s="5"/>
      <c r="MZT58" s="5"/>
      <c r="MZU58" s="5"/>
      <c r="MZV58" s="5"/>
      <c r="MZW58" s="5"/>
      <c r="MZX58" s="5"/>
      <c r="MZY58" s="5"/>
      <c r="MZZ58" s="5"/>
      <c r="NAA58" s="5"/>
      <c r="NAB58" s="5"/>
      <c r="NAC58" s="5"/>
      <c r="NAD58" s="5"/>
      <c r="NAE58" s="5"/>
      <c r="NAF58" s="5"/>
      <c r="NAG58" s="5"/>
      <c r="NAH58" s="5"/>
      <c r="NAI58" s="5"/>
      <c r="NAJ58" s="5"/>
      <c r="NAK58" s="5"/>
      <c r="NAL58" s="5"/>
      <c r="NAM58" s="5"/>
      <c r="NAN58" s="5"/>
      <c r="NAO58" s="5"/>
      <c r="NAP58" s="5"/>
      <c r="NAQ58" s="5"/>
      <c r="NAR58" s="5"/>
      <c r="NAS58" s="5"/>
      <c r="NAT58" s="5"/>
      <c r="NAU58" s="5"/>
      <c r="NAV58" s="5"/>
      <c r="NAW58" s="5"/>
      <c r="NAX58" s="5"/>
      <c r="NAY58" s="5"/>
      <c r="NAZ58" s="5"/>
      <c r="NBA58" s="5"/>
      <c r="NBB58" s="5"/>
      <c r="NBC58" s="5"/>
      <c r="NBD58" s="5"/>
      <c r="NBE58" s="5"/>
      <c r="NBF58" s="5"/>
      <c r="NBG58" s="5"/>
      <c r="NBH58" s="5"/>
      <c r="NBI58" s="5"/>
      <c r="NBJ58" s="5"/>
      <c r="NBK58" s="5"/>
      <c r="NBL58" s="5"/>
      <c r="NBM58" s="5"/>
      <c r="NBN58" s="5"/>
      <c r="NBO58" s="5"/>
      <c r="NBP58" s="5"/>
      <c r="NBQ58" s="5"/>
      <c r="NBR58" s="5"/>
      <c r="NBS58" s="5"/>
      <c r="NBT58" s="5"/>
      <c r="NBU58" s="5"/>
      <c r="NBV58" s="5"/>
      <c r="NBW58" s="5"/>
      <c r="NBX58" s="5"/>
      <c r="NBY58" s="5"/>
      <c r="NBZ58" s="5"/>
      <c r="NCA58" s="5"/>
      <c r="NCB58" s="5"/>
      <c r="NCC58" s="5"/>
      <c r="NCD58" s="5"/>
      <c r="NCE58" s="5"/>
      <c r="NCF58" s="5"/>
      <c r="NCG58" s="5"/>
      <c r="NCH58" s="5"/>
      <c r="NCI58" s="5"/>
      <c r="NCJ58" s="5"/>
      <c r="NCK58" s="5"/>
      <c r="NCL58" s="5"/>
      <c r="NCM58" s="5"/>
      <c r="NCN58" s="5"/>
      <c r="NCO58" s="5"/>
      <c r="NCP58" s="5"/>
      <c r="NCQ58" s="5"/>
      <c r="NCR58" s="5"/>
      <c r="NCS58" s="5"/>
      <c r="NCT58" s="5"/>
      <c r="NCU58" s="5"/>
      <c r="NCV58" s="5"/>
      <c r="NCW58" s="5"/>
      <c r="NCX58" s="5"/>
      <c r="NCY58" s="5"/>
      <c r="NCZ58" s="5"/>
      <c r="NDA58" s="5"/>
      <c r="NDB58" s="5"/>
      <c r="NDC58" s="5"/>
      <c r="NDD58" s="5"/>
      <c r="NDE58" s="5"/>
      <c r="NDF58" s="5"/>
      <c r="NDG58" s="5"/>
      <c r="NDH58" s="5"/>
      <c r="NDI58" s="5"/>
      <c r="NDJ58" s="5"/>
      <c r="NDK58" s="5"/>
      <c r="NDL58" s="5"/>
      <c r="NDM58" s="5"/>
      <c r="NDN58" s="5"/>
      <c r="NDO58" s="5"/>
      <c r="NDP58" s="5"/>
      <c r="NDQ58" s="5"/>
      <c r="NDR58" s="5"/>
      <c r="NDS58" s="5"/>
      <c r="NDT58" s="5"/>
      <c r="NDU58" s="5"/>
      <c r="NDV58" s="5"/>
      <c r="NDW58" s="5"/>
      <c r="NDX58" s="5"/>
      <c r="NDY58" s="5"/>
      <c r="NDZ58" s="5"/>
      <c r="NEA58" s="5"/>
      <c r="NEB58" s="5"/>
      <c r="NEC58" s="5"/>
      <c r="NED58" s="5"/>
      <c r="NEE58" s="5"/>
      <c r="NEF58" s="5"/>
      <c r="NEG58" s="5"/>
      <c r="NEH58" s="5"/>
      <c r="NEI58" s="5"/>
      <c r="NEJ58" s="5"/>
      <c r="NEK58" s="5"/>
      <c r="NEL58" s="5"/>
      <c r="NEM58" s="5"/>
      <c r="NEN58" s="5"/>
      <c r="NEO58" s="5"/>
      <c r="NEP58" s="5"/>
      <c r="NEQ58" s="5"/>
      <c r="NER58" s="5"/>
      <c r="NES58" s="5"/>
      <c r="NET58" s="5"/>
      <c r="NEU58" s="5"/>
      <c r="NEV58" s="5"/>
      <c r="NEW58" s="5"/>
      <c r="NEX58" s="5"/>
      <c r="NEY58" s="5"/>
      <c r="NEZ58" s="5"/>
      <c r="NFA58" s="5"/>
      <c r="NFB58" s="5"/>
      <c r="NFC58" s="5"/>
      <c r="NFD58" s="5"/>
      <c r="NFE58" s="5"/>
      <c r="NFF58" s="5"/>
      <c r="NFG58" s="5"/>
      <c r="NFH58" s="5"/>
      <c r="NFI58" s="5"/>
      <c r="NFJ58" s="5"/>
      <c r="NFK58" s="5"/>
      <c r="NFL58" s="5"/>
      <c r="NFM58" s="5"/>
      <c r="NFN58" s="5"/>
      <c r="NFO58" s="5"/>
      <c r="NFP58" s="5"/>
      <c r="NFQ58" s="5"/>
      <c r="NFR58" s="5"/>
      <c r="NFS58" s="5"/>
      <c r="NFT58" s="5"/>
      <c r="NFU58" s="5"/>
      <c r="NFV58" s="5"/>
      <c r="NFW58" s="5"/>
      <c r="NFX58" s="5"/>
      <c r="NFY58" s="5"/>
      <c r="NFZ58" s="5"/>
      <c r="NGA58" s="5"/>
      <c r="NGB58" s="5"/>
      <c r="NGC58" s="5"/>
      <c r="NGD58" s="5"/>
      <c r="NGE58" s="5"/>
      <c r="NGF58" s="5"/>
      <c r="NGG58" s="5"/>
      <c r="NGH58" s="5"/>
      <c r="NGI58" s="5"/>
      <c r="NGJ58" s="5"/>
      <c r="NGK58" s="5"/>
      <c r="NGL58" s="5"/>
      <c r="NGM58" s="5"/>
      <c r="NGN58" s="5"/>
      <c r="NGO58" s="5"/>
      <c r="NGP58" s="5"/>
      <c r="NGQ58" s="5"/>
      <c r="NGR58" s="5"/>
      <c r="NGS58" s="5"/>
      <c r="NGT58" s="5"/>
      <c r="NGU58" s="5"/>
      <c r="NGV58" s="5"/>
      <c r="NGW58" s="5"/>
      <c r="NGX58" s="5"/>
      <c r="NGY58" s="5"/>
      <c r="NGZ58" s="5"/>
      <c r="NHA58" s="5"/>
      <c r="NHB58" s="5"/>
      <c r="NHC58" s="5"/>
      <c r="NHD58" s="5"/>
      <c r="NHE58" s="5"/>
      <c r="NHF58" s="5"/>
      <c r="NHG58" s="5"/>
      <c r="NHH58" s="5"/>
      <c r="NHI58" s="5"/>
      <c r="NHJ58" s="5"/>
      <c r="NHK58" s="5"/>
      <c r="NHL58" s="5"/>
      <c r="NHM58" s="5"/>
      <c r="NHN58" s="5"/>
      <c r="NHO58" s="5"/>
      <c r="NHP58" s="5"/>
      <c r="NHQ58" s="5"/>
      <c r="NHR58" s="5"/>
      <c r="NHS58" s="5"/>
      <c r="NHT58" s="5"/>
      <c r="NHU58" s="5"/>
      <c r="NHV58" s="5"/>
      <c r="NHW58" s="5"/>
      <c r="NHX58" s="5"/>
      <c r="NHY58" s="5"/>
      <c r="NHZ58" s="5"/>
      <c r="NIA58" s="5"/>
      <c r="NIB58" s="5"/>
      <c r="NIC58" s="5"/>
      <c r="NID58" s="5"/>
      <c r="NIE58" s="5"/>
      <c r="NIF58" s="5"/>
      <c r="NIG58" s="5"/>
      <c r="NIH58" s="5"/>
      <c r="NII58" s="5"/>
      <c r="NIJ58" s="5"/>
      <c r="NIK58" s="5"/>
      <c r="NIL58" s="5"/>
      <c r="NIM58" s="5"/>
      <c r="NIN58" s="5"/>
      <c r="NIO58" s="5"/>
      <c r="NIP58" s="5"/>
      <c r="NIQ58" s="5"/>
      <c r="NIR58" s="5"/>
      <c r="NIS58" s="5"/>
      <c r="NIT58" s="5"/>
      <c r="NIU58" s="5"/>
      <c r="NIV58" s="5"/>
      <c r="NIW58" s="5"/>
      <c r="NIX58" s="5"/>
      <c r="NIY58" s="5"/>
      <c r="NIZ58" s="5"/>
      <c r="NJA58" s="5"/>
      <c r="NJB58" s="5"/>
      <c r="NJC58" s="5"/>
      <c r="NJD58" s="5"/>
      <c r="NJE58" s="5"/>
      <c r="NJF58" s="5"/>
      <c r="NJG58" s="5"/>
      <c r="NJH58" s="5"/>
      <c r="NJI58" s="5"/>
      <c r="NJJ58" s="5"/>
      <c r="NJK58" s="5"/>
      <c r="NJL58" s="5"/>
      <c r="NJM58" s="5"/>
      <c r="NJN58" s="5"/>
      <c r="NJO58" s="5"/>
      <c r="NJP58" s="5"/>
      <c r="NJQ58" s="5"/>
      <c r="NJR58" s="5"/>
      <c r="NJS58" s="5"/>
      <c r="NJT58" s="5"/>
      <c r="NJU58" s="5"/>
      <c r="NJV58" s="5"/>
      <c r="NJW58" s="5"/>
      <c r="NJX58" s="5"/>
      <c r="NJY58" s="5"/>
      <c r="NJZ58" s="5"/>
      <c r="NKA58" s="5"/>
      <c r="NKB58" s="5"/>
      <c r="NKC58" s="5"/>
      <c r="NKD58" s="5"/>
      <c r="NKE58" s="5"/>
      <c r="NKF58" s="5"/>
      <c r="NKG58" s="5"/>
      <c r="NKH58" s="5"/>
      <c r="NKI58" s="5"/>
      <c r="NKJ58" s="5"/>
      <c r="NKK58" s="5"/>
      <c r="NKL58" s="5"/>
      <c r="NKM58" s="5"/>
      <c r="NKN58" s="5"/>
      <c r="NKO58" s="5"/>
      <c r="NKP58" s="5"/>
      <c r="NKQ58" s="5"/>
      <c r="NKR58" s="5"/>
      <c r="NKS58" s="5"/>
      <c r="NKT58" s="5"/>
      <c r="NKU58" s="5"/>
      <c r="NKV58" s="5"/>
      <c r="NKW58" s="5"/>
      <c r="NKX58" s="5"/>
      <c r="NKY58" s="5"/>
      <c r="NKZ58" s="5"/>
      <c r="NLA58" s="5"/>
      <c r="NLB58" s="5"/>
      <c r="NLC58" s="5"/>
      <c r="NLD58" s="5"/>
      <c r="NLE58" s="5"/>
      <c r="NLF58" s="5"/>
      <c r="NLG58" s="5"/>
      <c r="NLH58" s="5"/>
      <c r="NLI58" s="5"/>
      <c r="NLJ58" s="5"/>
      <c r="NLK58" s="5"/>
      <c r="NLL58" s="5"/>
      <c r="NLM58" s="5"/>
      <c r="NLN58" s="5"/>
      <c r="NLO58" s="5"/>
      <c r="NLP58" s="5"/>
      <c r="NLQ58" s="5"/>
      <c r="NLR58" s="5"/>
      <c r="NLS58" s="5"/>
      <c r="NLT58" s="5"/>
      <c r="NLU58" s="5"/>
      <c r="NLV58" s="5"/>
      <c r="NLW58" s="5"/>
      <c r="NLX58" s="5"/>
      <c r="NLY58" s="5"/>
      <c r="NLZ58" s="5"/>
      <c r="NMA58" s="5"/>
      <c r="NMB58" s="5"/>
      <c r="NMC58" s="5"/>
      <c r="NMD58" s="5"/>
      <c r="NME58" s="5"/>
      <c r="NMF58" s="5"/>
      <c r="NMG58" s="5"/>
      <c r="NMH58" s="5"/>
      <c r="NMI58" s="5"/>
      <c r="NMJ58" s="5"/>
      <c r="NMK58" s="5"/>
      <c r="NML58" s="5"/>
      <c r="NMM58" s="5"/>
      <c r="NMN58" s="5"/>
      <c r="NMO58" s="5"/>
      <c r="NMP58" s="5"/>
      <c r="NMQ58" s="5"/>
      <c r="NMR58" s="5"/>
      <c r="NMS58" s="5"/>
      <c r="NMT58" s="5"/>
      <c r="NMU58" s="5"/>
      <c r="NMV58" s="5"/>
      <c r="NMW58" s="5"/>
      <c r="NMX58" s="5"/>
      <c r="NMY58" s="5"/>
      <c r="NMZ58" s="5"/>
      <c r="NNA58" s="5"/>
      <c r="NNB58" s="5"/>
      <c r="NNC58" s="5"/>
      <c r="NND58" s="5"/>
      <c r="NNE58" s="5"/>
      <c r="NNF58" s="5"/>
      <c r="NNG58" s="5"/>
      <c r="NNH58" s="5"/>
      <c r="NNI58" s="5"/>
      <c r="NNJ58" s="5"/>
      <c r="NNK58" s="5"/>
      <c r="NNL58" s="5"/>
      <c r="NNM58" s="5"/>
      <c r="NNN58" s="5"/>
      <c r="NNO58" s="5"/>
      <c r="NNP58" s="5"/>
      <c r="NNQ58" s="5"/>
      <c r="NNR58" s="5"/>
      <c r="NNS58" s="5"/>
      <c r="NNT58" s="5"/>
      <c r="NNU58" s="5"/>
      <c r="NNV58" s="5"/>
      <c r="NNW58" s="5"/>
      <c r="NNX58" s="5"/>
      <c r="NNY58" s="5"/>
      <c r="NNZ58" s="5"/>
      <c r="NOA58" s="5"/>
      <c r="NOB58" s="5"/>
      <c r="NOC58" s="5"/>
      <c r="NOD58" s="5"/>
      <c r="NOE58" s="5"/>
      <c r="NOF58" s="5"/>
      <c r="NOG58" s="5"/>
      <c r="NOH58" s="5"/>
      <c r="NOI58" s="5"/>
      <c r="NOJ58" s="5"/>
      <c r="NOK58" s="5"/>
      <c r="NOL58" s="5"/>
      <c r="NOM58" s="5"/>
      <c r="NON58" s="5"/>
      <c r="NOO58" s="5"/>
      <c r="NOP58" s="5"/>
      <c r="NOQ58" s="5"/>
      <c r="NOR58" s="5"/>
      <c r="NOS58" s="5"/>
      <c r="NOT58" s="5"/>
      <c r="NOU58" s="5"/>
      <c r="NOV58" s="5"/>
      <c r="NOW58" s="5"/>
      <c r="NOX58" s="5"/>
      <c r="NOY58" s="5"/>
      <c r="NOZ58" s="5"/>
      <c r="NPA58" s="5"/>
      <c r="NPB58" s="5"/>
      <c r="NPC58" s="5"/>
      <c r="NPD58" s="5"/>
      <c r="NPE58" s="5"/>
      <c r="NPF58" s="5"/>
      <c r="NPG58" s="5"/>
      <c r="NPH58" s="5"/>
      <c r="NPI58" s="5"/>
      <c r="NPJ58" s="5"/>
      <c r="NPK58" s="5"/>
      <c r="NPL58" s="5"/>
      <c r="NPM58" s="5"/>
      <c r="NPN58" s="5"/>
      <c r="NPO58" s="5"/>
      <c r="NPP58" s="5"/>
      <c r="NPQ58" s="5"/>
      <c r="NPR58" s="5"/>
      <c r="NPS58" s="5"/>
      <c r="NPT58" s="5"/>
      <c r="NPU58" s="5"/>
      <c r="NPV58" s="5"/>
      <c r="NPW58" s="5"/>
      <c r="NPX58" s="5"/>
      <c r="NPY58" s="5"/>
      <c r="NPZ58" s="5"/>
      <c r="NQA58" s="5"/>
      <c r="NQB58" s="5"/>
      <c r="NQC58" s="5"/>
      <c r="NQD58" s="5"/>
      <c r="NQE58" s="5"/>
      <c r="NQF58" s="5"/>
      <c r="NQG58" s="5"/>
      <c r="NQH58" s="5"/>
      <c r="NQI58" s="5"/>
      <c r="NQJ58" s="5"/>
      <c r="NQK58" s="5"/>
      <c r="NQL58" s="5"/>
      <c r="NQM58" s="5"/>
      <c r="NQN58" s="5"/>
      <c r="NQO58" s="5"/>
      <c r="NQP58" s="5"/>
      <c r="NQQ58" s="5"/>
      <c r="NQR58" s="5"/>
      <c r="NQS58" s="5"/>
      <c r="NQT58" s="5"/>
      <c r="NQU58" s="5"/>
      <c r="NQV58" s="5"/>
      <c r="NQW58" s="5"/>
      <c r="NQX58" s="5"/>
      <c r="NQY58" s="5"/>
      <c r="NQZ58" s="5"/>
      <c r="NRA58" s="5"/>
      <c r="NRB58" s="5"/>
      <c r="NRC58" s="5"/>
      <c r="NRD58" s="5"/>
      <c r="NRE58" s="5"/>
      <c r="NRF58" s="5"/>
      <c r="NRG58" s="5"/>
      <c r="NRH58" s="5"/>
      <c r="NRI58" s="5"/>
      <c r="NRJ58" s="5"/>
      <c r="NRK58" s="5"/>
      <c r="NRL58" s="5"/>
      <c r="NRM58" s="5"/>
      <c r="NRN58" s="5"/>
      <c r="NRO58" s="5"/>
      <c r="NRP58" s="5"/>
      <c r="NRQ58" s="5"/>
      <c r="NRR58" s="5"/>
      <c r="NRS58" s="5"/>
      <c r="NRT58" s="5"/>
      <c r="NRU58" s="5"/>
      <c r="NRV58" s="5"/>
      <c r="NRW58" s="5"/>
      <c r="NRX58" s="5"/>
      <c r="NRY58" s="5"/>
      <c r="NRZ58" s="5"/>
      <c r="NSA58" s="5"/>
      <c r="NSB58" s="5"/>
      <c r="NSC58" s="5"/>
      <c r="NSD58" s="5"/>
      <c r="NSE58" s="5"/>
      <c r="NSF58" s="5"/>
      <c r="NSG58" s="5"/>
      <c r="NSH58" s="5"/>
      <c r="NSI58" s="5"/>
      <c r="NSJ58" s="5"/>
      <c r="NSK58" s="5"/>
      <c r="NSL58" s="5"/>
      <c r="NSM58" s="5"/>
      <c r="NSN58" s="5"/>
      <c r="NSO58" s="5"/>
      <c r="NSP58" s="5"/>
      <c r="NSQ58" s="5"/>
      <c r="NSR58" s="5"/>
      <c r="NSS58" s="5"/>
      <c r="NST58" s="5"/>
      <c r="NSU58" s="5"/>
      <c r="NSV58" s="5"/>
      <c r="NSW58" s="5"/>
      <c r="NSX58" s="5"/>
      <c r="NSY58" s="5"/>
      <c r="NSZ58" s="5"/>
      <c r="NTA58" s="5"/>
      <c r="NTB58" s="5"/>
      <c r="NTC58" s="5"/>
      <c r="NTD58" s="5"/>
      <c r="NTE58" s="5"/>
      <c r="NTF58" s="5"/>
      <c r="NTG58" s="5"/>
      <c r="NTH58" s="5"/>
      <c r="NTI58" s="5"/>
      <c r="NTJ58" s="5"/>
      <c r="NTK58" s="5"/>
      <c r="NTL58" s="5"/>
      <c r="NTM58" s="5"/>
      <c r="NTN58" s="5"/>
      <c r="NTO58" s="5"/>
      <c r="NTP58" s="5"/>
      <c r="NTQ58" s="5"/>
      <c r="NTR58" s="5"/>
      <c r="NTS58" s="5"/>
      <c r="NTT58" s="5"/>
      <c r="NTU58" s="5"/>
      <c r="NTV58" s="5"/>
      <c r="NTW58" s="5"/>
      <c r="NTX58" s="5"/>
      <c r="NTY58" s="5"/>
      <c r="NTZ58" s="5"/>
      <c r="NUA58" s="5"/>
      <c r="NUB58" s="5"/>
      <c r="NUC58" s="5"/>
      <c r="NUD58" s="5"/>
      <c r="NUE58" s="5"/>
      <c r="NUF58" s="5"/>
      <c r="NUG58" s="5"/>
      <c r="NUH58" s="5"/>
      <c r="NUI58" s="5"/>
      <c r="NUJ58" s="5"/>
      <c r="NUK58" s="5"/>
      <c r="NUL58" s="5"/>
      <c r="NUM58" s="5"/>
      <c r="NUN58" s="5"/>
      <c r="NUO58" s="5"/>
      <c r="NUP58" s="5"/>
      <c r="NUQ58" s="5"/>
      <c r="NUR58" s="5"/>
      <c r="NUS58" s="5"/>
      <c r="NUT58" s="5"/>
      <c r="NUU58" s="5"/>
      <c r="NUV58" s="5"/>
      <c r="NUW58" s="5"/>
      <c r="NUX58" s="5"/>
      <c r="NUY58" s="5"/>
      <c r="NUZ58" s="5"/>
      <c r="NVA58" s="5"/>
      <c r="NVB58" s="5"/>
      <c r="NVC58" s="5"/>
      <c r="NVD58" s="5"/>
      <c r="NVE58" s="5"/>
      <c r="NVF58" s="5"/>
      <c r="NVG58" s="5"/>
      <c r="NVH58" s="5"/>
      <c r="NVI58" s="5"/>
      <c r="NVJ58" s="5"/>
      <c r="NVK58" s="5"/>
      <c r="NVL58" s="5"/>
      <c r="NVM58" s="5"/>
      <c r="NVN58" s="5"/>
      <c r="NVO58" s="5"/>
      <c r="NVP58" s="5"/>
      <c r="NVQ58" s="5"/>
      <c r="NVR58" s="5"/>
      <c r="NVS58" s="5"/>
      <c r="NVT58" s="5"/>
      <c r="NVU58" s="5"/>
      <c r="NVV58" s="5"/>
      <c r="NVW58" s="5"/>
      <c r="NVX58" s="5"/>
      <c r="NVY58" s="5"/>
      <c r="NVZ58" s="5"/>
      <c r="NWA58" s="5"/>
      <c r="NWB58" s="5"/>
      <c r="NWC58" s="5"/>
      <c r="NWD58" s="5"/>
      <c r="NWE58" s="5"/>
      <c r="NWF58" s="5"/>
      <c r="NWG58" s="5"/>
      <c r="NWH58" s="5"/>
      <c r="NWI58" s="5"/>
      <c r="NWJ58" s="5"/>
      <c r="NWK58" s="5"/>
      <c r="NWL58" s="5"/>
      <c r="NWM58" s="5"/>
      <c r="NWN58" s="5"/>
      <c r="NWO58" s="5"/>
      <c r="NWP58" s="5"/>
      <c r="NWQ58" s="5"/>
      <c r="NWR58" s="5"/>
      <c r="NWS58" s="5"/>
      <c r="NWT58" s="5"/>
      <c r="NWU58" s="5"/>
      <c r="NWV58" s="5"/>
      <c r="NWW58" s="5"/>
      <c r="NWX58" s="5"/>
      <c r="NWY58" s="5"/>
      <c r="NWZ58" s="5"/>
      <c r="NXA58" s="5"/>
      <c r="NXB58" s="5"/>
      <c r="NXC58" s="5"/>
      <c r="NXD58" s="5"/>
      <c r="NXE58" s="5"/>
      <c r="NXF58" s="5"/>
      <c r="NXG58" s="5"/>
      <c r="NXH58" s="5"/>
      <c r="NXI58" s="5"/>
      <c r="NXJ58" s="5"/>
      <c r="NXK58" s="5"/>
      <c r="NXL58" s="5"/>
      <c r="NXM58" s="5"/>
      <c r="NXN58" s="5"/>
      <c r="NXO58" s="5"/>
      <c r="NXP58" s="5"/>
      <c r="NXQ58" s="5"/>
      <c r="NXR58" s="5"/>
      <c r="NXS58" s="5"/>
      <c r="NXT58" s="5"/>
      <c r="NXU58" s="5"/>
      <c r="NXV58" s="5"/>
      <c r="NXW58" s="5"/>
      <c r="NXX58" s="5"/>
      <c r="NXY58" s="5"/>
      <c r="NXZ58" s="5"/>
      <c r="NYA58" s="5"/>
      <c r="NYB58" s="5"/>
      <c r="NYC58" s="5"/>
      <c r="NYD58" s="5"/>
      <c r="NYE58" s="5"/>
      <c r="NYF58" s="5"/>
      <c r="NYG58" s="5"/>
      <c r="NYH58" s="5"/>
      <c r="NYI58" s="5"/>
      <c r="NYJ58" s="5"/>
      <c r="NYK58" s="5"/>
      <c r="NYL58" s="5"/>
      <c r="NYM58" s="5"/>
      <c r="NYN58" s="5"/>
      <c r="NYO58" s="5"/>
      <c r="NYP58" s="5"/>
      <c r="NYQ58" s="5"/>
      <c r="NYR58" s="5"/>
      <c r="NYS58" s="5"/>
      <c r="NYT58" s="5"/>
      <c r="NYU58" s="5"/>
      <c r="NYV58" s="5"/>
      <c r="NYW58" s="5"/>
      <c r="NYX58" s="5"/>
      <c r="NYY58" s="5"/>
      <c r="NYZ58" s="5"/>
      <c r="NZA58" s="5"/>
      <c r="NZB58" s="5"/>
      <c r="NZC58" s="5"/>
      <c r="NZD58" s="5"/>
      <c r="NZE58" s="5"/>
      <c r="NZF58" s="5"/>
      <c r="NZG58" s="5"/>
      <c r="NZH58" s="5"/>
      <c r="NZI58" s="5"/>
      <c r="NZJ58" s="5"/>
      <c r="NZK58" s="5"/>
      <c r="NZL58" s="5"/>
      <c r="NZM58" s="5"/>
      <c r="NZN58" s="5"/>
      <c r="NZO58" s="5"/>
      <c r="NZP58" s="5"/>
      <c r="NZQ58" s="5"/>
      <c r="NZR58" s="5"/>
      <c r="NZS58" s="5"/>
      <c r="NZT58" s="5"/>
      <c r="NZU58" s="5"/>
      <c r="NZV58" s="5"/>
      <c r="NZW58" s="5"/>
      <c r="NZX58" s="5"/>
      <c r="NZY58" s="5"/>
      <c r="NZZ58" s="5"/>
      <c r="OAA58" s="5"/>
      <c r="OAB58" s="5"/>
      <c r="OAC58" s="5"/>
      <c r="OAD58" s="5"/>
      <c r="OAE58" s="5"/>
      <c r="OAF58" s="5"/>
      <c r="OAG58" s="5"/>
      <c r="OAH58" s="5"/>
      <c r="OAI58" s="5"/>
      <c r="OAJ58" s="5"/>
      <c r="OAK58" s="5"/>
      <c r="OAL58" s="5"/>
      <c r="OAM58" s="5"/>
      <c r="OAN58" s="5"/>
      <c r="OAO58" s="5"/>
      <c r="OAP58" s="5"/>
      <c r="OAQ58" s="5"/>
      <c r="OAR58" s="5"/>
      <c r="OAS58" s="5"/>
      <c r="OAT58" s="5"/>
      <c r="OAU58" s="5"/>
      <c r="OAV58" s="5"/>
      <c r="OAW58" s="5"/>
      <c r="OAX58" s="5"/>
      <c r="OAY58" s="5"/>
      <c r="OAZ58" s="5"/>
      <c r="OBA58" s="5"/>
      <c r="OBB58" s="5"/>
      <c r="OBC58" s="5"/>
      <c r="OBD58" s="5"/>
      <c r="OBE58" s="5"/>
      <c r="OBF58" s="5"/>
      <c r="OBG58" s="5"/>
      <c r="OBH58" s="5"/>
      <c r="OBI58" s="5"/>
      <c r="OBJ58" s="5"/>
      <c r="OBK58" s="5"/>
      <c r="OBL58" s="5"/>
      <c r="OBM58" s="5"/>
      <c r="OBN58" s="5"/>
      <c r="OBO58" s="5"/>
      <c r="OBP58" s="5"/>
      <c r="OBQ58" s="5"/>
      <c r="OBR58" s="5"/>
      <c r="OBS58" s="5"/>
      <c r="OBT58" s="5"/>
      <c r="OBU58" s="5"/>
      <c r="OBV58" s="5"/>
      <c r="OBW58" s="5"/>
      <c r="OBX58" s="5"/>
      <c r="OBY58" s="5"/>
      <c r="OBZ58" s="5"/>
      <c r="OCA58" s="5"/>
      <c r="OCB58" s="5"/>
      <c r="OCC58" s="5"/>
      <c r="OCD58" s="5"/>
      <c r="OCE58" s="5"/>
      <c r="OCF58" s="5"/>
      <c r="OCG58" s="5"/>
      <c r="OCH58" s="5"/>
      <c r="OCI58" s="5"/>
      <c r="OCJ58" s="5"/>
      <c r="OCK58" s="5"/>
      <c r="OCL58" s="5"/>
      <c r="OCM58" s="5"/>
      <c r="OCN58" s="5"/>
      <c r="OCO58" s="5"/>
      <c r="OCP58" s="5"/>
      <c r="OCQ58" s="5"/>
      <c r="OCR58" s="5"/>
      <c r="OCS58" s="5"/>
      <c r="OCT58" s="5"/>
      <c r="OCU58" s="5"/>
      <c r="OCV58" s="5"/>
      <c r="OCW58" s="5"/>
      <c r="OCX58" s="5"/>
      <c r="OCY58" s="5"/>
      <c r="OCZ58" s="5"/>
      <c r="ODA58" s="5"/>
      <c r="ODB58" s="5"/>
      <c r="ODC58" s="5"/>
      <c r="ODD58" s="5"/>
      <c r="ODE58" s="5"/>
      <c r="ODF58" s="5"/>
      <c r="ODG58" s="5"/>
      <c r="ODH58" s="5"/>
      <c r="ODI58" s="5"/>
      <c r="ODJ58" s="5"/>
      <c r="ODK58" s="5"/>
      <c r="ODL58" s="5"/>
      <c r="ODM58" s="5"/>
      <c r="ODN58" s="5"/>
      <c r="ODO58" s="5"/>
      <c r="ODP58" s="5"/>
      <c r="ODQ58" s="5"/>
      <c r="ODR58" s="5"/>
      <c r="ODS58" s="5"/>
      <c r="ODT58" s="5"/>
      <c r="ODU58" s="5"/>
      <c r="ODV58" s="5"/>
      <c r="ODW58" s="5"/>
      <c r="ODX58" s="5"/>
      <c r="ODY58" s="5"/>
      <c r="ODZ58" s="5"/>
      <c r="OEA58" s="5"/>
      <c r="OEB58" s="5"/>
      <c r="OEC58" s="5"/>
      <c r="OED58" s="5"/>
      <c r="OEE58" s="5"/>
      <c r="OEF58" s="5"/>
      <c r="OEG58" s="5"/>
      <c r="OEH58" s="5"/>
      <c r="OEI58" s="5"/>
      <c r="OEJ58" s="5"/>
      <c r="OEK58" s="5"/>
      <c r="OEL58" s="5"/>
      <c r="OEM58" s="5"/>
      <c r="OEN58" s="5"/>
      <c r="OEO58" s="5"/>
      <c r="OEP58" s="5"/>
      <c r="OEQ58" s="5"/>
      <c r="OER58" s="5"/>
      <c r="OES58" s="5"/>
      <c r="OET58" s="5"/>
      <c r="OEU58" s="5"/>
      <c r="OEV58" s="5"/>
      <c r="OEW58" s="5"/>
      <c r="OEX58" s="5"/>
      <c r="OEY58" s="5"/>
      <c r="OEZ58" s="5"/>
      <c r="OFA58" s="5"/>
      <c r="OFB58" s="5"/>
      <c r="OFC58" s="5"/>
      <c r="OFD58" s="5"/>
      <c r="OFE58" s="5"/>
      <c r="OFF58" s="5"/>
      <c r="OFG58" s="5"/>
      <c r="OFH58" s="5"/>
      <c r="OFI58" s="5"/>
      <c r="OFJ58" s="5"/>
      <c r="OFK58" s="5"/>
      <c r="OFL58" s="5"/>
      <c r="OFM58" s="5"/>
      <c r="OFN58" s="5"/>
      <c r="OFO58" s="5"/>
      <c r="OFP58" s="5"/>
      <c r="OFQ58" s="5"/>
      <c r="OFR58" s="5"/>
      <c r="OFS58" s="5"/>
      <c r="OFT58" s="5"/>
      <c r="OFU58" s="5"/>
      <c r="OFV58" s="5"/>
      <c r="OFW58" s="5"/>
      <c r="OFX58" s="5"/>
      <c r="OFY58" s="5"/>
      <c r="OFZ58" s="5"/>
      <c r="OGA58" s="5"/>
      <c r="OGB58" s="5"/>
      <c r="OGC58" s="5"/>
      <c r="OGD58" s="5"/>
      <c r="OGE58" s="5"/>
      <c r="OGF58" s="5"/>
      <c r="OGG58" s="5"/>
      <c r="OGH58" s="5"/>
      <c r="OGI58" s="5"/>
      <c r="OGJ58" s="5"/>
      <c r="OGK58" s="5"/>
      <c r="OGL58" s="5"/>
      <c r="OGM58" s="5"/>
      <c r="OGN58" s="5"/>
      <c r="OGO58" s="5"/>
      <c r="OGP58" s="5"/>
      <c r="OGQ58" s="5"/>
      <c r="OGR58" s="5"/>
      <c r="OGS58" s="5"/>
      <c r="OGT58" s="5"/>
      <c r="OGU58" s="5"/>
      <c r="OGV58" s="5"/>
      <c r="OGW58" s="5"/>
      <c r="OGX58" s="5"/>
      <c r="OGY58" s="5"/>
      <c r="OGZ58" s="5"/>
      <c r="OHA58" s="5"/>
      <c r="OHB58" s="5"/>
      <c r="OHC58" s="5"/>
      <c r="OHD58" s="5"/>
      <c r="OHE58" s="5"/>
      <c r="OHF58" s="5"/>
      <c r="OHG58" s="5"/>
      <c r="OHH58" s="5"/>
      <c r="OHI58" s="5"/>
      <c r="OHJ58" s="5"/>
      <c r="OHK58" s="5"/>
      <c r="OHL58" s="5"/>
      <c r="OHM58" s="5"/>
      <c r="OHN58" s="5"/>
      <c r="OHO58" s="5"/>
      <c r="OHP58" s="5"/>
      <c r="OHQ58" s="5"/>
      <c r="OHR58" s="5"/>
      <c r="OHS58" s="5"/>
      <c r="OHT58" s="5"/>
      <c r="OHU58" s="5"/>
      <c r="OHV58" s="5"/>
      <c r="OHW58" s="5"/>
      <c r="OHX58" s="5"/>
      <c r="OHY58" s="5"/>
      <c r="OHZ58" s="5"/>
      <c r="OIA58" s="5"/>
      <c r="OIB58" s="5"/>
      <c r="OIC58" s="5"/>
      <c r="OID58" s="5"/>
      <c r="OIE58" s="5"/>
      <c r="OIF58" s="5"/>
      <c r="OIG58" s="5"/>
      <c r="OIH58" s="5"/>
      <c r="OII58" s="5"/>
      <c r="OIJ58" s="5"/>
      <c r="OIK58" s="5"/>
      <c r="OIL58" s="5"/>
      <c r="OIM58" s="5"/>
      <c r="OIN58" s="5"/>
      <c r="OIO58" s="5"/>
      <c r="OIP58" s="5"/>
      <c r="OIQ58" s="5"/>
      <c r="OIR58" s="5"/>
      <c r="OIS58" s="5"/>
      <c r="OIT58" s="5"/>
      <c r="OIU58" s="5"/>
      <c r="OIV58" s="5"/>
      <c r="OIW58" s="5"/>
      <c r="OIX58" s="5"/>
      <c r="OIY58" s="5"/>
      <c r="OIZ58" s="5"/>
      <c r="OJA58" s="5"/>
      <c r="OJB58" s="5"/>
      <c r="OJC58" s="5"/>
      <c r="OJD58" s="5"/>
      <c r="OJE58" s="5"/>
      <c r="OJF58" s="5"/>
      <c r="OJG58" s="5"/>
      <c r="OJH58" s="5"/>
      <c r="OJI58" s="5"/>
      <c r="OJJ58" s="5"/>
      <c r="OJK58" s="5"/>
      <c r="OJL58" s="5"/>
      <c r="OJM58" s="5"/>
      <c r="OJN58" s="5"/>
      <c r="OJO58" s="5"/>
      <c r="OJP58" s="5"/>
      <c r="OJQ58" s="5"/>
      <c r="OJR58" s="5"/>
      <c r="OJS58" s="5"/>
      <c r="OJT58" s="5"/>
      <c r="OJU58" s="5"/>
      <c r="OJV58" s="5"/>
      <c r="OJW58" s="5"/>
      <c r="OJX58" s="5"/>
      <c r="OJY58" s="5"/>
      <c r="OJZ58" s="5"/>
      <c r="OKA58" s="5"/>
      <c r="OKB58" s="5"/>
      <c r="OKC58" s="5"/>
      <c r="OKD58" s="5"/>
      <c r="OKE58" s="5"/>
      <c r="OKF58" s="5"/>
      <c r="OKG58" s="5"/>
      <c r="OKH58" s="5"/>
      <c r="OKI58" s="5"/>
      <c r="OKJ58" s="5"/>
      <c r="OKK58" s="5"/>
      <c r="OKL58" s="5"/>
      <c r="OKM58" s="5"/>
      <c r="OKN58" s="5"/>
      <c r="OKO58" s="5"/>
      <c r="OKP58" s="5"/>
      <c r="OKQ58" s="5"/>
      <c r="OKR58" s="5"/>
      <c r="OKS58" s="5"/>
      <c r="OKT58" s="5"/>
      <c r="OKU58" s="5"/>
      <c r="OKV58" s="5"/>
      <c r="OKW58" s="5"/>
      <c r="OKX58" s="5"/>
      <c r="OKY58" s="5"/>
      <c r="OKZ58" s="5"/>
      <c r="OLA58" s="5"/>
      <c r="OLB58" s="5"/>
      <c r="OLC58" s="5"/>
      <c r="OLD58" s="5"/>
      <c r="OLE58" s="5"/>
      <c r="OLF58" s="5"/>
      <c r="OLG58" s="5"/>
      <c r="OLH58" s="5"/>
      <c r="OLI58" s="5"/>
      <c r="OLJ58" s="5"/>
      <c r="OLK58" s="5"/>
      <c r="OLL58" s="5"/>
      <c r="OLM58" s="5"/>
      <c r="OLN58" s="5"/>
      <c r="OLO58" s="5"/>
      <c r="OLP58" s="5"/>
      <c r="OLQ58" s="5"/>
      <c r="OLR58" s="5"/>
      <c r="OLS58" s="5"/>
      <c r="OLT58" s="5"/>
      <c r="OLU58" s="5"/>
      <c r="OLV58" s="5"/>
      <c r="OLW58" s="5"/>
      <c r="OLX58" s="5"/>
      <c r="OLY58" s="5"/>
      <c r="OLZ58" s="5"/>
      <c r="OMA58" s="5"/>
      <c r="OMB58" s="5"/>
      <c r="OMC58" s="5"/>
      <c r="OMD58" s="5"/>
      <c r="OME58" s="5"/>
      <c r="OMF58" s="5"/>
      <c r="OMG58" s="5"/>
      <c r="OMH58" s="5"/>
      <c r="OMI58" s="5"/>
      <c r="OMJ58" s="5"/>
      <c r="OMK58" s="5"/>
      <c r="OML58" s="5"/>
      <c r="OMM58" s="5"/>
      <c r="OMN58" s="5"/>
      <c r="OMO58" s="5"/>
      <c r="OMP58" s="5"/>
      <c r="OMQ58" s="5"/>
      <c r="OMR58" s="5"/>
      <c r="OMS58" s="5"/>
      <c r="OMT58" s="5"/>
      <c r="OMU58" s="5"/>
      <c r="OMV58" s="5"/>
      <c r="OMW58" s="5"/>
      <c r="OMX58" s="5"/>
      <c r="OMY58" s="5"/>
      <c r="OMZ58" s="5"/>
      <c r="ONA58" s="5"/>
      <c r="ONB58" s="5"/>
      <c r="ONC58" s="5"/>
      <c r="OND58" s="5"/>
      <c r="ONE58" s="5"/>
      <c r="ONF58" s="5"/>
      <c r="ONG58" s="5"/>
      <c r="ONH58" s="5"/>
      <c r="ONI58" s="5"/>
      <c r="ONJ58" s="5"/>
      <c r="ONK58" s="5"/>
      <c r="ONL58" s="5"/>
      <c r="ONM58" s="5"/>
      <c r="ONN58" s="5"/>
      <c r="ONO58" s="5"/>
      <c r="ONP58" s="5"/>
      <c r="ONQ58" s="5"/>
      <c r="ONR58" s="5"/>
      <c r="ONS58" s="5"/>
      <c r="ONT58" s="5"/>
      <c r="ONU58" s="5"/>
      <c r="ONV58" s="5"/>
      <c r="ONW58" s="5"/>
      <c r="ONX58" s="5"/>
      <c r="ONY58" s="5"/>
      <c r="ONZ58" s="5"/>
      <c r="OOA58" s="5"/>
      <c r="OOB58" s="5"/>
      <c r="OOC58" s="5"/>
      <c r="OOD58" s="5"/>
      <c r="OOE58" s="5"/>
      <c r="OOF58" s="5"/>
      <c r="OOG58" s="5"/>
      <c r="OOH58" s="5"/>
      <c r="OOI58" s="5"/>
      <c r="OOJ58" s="5"/>
      <c r="OOK58" s="5"/>
      <c r="OOL58" s="5"/>
      <c r="OOM58" s="5"/>
      <c r="OON58" s="5"/>
      <c r="OOO58" s="5"/>
      <c r="OOP58" s="5"/>
      <c r="OOQ58" s="5"/>
      <c r="OOR58" s="5"/>
      <c r="OOS58" s="5"/>
      <c r="OOT58" s="5"/>
      <c r="OOU58" s="5"/>
      <c r="OOV58" s="5"/>
      <c r="OOW58" s="5"/>
      <c r="OOX58" s="5"/>
      <c r="OOY58" s="5"/>
      <c r="OOZ58" s="5"/>
      <c r="OPA58" s="5"/>
      <c r="OPB58" s="5"/>
      <c r="OPC58" s="5"/>
      <c r="OPD58" s="5"/>
      <c r="OPE58" s="5"/>
      <c r="OPF58" s="5"/>
      <c r="OPG58" s="5"/>
      <c r="OPH58" s="5"/>
      <c r="OPI58" s="5"/>
      <c r="OPJ58" s="5"/>
      <c r="OPK58" s="5"/>
      <c r="OPL58" s="5"/>
      <c r="OPM58" s="5"/>
      <c r="OPN58" s="5"/>
      <c r="OPO58" s="5"/>
      <c r="OPP58" s="5"/>
      <c r="OPQ58" s="5"/>
      <c r="OPR58" s="5"/>
      <c r="OPS58" s="5"/>
      <c r="OPT58" s="5"/>
      <c r="OPU58" s="5"/>
      <c r="OPV58" s="5"/>
      <c r="OPW58" s="5"/>
      <c r="OPX58" s="5"/>
      <c r="OPY58" s="5"/>
      <c r="OPZ58" s="5"/>
      <c r="OQA58" s="5"/>
      <c r="OQB58" s="5"/>
      <c r="OQC58" s="5"/>
      <c r="OQD58" s="5"/>
      <c r="OQE58" s="5"/>
      <c r="OQF58" s="5"/>
      <c r="OQG58" s="5"/>
      <c r="OQH58" s="5"/>
      <c r="OQI58" s="5"/>
      <c r="OQJ58" s="5"/>
      <c r="OQK58" s="5"/>
      <c r="OQL58" s="5"/>
      <c r="OQM58" s="5"/>
      <c r="OQN58" s="5"/>
      <c r="OQO58" s="5"/>
      <c r="OQP58" s="5"/>
      <c r="OQQ58" s="5"/>
      <c r="OQR58" s="5"/>
      <c r="OQS58" s="5"/>
      <c r="OQT58" s="5"/>
      <c r="OQU58" s="5"/>
      <c r="OQV58" s="5"/>
      <c r="OQW58" s="5"/>
      <c r="OQX58" s="5"/>
      <c r="OQY58" s="5"/>
      <c r="OQZ58" s="5"/>
      <c r="ORA58" s="5"/>
      <c r="ORB58" s="5"/>
      <c r="ORC58" s="5"/>
      <c r="ORD58" s="5"/>
      <c r="ORE58" s="5"/>
      <c r="ORF58" s="5"/>
      <c r="ORG58" s="5"/>
      <c r="ORH58" s="5"/>
      <c r="ORI58" s="5"/>
      <c r="ORJ58" s="5"/>
      <c r="ORK58" s="5"/>
      <c r="ORL58" s="5"/>
      <c r="ORM58" s="5"/>
      <c r="ORN58" s="5"/>
      <c r="ORO58" s="5"/>
      <c r="ORP58" s="5"/>
      <c r="ORQ58" s="5"/>
      <c r="ORR58" s="5"/>
      <c r="ORS58" s="5"/>
      <c r="ORT58" s="5"/>
      <c r="ORU58" s="5"/>
      <c r="ORV58" s="5"/>
      <c r="ORW58" s="5"/>
      <c r="ORX58" s="5"/>
      <c r="ORY58" s="5"/>
      <c r="ORZ58" s="5"/>
      <c r="OSA58" s="5"/>
      <c r="OSB58" s="5"/>
      <c r="OSC58" s="5"/>
      <c r="OSD58" s="5"/>
      <c r="OSE58" s="5"/>
      <c r="OSF58" s="5"/>
      <c r="OSG58" s="5"/>
      <c r="OSH58" s="5"/>
      <c r="OSI58" s="5"/>
      <c r="OSJ58" s="5"/>
      <c r="OSK58" s="5"/>
      <c r="OSL58" s="5"/>
      <c r="OSM58" s="5"/>
      <c r="OSN58" s="5"/>
      <c r="OSO58" s="5"/>
      <c r="OSP58" s="5"/>
      <c r="OSQ58" s="5"/>
      <c r="OSR58" s="5"/>
      <c r="OSS58" s="5"/>
      <c r="OST58" s="5"/>
      <c r="OSU58" s="5"/>
      <c r="OSV58" s="5"/>
      <c r="OSW58" s="5"/>
      <c r="OSX58" s="5"/>
      <c r="OSY58" s="5"/>
      <c r="OSZ58" s="5"/>
      <c r="OTA58" s="5"/>
      <c r="OTB58" s="5"/>
      <c r="OTC58" s="5"/>
      <c r="OTD58" s="5"/>
      <c r="OTE58" s="5"/>
      <c r="OTF58" s="5"/>
      <c r="OTG58" s="5"/>
      <c r="OTH58" s="5"/>
      <c r="OTI58" s="5"/>
      <c r="OTJ58" s="5"/>
      <c r="OTK58" s="5"/>
      <c r="OTL58" s="5"/>
      <c r="OTM58" s="5"/>
      <c r="OTN58" s="5"/>
      <c r="OTO58" s="5"/>
      <c r="OTP58" s="5"/>
      <c r="OTQ58" s="5"/>
      <c r="OTR58" s="5"/>
      <c r="OTS58" s="5"/>
      <c r="OTT58" s="5"/>
      <c r="OTU58" s="5"/>
      <c r="OTV58" s="5"/>
      <c r="OTW58" s="5"/>
      <c r="OTX58" s="5"/>
      <c r="OTY58" s="5"/>
      <c r="OTZ58" s="5"/>
      <c r="OUA58" s="5"/>
      <c r="OUB58" s="5"/>
      <c r="OUC58" s="5"/>
      <c r="OUD58" s="5"/>
      <c r="OUE58" s="5"/>
      <c r="OUF58" s="5"/>
      <c r="OUG58" s="5"/>
      <c r="OUH58" s="5"/>
      <c r="OUI58" s="5"/>
      <c r="OUJ58" s="5"/>
      <c r="OUK58" s="5"/>
      <c r="OUL58" s="5"/>
      <c r="OUM58" s="5"/>
      <c r="OUN58" s="5"/>
      <c r="OUO58" s="5"/>
      <c r="OUP58" s="5"/>
      <c r="OUQ58" s="5"/>
      <c r="OUR58" s="5"/>
      <c r="OUS58" s="5"/>
      <c r="OUT58" s="5"/>
      <c r="OUU58" s="5"/>
      <c r="OUV58" s="5"/>
      <c r="OUW58" s="5"/>
      <c r="OUX58" s="5"/>
      <c r="OUY58" s="5"/>
      <c r="OUZ58" s="5"/>
      <c r="OVA58" s="5"/>
      <c r="OVB58" s="5"/>
      <c r="OVC58" s="5"/>
      <c r="OVD58" s="5"/>
      <c r="OVE58" s="5"/>
      <c r="OVF58" s="5"/>
      <c r="OVG58" s="5"/>
      <c r="OVH58" s="5"/>
      <c r="OVI58" s="5"/>
      <c r="OVJ58" s="5"/>
      <c r="OVK58" s="5"/>
      <c r="OVL58" s="5"/>
      <c r="OVM58" s="5"/>
      <c r="OVN58" s="5"/>
      <c r="OVO58" s="5"/>
      <c r="OVP58" s="5"/>
      <c r="OVQ58" s="5"/>
      <c r="OVR58" s="5"/>
      <c r="OVS58" s="5"/>
      <c r="OVT58" s="5"/>
      <c r="OVU58" s="5"/>
      <c r="OVV58" s="5"/>
      <c r="OVW58" s="5"/>
      <c r="OVX58" s="5"/>
      <c r="OVY58" s="5"/>
      <c r="OVZ58" s="5"/>
      <c r="OWA58" s="5"/>
      <c r="OWB58" s="5"/>
      <c r="OWC58" s="5"/>
      <c r="OWD58" s="5"/>
      <c r="OWE58" s="5"/>
      <c r="OWF58" s="5"/>
      <c r="OWG58" s="5"/>
      <c r="OWH58" s="5"/>
      <c r="OWI58" s="5"/>
      <c r="OWJ58" s="5"/>
      <c r="OWK58" s="5"/>
      <c r="OWL58" s="5"/>
      <c r="OWM58" s="5"/>
      <c r="OWN58" s="5"/>
      <c r="OWO58" s="5"/>
      <c r="OWP58" s="5"/>
      <c r="OWQ58" s="5"/>
      <c r="OWR58" s="5"/>
      <c r="OWS58" s="5"/>
      <c r="OWT58" s="5"/>
      <c r="OWU58" s="5"/>
      <c r="OWV58" s="5"/>
      <c r="OWW58" s="5"/>
      <c r="OWX58" s="5"/>
      <c r="OWY58" s="5"/>
      <c r="OWZ58" s="5"/>
      <c r="OXA58" s="5"/>
      <c r="OXB58" s="5"/>
      <c r="OXC58" s="5"/>
      <c r="OXD58" s="5"/>
      <c r="OXE58" s="5"/>
      <c r="OXF58" s="5"/>
      <c r="OXG58" s="5"/>
      <c r="OXH58" s="5"/>
      <c r="OXI58" s="5"/>
      <c r="OXJ58" s="5"/>
      <c r="OXK58" s="5"/>
      <c r="OXL58" s="5"/>
      <c r="OXM58" s="5"/>
      <c r="OXN58" s="5"/>
      <c r="OXO58" s="5"/>
      <c r="OXP58" s="5"/>
      <c r="OXQ58" s="5"/>
      <c r="OXR58" s="5"/>
      <c r="OXS58" s="5"/>
      <c r="OXT58" s="5"/>
      <c r="OXU58" s="5"/>
      <c r="OXV58" s="5"/>
      <c r="OXW58" s="5"/>
      <c r="OXX58" s="5"/>
      <c r="OXY58" s="5"/>
      <c r="OXZ58" s="5"/>
      <c r="OYA58" s="5"/>
      <c r="OYB58" s="5"/>
      <c r="OYC58" s="5"/>
      <c r="OYD58" s="5"/>
      <c r="OYE58" s="5"/>
      <c r="OYF58" s="5"/>
      <c r="OYG58" s="5"/>
      <c r="OYH58" s="5"/>
      <c r="OYI58" s="5"/>
      <c r="OYJ58" s="5"/>
      <c r="OYK58" s="5"/>
      <c r="OYL58" s="5"/>
      <c r="OYM58" s="5"/>
      <c r="OYN58" s="5"/>
      <c r="OYO58" s="5"/>
      <c r="OYP58" s="5"/>
      <c r="OYQ58" s="5"/>
      <c r="OYR58" s="5"/>
      <c r="OYS58" s="5"/>
      <c r="OYT58" s="5"/>
      <c r="OYU58" s="5"/>
      <c r="OYV58" s="5"/>
      <c r="OYW58" s="5"/>
      <c r="OYX58" s="5"/>
      <c r="OYY58" s="5"/>
      <c r="OYZ58" s="5"/>
      <c r="OZA58" s="5"/>
      <c r="OZB58" s="5"/>
      <c r="OZC58" s="5"/>
      <c r="OZD58" s="5"/>
      <c r="OZE58" s="5"/>
      <c r="OZF58" s="5"/>
      <c r="OZG58" s="5"/>
      <c r="OZH58" s="5"/>
      <c r="OZI58" s="5"/>
      <c r="OZJ58" s="5"/>
      <c r="OZK58" s="5"/>
      <c r="OZL58" s="5"/>
      <c r="OZM58" s="5"/>
      <c r="OZN58" s="5"/>
      <c r="OZO58" s="5"/>
      <c r="OZP58" s="5"/>
      <c r="OZQ58" s="5"/>
      <c r="OZR58" s="5"/>
      <c r="OZS58" s="5"/>
      <c r="OZT58" s="5"/>
      <c r="OZU58" s="5"/>
      <c r="OZV58" s="5"/>
      <c r="OZW58" s="5"/>
      <c r="OZX58" s="5"/>
      <c r="OZY58" s="5"/>
      <c r="OZZ58" s="5"/>
      <c r="PAA58" s="5"/>
      <c r="PAB58" s="5"/>
      <c r="PAC58" s="5"/>
      <c r="PAD58" s="5"/>
      <c r="PAE58" s="5"/>
      <c r="PAF58" s="5"/>
      <c r="PAG58" s="5"/>
      <c r="PAH58" s="5"/>
      <c r="PAI58" s="5"/>
      <c r="PAJ58" s="5"/>
      <c r="PAK58" s="5"/>
      <c r="PAL58" s="5"/>
      <c r="PAM58" s="5"/>
      <c r="PAN58" s="5"/>
      <c r="PAO58" s="5"/>
      <c r="PAP58" s="5"/>
      <c r="PAQ58" s="5"/>
      <c r="PAR58" s="5"/>
      <c r="PAS58" s="5"/>
      <c r="PAT58" s="5"/>
      <c r="PAU58" s="5"/>
      <c r="PAV58" s="5"/>
      <c r="PAW58" s="5"/>
      <c r="PAX58" s="5"/>
      <c r="PAY58" s="5"/>
      <c r="PAZ58" s="5"/>
      <c r="PBA58" s="5"/>
      <c r="PBB58" s="5"/>
      <c r="PBC58" s="5"/>
      <c r="PBD58" s="5"/>
      <c r="PBE58" s="5"/>
      <c r="PBF58" s="5"/>
      <c r="PBG58" s="5"/>
      <c r="PBH58" s="5"/>
      <c r="PBI58" s="5"/>
      <c r="PBJ58" s="5"/>
      <c r="PBK58" s="5"/>
      <c r="PBL58" s="5"/>
      <c r="PBM58" s="5"/>
      <c r="PBN58" s="5"/>
      <c r="PBO58" s="5"/>
      <c r="PBP58" s="5"/>
      <c r="PBQ58" s="5"/>
      <c r="PBR58" s="5"/>
      <c r="PBS58" s="5"/>
      <c r="PBT58" s="5"/>
      <c r="PBU58" s="5"/>
      <c r="PBV58" s="5"/>
      <c r="PBW58" s="5"/>
      <c r="PBX58" s="5"/>
      <c r="PBY58" s="5"/>
      <c r="PBZ58" s="5"/>
      <c r="PCA58" s="5"/>
      <c r="PCB58" s="5"/>
      <c r="PCC58" s="5"/>
      <c r="PCD58" s="5"/>
      <c r="PCE58" s="5"/>
      <c r="PCF58" s="5"/>
      <c r="PCG58" s="5"/>
      <c r="PCH58" s="5"/>
      <c r="PCI58" s="5"/>
      <c r="PCJ58" s="5"/>
      <c r="PCK58" s="5"/>
      <c r="PCL58" s="5"/>
      <c r="PCM58" s="5"/>
      <c r="PCN58" s="5"/>
      <c r="PCO58" s="5"/>
      <c r="PCP58" s="5"/>
      <c r="PCQ58" s="5"/>
      <c r="PCR58" s="5"/>
      <c r="PCS58" s="5"/>
      <c r="PCT58" s="5"/>
      <c r="PCU58" s="5"/>
      <c r="PCV58" s="5"/>
      <c r="PCW58" s="5"/>
      <c r="PCX58" s="5"/>
      <c r="PCY58" s="5"/>
      <c r="PCZ58" s="5"/>
      <c r="PDA58" s="5"/>
      <c r="PDB58" s="5"/>
      <c r="PDC58" s="5"/>
      <c r="PDD58" s="5"/>
      <c r="PDE58" s="5"/>
      <c r="PDF58" s="5"/>
      <c r="PDG58" s="5"/>
      <c r="PDH58" s="5"/>
      <c r="PDI58" s="5"/>
      <c r="PDJ58" s="5"/>
      <c r="PDK58" s="5"/>
      <c r="PDL58" s="5"/>
      <c r="PDM58" s="5"/>
      <c r="PDN58" s="5"/>
      <c r="PDO58" s="5"/>
      <c r="PDP58" s="5"/>
      <c r="PDQ58" s="5"/>
      <c r="PDR58" s="5"/>
      <c r="PDS58" s="5"/>
      <c r="PDT58" s="5"/>
      <c r="PDU58" s="5"/>
      <c r="PDV58" s="5"/>
      <c r="PDW58" s="5"/>
      <c r="PDX58" s="5"/>
      <c r="PDY58" s="5"/>
      <c r="PDZ58" s="5"/>
      <c r="PEA58" s="5"/>
      <c r="PEB58" s="5"/>
      <c r="PEC58" s="5"/>
      <c r="PED58" s="5"/>
      <c r="PEE58" s="5"/>
      <c r="PEF58" s="5"/>
      <c r="PEG58" s="5"/>
      <c r="PEH58" s="5"/>
      <c r="PEI58" s="5"/>
      <c r="PEJ58" s="5"/>
      <c r="PEK58" s="5"/>
      <c r="PEL58" s="5"/>
      <c r="PEM58" s="5"/>
      <c r="PEN58" s="5"/>
      <c r="PEO58" s="5"/>
      <c r="PEP58" s="5"/>
      <c r="PEQ58" s="5"/>
      <c r="PER58" s="5"/>
      <c r="PES58" s="5"/>
      <c r="PET58" s="5"/>
      <c r="PEU58" s="5"/>
      <c r="PEV58" s="5"/>
      <c r="PEW58" s="5"/>
      <c r="PEX58" s="5"/>
      <c r="PEY58" s="5"/>
      <c r="PEZ58" s="5"/>
      <c r="PFA58" s="5"/>
      <c r="PFB58" s="5"/>
      <c r="PFC58" s="5"/>
      <c r="PFD58" s="5"/>
      <c r="PFE58" s="5"/>
      <c r="PFF58" s="5"/>
      <c r="PFG58" s="5"/>
      <c r="PFH58" s="5"/>
      <c r="PFI58" s="5"/>
      <c r="PFJ58" s="5"/>
      <c r="PFK58" s="5"/>
      <c r="PFL58" s="5"/>
      <c r="PFM58" s="5"/>
      <c r="PFN58" s="5"/>
      <c r="PFO58" s="5"/>
      <c r="PFP58" s="5"/>
      <c r="PFQ58" s="5"/>
      <c r="PFR58" s="5"/>
      <c r="PFS58" s="5"/>
      <c r="PFT58" s="5"/>
      <c r="PFU58" s="5"/>
      <c r="PFV58" s="5"/>
      <c r="PFW58" s="5"/>
      <c r="PFX58" s="5"/>
      <c r="PFY58" s="5"/>
      <c r="PFZ58" s="5"/>
      <c r="PGA58" s="5"/>
      <c r="PGB58" s="5"/>
      <c r="PGC58" s="5"/>
      <c r="PGD58" s="5"/>
      <c r="PGE58" s="5"/>
      <c r="PGF58" s="5"/>
      <c r="PGG58" s="5"/>
      <c r="PGH58" s="5"/>
      <c r="PGI58" s="5"/>
      <c r="PGJ58" s="5"/>
      <c r="PGK58" s="5"/>
      <c r="PGL58" s="5"/>
      <c r="PGM58" s="5"/>
      <c r="PGN58" s="5"/>
      <c r="PGO58" s="5"/>
      <c r="PGP58" s="5"/>
      <c r="PGQ58" s="5"/>
      <c r="PGR58" s="5"/>
      <c r="PGS58" s="5"/>
      <c r="PGT58" s="5"/>
      <c r="PGU58" s="5"/>
      <c r="PGV58" s="5"/>
      <c r="PGW58" s="5"/>
      <c r="PGX58" s="5"/>
      <c r="PGY58" s="5"/>
      <c r="PGZ58" s="5"/>
      <c r="PHA58" s="5"/>
      <c r="PHB58" s="5"/>
      <c r="PHC58" s="5"/>
      <c r="PHD58" s="5"/>
      <c r="PHE58" s="5"/>
      <c r="PHF58" s="5"/>
      <c r="PHG58" s="5"/>
      <c r="PHH58" s="5"/>
      <c r="PHI58" s="5"/>
      <c r="PHJ58" s="5"/>
      <c r="PHK58" s="5"/>
      <c r="PHL58" s="5"/>
      <c r="PHM58" s="5"/>
      <c r="PHN58" s="5"/>
      <c r="PHO58" s="5"/>
      <c r="PHP58" s="5"/>
      <c r="PHQ58" s="5"/>
      <c r="PHR58" s="5"/>
      <c r="PHS58" s="5"/>
      <c r="PHT58" s="5"/>
      <c r="PHU58" s="5"/>
      <c r="PHV58" s="5"/>
      <c r="PHW58" s="5"/>
      <c r="PHX58" s="5"/>
      <c r="PHY58" s="5"/>
      <c r="PHZ58" s="5"/>
      <c r="PIA58" s="5"/>
      <c r="PIB58" s="5"/>
      <c r="PIC58" s="5"/>
      <c r="PID58" s="5"/>
      <c r="PIE58" s="5"/>
      <c r="PIF58" s="5"/>
      <c r="PIG58" s="5"/>
      <c r="PIH58" s="5"/>
      <c r="PII58" s="5"/>
      <c r="PIJ58" s="5"/>
      <c r="PIK58" s="5"/>
      <c r="PIL58" s="5"/>
      <c r="PIM58" s="5"/>
      <c r="PIN58" s="5"/>
      <c r="PIO58" s="5"/>
      <c r="PIP58" s="5"/>
      <c r="PIQ58" s="5"/>
      <c r="PIR58" s="5"/>
      <c r="PIS58" s="5"/>
      <c r="PIT58" s="5"/>
      <c r="PIU58" s="5"/>
      <c r="PIV58" s="5"/>
      <c r="PIW58" s="5"/>
      <c r="PIX58" s="5"/>
      <c r="PIY58" s="5"/>
      <c r="PIZ58" s="5"/>
      <c r="PJA58" s="5"/>
      <c r="PJB58" s="5"/>
      <c r="PJC58" s="5"/>
      <c r="PJD58" s="5"/>
      <c r="PJE58" s="5"/>
      <c r="PJF58" s="5"/>
      <c r="PJG58" s="5"/>
      <c r="PJH58" s="5"/>
      <c r="PJI58" s="5"/>
      <c r="PJJ58" s="5"/>
      <c r="PJK58" s="5"/>
      <c r="PJL58" s="5"/>
      <c r="PJM58" s="5"/>
      <c r="PJN58" s="5"/>
      <c r="PJO58" s="5"/>
      <c r="PJP58" s="5"/>
      <c r="PJQ58" s="5"/>
      <c r="PJR58" s="5"/>
      <c r="PJS58" s="5"/>
      <c r="PJT58" s="5"/>
      <c r="PJU58" s="5"/>
      <c r="PJV58" s="5"/>
      <c r="PJW58" s="5"/>
      <c r="PJX58" s="5"/>
      <c r="PJY58" s="5"/>
      <c r="PJZ58" s="5"/>
      <c r="PKA58" s="5"/>
      <c r="PKB58" s="5"/>
      <c r="PKC58" s="5"/>
      <c r="PKD58" s="5"/>
      <c r="PKE58" s="5"/>
      <c r="PKF58" s="5"/>
      <c r="PKG58" s="5"/>
      <c r="PKH58" s="5"/>
      <c r="PKI58" s="5"/>
      <c r="PKJ58" s="5"/>
      <c r="PKK58" s="5"/>
      <c r="PKL58" s="5"/>
      <c r="PKM58" s="5"/>
      <c r="PKN58" s="5"/>
      <c r="PKO58" s="5"/>
      <c r="PKP58" s="5"/>
      <c r="PKQ58" s="5"/>
      <c r="PKR58" s="5"/>
      <c r="PKS58" s="5"/>
      <c r="PKT58" s="5"/>
      <c r="PKU58" s="5"/>
      <c r="PKV58" s="5"/>
      <c r="PKW58" s="5"/>
      <c r="PKX58" s="5"/>
      <c r="PKY58" s="5"/>
      <c r="PKZ58" s="5"/>
      <c r="PLA58" s="5"/>
      <c r="PLB58" s="5"/>
      <c r="PLC58" s="5"/>
      <c r="PLD58" s="5"/>
      <c r="PLE58" s="5"/>
      <c r="PLF58" s="5"/>
      <c r="PLG58" s="5"/>
      <c r="PLH58" s="5"/>
      <c r="PLI58" s="5"/>
      <c r="PLJ58" s="5"/>
      <c r="PLK58" s="5"/>
      <c r="PLL58" s="5"/>
      <c r="PLM58" s="5"/>
      <c r="PLN58" s="5"/>
      <c r="PLO58" s="5"/>
      <c r="PLP58" s="5"/>
      <c r="PLQ58" s="5"/>
      <c r="PLR58" s="5"/>
      <c r="PLS58" s="5"/>
      <c r="PLT58" s="5"/>
      <c r="PLU58" s="5"/>
      <c r="PLV58" s="5"/>
      <c r="PLW58" s="5"/>
      <c r="PLX58" s="5"/>
      <c r="PLY58" s="5"/>
      <c r="PLZ58" s="5"/>
      <c r="PMA58" s="5"/>
      <c r="PMB58" s="5"/>
      <c r="PMC58" s="5"/>
      <c r="PMD58" s="5"/>
      <c r="PME58" s="5"/>
      <c r="PMF58" s="5"/>
      <c r="PMG58" s="5"/>
      <c r="PMH58" s="5"/>
      <c r="PMI58" s="5"/>
      <c r="PMJ58" s="5"/>
      <c r="PMK58" s="5"/>
      <c r="PML58" s="5"/>
      <c r="PMM58" s="5"/>
      <c r="PMN58" s="5"/>
      <c r="PMO58" s="5"/>
      <c r="PMP58" s="5"/>
      <c r="PMQ58" s="5"/>
      <c r="PMR58" s="5"/>
      <c r="PMS58" s="5"/>
      <c r="PMT58" s="5"/>
      <c r="PMU58" s="5"/>
      <c r="PMV58" s="5"/>
      <c r="PMW58" s="5"/>
      <c r="PMX58" s="5"/>
      <c r="PMY58" s="5"/>
      <c r="PMZ58" s="5"/>
      <c r="PNA58" s="5"/>
      <c r="PNB58" s="5"/>
      <c r="PNC58" s="5"/>
      <c r="PND58" s="5"/>
      <c r="PNE58" s="5"/>
      <c r="PNF58" s="5"/>
      <c r="PNG58" s="5"/>
      <c r="PNH58" s="5"/>
      <c r="PNI58" s="5"/>
      <c r="PNJ58" s="5"/>
      <c r="PNK58" s="5"/>
      <c r="PNL58" s="5"/>
      <c r="PNM58" s="5"/>
      <c r="PNN58" s="5"/>
      <c r="PNO58" s="5"/>
      <c r="PNP58" s="5"/>
      <c r="PNQ58" s="5"/>
      <c r="PNR58" s="5"/>
      <c r="PNS58" s="5"/>
      <c r="PNT58" s="5"/>
      <c r="PNU58" s="5"/>
      <c r="PNV58" s="5"/>
      <c r="PNW58" s="5"/>
      <c r="PNX58" s="5"/>
      <c r="PNY58" s="5"/>
      <c r="PNZ58" s="5"/>
      <c r="POA58" s="5"/>
      <c r="POB58" s="5"/>
      <c r="POC58" s="5"/>
      <c r="POD58" s="5"/>
      <c r="POE58" s="5"/>
      <c r="POF58" s="5"/>
      <c r="POG58" s="5"/>
      <c r="POH58" s="5"/>
      <c r="POI58" s="5"/>
      <c r="POJ58" s="5"/>
      <c r="POK58" s="5"/>
      <c r="POL58" s="5"/>
      <c r="POM58" s="5"/>
      <c r="PON58" s="5"/>
      <c r="POO58" s="5"/>
      <c r="POP58" s="5"/>
      <c r="POQ58" s="5"/>
      <c r="POR58" s="5"/>
      <c r="POS58" s="5"/>
      <c r="POT58" s="5"/>
      <c r="POU58" s="5"/>
      <c r="POV58" s="5"/>
      <c r="POW58" s="5"/>
      <c r="POX58" s="5"/>
      <c r="POY58" s="5"/>
      <c r="POZ58" s="5"/>
      <c r="PPA58" s="5"/>
      <c r="PPB58" s="5"/>
      <c r="PPC58" s="5"/>
      <c r="PPD58" s="5"/>
      <c r="PPE58" s="5"/>
      <c r="PPF58" s="5"/>
      <c r="PPG58" s="5"/>
      <c r="PPH58" s="5"/>
      <c r="PPI58" s="5"/>
      <c r="PPJ58" s="5"/>
      <c r="PPK58" s="5"/>
      <c r="PPL58" s="5"/>
      <c r="PPM58" s="5"/>
      <c r="PPN58" s="5"/>
      <c r="PPO58" s="5"/>
      <c r="PPP58" s="5"/>
      <c r="PPQ58" s="5"/>
      <c r="PPR58" s="5"/>
      <c r="PPS58" s="5"/>
      <c r="PPT58" s="5"/>
      <c r="PPU58" s="5"/>
      <c r="PPV58" s="5"/>
      <c r="PPW58" s="5"/>
      <c r="PPX58" s="5"/>
      <c r="PPY58" s="5"/>
      <c r="PPZ58" s="5"/>
      <c r="PQA58" s="5"/>
      <c r="PQB58" s="5"/>
      <c r="PQC58" s="5"/>
      <c r="PQD58" s="5"/>
      <c r="PQE58" s="5"/>
      <c r="PQF58" s="5"/>
      <c r="PQG58" s="5"/>
      <c r="PQH58" s="5"/>
      <c r="PQI58" s="5"/>
      <c r="PQJ58" s="5"/>
      <c r="PQK58" s="5"/>
      <c r="PQL58" s="5"/>
      <c r="PQM58" s="5"/>
      <c r="PQN58" s="5"/>
      <c r="PQO58" s="5"/>
      <c r="PQP58" s="5"/>
      <c r="PQQ58" s="5"/>
      <c r="PQR58" s="5"/>
      <c r="PQS58" s="5"/>
      <c r="PQT58" s="5"/>
      <c r="PQU58" s="5"/>
      <c r="PQV58" s="5"/>
      <c r="PQW58" s="5"/>
      <c r="PQX58" s="5"/>
      <c r="PQY58" s="5"/>
      <c r="PQZ58" s="5"/>
      <c r="PRA58" s="5"/>
      <c r="PRB58" s="5"/>
      <c r="PRC58" s="5"/>
      <c r="PRD58" s="5"/>
      <c r="PRE58" s="5"/>
      <c r="PRF58" s="5"/>
      <c r="PRG58" s="5"/>
      <c r="PRH58" s="5"/>
      <c r="PRI58" s="5"/>
      <c r="PRJ58" s="5"/>
      <c r="PRK58" s="5"/>
      <c r="PRL58" s="5"/>
      <c r="PRM58" s="5"/>
      <c r="PRN58" s="5"/>
      <c r="PRO58" s="5"/>
      <c r="PRP58" s="5"/>
      <c r="PRQ58" s="5"/>
      <c r="PRR58" s="5"/>
      <c r="PRS58" s="5"/>
      <c r="PRT58" s="5"/>
      <c r="PRU58" s="5"/>
      <c r="PRV58" s="5"/>
      <c r="PRW58" s="5"/>
      <c r="PRX58" s="5"/>
      <c r="PRY58" s="5"/>
      <c r="PRZ58" s="5"/>
      <c r="PSA58" s="5"/>
      <c r="PSB58" s="5"/>
      <c r="PSC58" s="5"/>
      <c r="PSD58" s="5"/>
      <c r="PSE58" s="5"/>
      <c r="PSF58" s="5"/>
      <c r="PSG58" s="5"/>
      <c r="PSH58" s="5"/>
      <c r="PSI58" s="5"/>
      <c r="PSJ58" s="5"/>
      <c r="PSK58" s="5"/>
      <c r="PSL58" s="5"/>
      <c r="PSM58" s="5"/>
      <c r="PSN58" s="5"/>
      <c r="PSO58" s="5"/>
      <c r="PSP58" s="5"/>
      <c r="PSQ58" s="5"/>
      <c r="PSR58" s="5"/>
      <c r="PSS58" s="5"/>
      <c r="PST58" s="5"/>
      <c r="PSU58" s="5"/>
      <c r="PSV58" s="5"/>
      <c r="PSW58" s="5"/>
      <c r="PSX58" s="5"/>
      <c r="PSY58" s="5"/>
      <c r="PSZ58" s="5"/>
      <c r="PTA58" s="5"/>
      <c r="PTB58" s="5"/>
      <c r="PTC58" s="5"/>
      <c r="PTD58" s="5"/>
      <c r="PTE58" s="5"/>
      <c r="PTF58" s="5"/>
      <c r="PTG58" s="5"/>
      <c r="PTH58" s="5"/>
      <c r="PTI58" s="5"/>
      <c r="PTJ58" s="5"/>
      <c r="PTK58" s="5"/>
      <c r="PTL58" s="5"/>
      <c r="PTM58" s="5"/>
      <c r="PTN58" s="5"/>
      <c r="PTO58" s="5"/>
      <c r="PTP58" s="5"/>
      <c r="PTQ58" s="5"/>
      <c r="PTR58" s="5"/>
      <c r="PTS58" s="5"/>
      <c r="PTT58" s="5"/>
      <c r="PTU58" s="5"/>
      <c r="PTV58" s="5"/>
      <c r="PTW58" s="5"/>
      <c r="PTX58" s="5"/>
      <c r="PTY58" s="5"/>
      <c r="PTZ58" s="5"/>
      <c r="PUA58" s="5"/>
      <c r="PUB58" s="5"/>
      <c r="PUC58" s="5"/>
      <c r="PUD58" s="5"/>
      <c r="PUE58" s="5"/>
      <c r="PUF58" s="5"/>
      <c r="PUG58" s="5"/>
      <c r="PUH58" s="5"/>
      <c r="PUI58" s="5"/>
      <c r="PUJ58" s="5"/>
      <c r="PUK58" s="5"/>
      <c r="PUL58" s="5"/>
      <c r="PUM58" s="5"/>
      <c r="PUN58" s="5"/>
      <c r="PUO58" s="5"/>
      <c r="PUP58" s="5"/>
      <c r="PUQ58" s="5"/>
      <c r="PUR58" s="5"/>
      <c r="PUS58" s="5"/>
      <c r="PUT58" s="5"/>
      <c r="PUU58" s="5"/>
      <c r="PUV58" s="5"/>
      <c r="PUW58" s="5"/>
      <c r="PUX58" s="5"/>
      <c r="PUY58" s="5"/>
      <c r="PUZ58" s="5"/>
      <c r="PVA58" s="5"/>
      <c r="PVB58" s="5"/>
      <c r="PVC58" s="5"/>
      <c r="PVD58" s="5"/>
      <c r="PVE58" s="5"/>
      <c r="PVF58" s="5"/>
      <c r="PVG58" s="5"/>
      <c r="PVH58" s="5"/>
      <c r="PVI58" s="5"/>
      <c r="PVJ58" s="5"/>
      <c r="PVK58" s="5"/>
      <c r="PVL58" s="5"/>
      <c r="PVM58" s="5"/>
      <c r="PVN58" s="5"/>
      <c r="PVO58" s="5"/>
      <c r="PVP58" s="5"/>
      <c r="PVQ58" s="5"/>
      <c r="PVR58" s="5"/>
      <c r="PVS58" s="5"/>
      <c r="PVT58" s="5"/>
      <c r="PVU58" s="5"/>
      <c r="PVV58" s="5"/>
      <c r="PVW58" s="5"/>
      <c r="PVX58" s="5"/>
      <c r="PVY58" s="5"/>
      <c r="PVZ58" s="5"/>
      <c r="PWA58" s="5"/>
      <c r="PWB58" s="5"/>
      <c r="PWC58" s="5"/>
      <c r="PWD58" s="5"/>
      <c r="PWE58" s="5"/>
      <c r="PWF58" s="5"/>
      <c r="PWG58" s="5"/>
      <c r="PWH58" s="5"/>
      <c r="PWI58" s="5"/>
      <c r="PWJ58" s="5"/>
      <c r="PWK58" s="5"/>
      <c r="PWL58" s="5"/>
      <c r="PWM58" s="5"/>
      <c r="PWN58" s="5"/>
      <c r="PWO58" s="5"/>
      <c r="PWP58" s="5"/>
      <c r="PWQ58" s="5"/>
      <c r="PWR58" s="5"/>
      <c r="PWS58" s="5"/>
      <c r="PWT58" s="5"/>
      <c r="PWU58" s="5"/>
      <c r="PWV58" s="5"/>
      <c r="PWW58" s="5"/>
      <c r="PWX58" s="5"/>
      <c r="PWY58" s="5"/>
      <c r="PWZ58" s="5"/>
      <c r="PXA58" s="5"/>
      <c r="PXB58" s="5"/>
      <c r="PXC58" s="5"/>
      <c r="PXD58" s="5"/>
      <c r="PXE58" s="5"/>
      <c r="PXF58" s="5"/>
      <c r="PXG58" s="5"/>
      <c r="PXH58" s="5"/>
      <c r="PXI58" s="5"/>
      <c r="PXJ58" s="5"/>
      <c r="PXK58" s="5"/>
      <c r="PXL58" s="5"/>
      <c r="PXM58" s="5"/>
      <c r="PXN58" s="5"/>
      <c r="PXO58" s="5"/>
      <c r="PXP58" s="5"/>
      <c r="PXQ58" s="5"/>
      <c r="PXR58" s="5"/>
      <c r="PXS58" s="5"/>
      <c r="PXT58" s="5"/>
      <c r="PXU58" s="5"/>
      <c r="PXV58" s="5"/>
      <c r="PXW58" s="5"/>
      <c r="PXX58" s="5"/>
      <c r="PXY58" s="5"/>
      <c r="PXZ58" s="5"/>
      <c r="PYA58" s="5"/>
      <c r="PYB58" s="5"/>
      <c r="PYC58" s="5"/>
      <c r="PYD58" s="5"/>
      <c r="PYE58" s="5"/>
      <c r="PYF58" s="5"/>
      <c r="PYG58" s="5"/>
      <c r="PYH58" s="5"/>
      <c r="PYI58" s="5"/>
      <c r="PYJ58" s="5"/>
      <c r="PYK58" s="5"/>
      <c r="PYL58" s="5"/>
      <c r="PYM58" s="5"/>
      <c r="PYN58" s="5"/>
      <c r="PYO58" s="5"/>
      <c r="PYP58" s="5"/>
      <c r="PYQ58" s="5"/>
      <c r="PYR58" s="5"/>
      <c r="PYS58" s="5"/>
      <c r="PYT58" s="5"/>
      <c r="PYU58" s="5"/>
      <c r="PYV58" s="5"/>
      <c r="PYW58" s="5"/>
      <c r="PYX58" s="5"/>
      <c r="PYY58" s="5"/>
      <c r="PYZ58" s="5"/>
      <c r="PZA58" s="5"/>
      <c r="PZB58" s="5"/>
      <c r="PZC58" s="5"/>
      <c r="PZD58" s="5"/>
      <c r="PZE58" s="5"/>
      <c r="PZF58" s="5"/>
      <c r="PZG58" s="5"/>
      <c r="PZH58" s="5"/>
      <c r="PZI58" s="5"/>
      <c r="PZJ58" s="5"/>
      <c r="PZK58" s="5"/>
      <c r="PZL58" s="5"/>
      <c r="PZM58" s="5"/>
      <c r="PZN58" s="5"/>
      <c r="PZO58" s="5"/>
      <c r="PZP58" s="5"/>
      <c r="PZQ58" s="5"/>
      <c r="PZR58" s="5"/>
      <c r="PZS58" s="5"/>
      <c r="PZT58" s="5"/>
      <c r="PZU58" s="5"/>
      <c r="PZV58" s="5"/>
      <c r="PZW58" s="5"/>
      <c r="PZX58" s="5"/>
      <c r="PZY58" s="5"/>
      <c r="PZZ58" s="5"/>
      <c r="QAA58" s="5"/>
      <c r="QAB58" s="5"/>
      <c r="QAC58" s="5"/>
      <c r="QAD58" s="5"/>
      <c r="QAE58" s="5"/>
      <c r="QAF58" s="5"/>
      <c r="QAG58" s="5"/>
      <c r="QAH58" s="5"/>
      <c r="QAI58" s="5"/>
      <c r="QAJ58" s="5"/>
      <c r="QAK58" s="5"/>
      <c r="QAL58" s="5"/>
      <c r="QAM58" s="5"/>
      <c r="QAN58" s="5"/>
      <c r="QAO58" s="5"/>
      <c r="QAP58" s="5"/>
      <c r="QAQ58" s="5"/>
      <c r="QAR58" s="5"/>
      <c r="QAS58" s="5"/>
      <c r="QAT58" s="5"/>
      <c r="QAU58" s="5"/>
      <c r="QAV58" s="5"/>
      <c r="QAW58" s="5"/>
      <c r="QAX58" s="5"/>
      <c r="QAY58" s="5"/>
      <c r="QAZ58" s="5"/>
      <c r="QBA58" s="5"/>
      <c r="QBB58" s="5"/>
      <c r="QBC58" s="5"/>
      <c r="QBD58" s="5"/>
      <c r="QBE58" s="5"/>
      <c r="QBF58" s="5"/>
      <c r="QBG58" s="5"/>
      <c r="QBH58" s="5"/>
      <c r="QBI58" s="5"/>
      <c r="QBJ58" s="5"/>
      <c r="QBK58" s="5"/>
      <c r="QBL58" s="5"/>
      <c r="QBM58" s="5"/>
      <c r="QBN58" s="5"/>
      <c r="QBO58" s="5"/>
      <c r="QBP58" s="5"/>
      <c r="QBQ58" s="5"/>
      <c r="QBR58" s="5"/>
      <c r="QBS58" s="5"/>
      <c r="QBT58" s="5"/>
      <c r="QBU58" s="5"/>
      <c r="QBV58" s="5"/>
      <c r="QBW58" s="5"/>
      <c r="QBX58" s="5"/>
      <c r="QBY58" s="5"/>
      <c r="QBZ58" s="5"/>
      <c r="QCA58" s="5"/>
      <c r="QCB58" s="5"/>
      <c r="QCC58" s="5"/>
      <c r="QCD58" s="5"/>
      <c r="QCE58" s="5"/>
      <c r="QCF58" s="5"/>
      <c r="QCG58" s="5"/>
      <c r="QCH58" s="5"/>
      <c r="QCI58" s="5"/>
      <c r="QCJ58" s="5"/>
      <c r="QCK58" s="5"/>
      <c r="QCL58" s="5"/>
      <c r="QCM58" s="5"/>
      <c r="QCN58" s="5"/>
      <c r="QCO58" s="5"/>
      <c r="QCP58" s="5"/>
      <c r="QCQ58" s="5"/>
      <c r="QCR58" s="5"/>
      <c r="QCS58" s="5"/>
      <c r="QCT58" s="5"/>
      <c r="QCU58" s="5"/>
      <c r="QCV58" s="5"/>
      <c r="QCW58" s="5"/>
      <c r="QCX58" s="5"/>
      <c r="QCY58" s="5"/>
      <c r="QCZ58" s="5"/>
      <c r="QDA58" s="5"/>
      <c r="QDB58" s="5"/>
      <c r="QDC58" s="5"/>
      <c r="QDD58" s="5"/>
      <c r="QDE58" s="5"/>
      <c r="QDF58" s="5"/>
      <c r="QDG58" s="5"/>
      <c r="QDH58" s="5"/>
      <c r="QDI58" s="5"/>
      <c r="QDJ58" s="5"/>
      <c r="QDK58" s="5"/>
      <c r="QDL58" s="5"/>
      <c r="QDM58" s="5"/>
      <c r="QDN58" s="5"/>
      <c r="QDO58" s="5"/>
      <c r="QDP58" s="5"/>
      <c r="QDQ58" s="5"/>
      <c r="QDR58" s="5"/>
      <c r="QDS58" s="5"/>
      <c r="QDT58" s="5"/>
      <c r="QDU58" s="5"/>
      <c r="QDV58" s="5"/>
      <c r="QDW58" s="5"/>
      <c r="QDX58" s="5"/>
      <c r="QDY58" s="5"/>
      <c r="QDZ58" s="5"/>
      <c r="QEA58" s="5"/>
      <c r="QEB58" s="5"/>
      <c r="QEC58" s="5"/>
      <c r="QED58" s="5"/>
      <c r="QEE58" s="5"/>
      <c r="QEF58" s="5"/>
      <c r="QEG58" s="5"/>
      <c r="QEH58" s="5"/>
      <c r="QEI58" s="5"/>
      <c r="QEJ58" s="5"/>
      <c r="QEK58" s="5"/>
      <c r="QEL58" s="5"/>
      <c r="QEM58" s="5"/>
      <c r="QEN58" s="5"/>
      <c r="QEO58" s="5"/>
      <c r="QEP58" s="5"/>
      <c r="QEQ58" s="5"/>
      <c r="QER58" s="5"/>
      <c r="QES58" s="5"/>
      <c r="QET58" s="5"/>
      <c r="QEU58" s="5"/>
      <c r="QEV58" s="5"/>
      <c r="QEW58" s="5"/>
      <c r="QEX58" s="5"/>
      <c r="QEY58" s="5"/>
      <c r="QEZ58" s="5"/>
      <c r="QFA58" s="5"/>
      <c r="QFB58" s="5"/>
      <c r="QFC58" s="5"/>
      <c r="QFD58" s="5"/>
      <c r="QFE58" s="5"/>
      <c r="QFF58" s="5"/>
      <c r="QFG58" s="5"/>
      <c r="QFH58" s="5"/>
      <c r="QFI58" s="5"/>
      <c r="QFJ58" s="5"/>
      <c r="QFK58" s="5"/>
      <c r="QFL58" s="5"/>
      <c r="QFM58" s="5"/>
      <c r="QFN58" s="5"/>
      <c r="QFO58" s="5"/>
      <c r="QFP58" s="5"/>
      <c r="QFQ58" s="5"/>
      <c r="QFR58" s="5"/>
      <c r="QFS58" s="5"/>
      <c r="QFT58" s="5"/>
      <c r="QFU58" s="5"/>
      <c r="QFV58" s="5"/>
      <c r="QFW58" s="5"/>
      <c r="QFX58" s="5"/>
      <c r="QFY58" s="5"/>
      <c r="QFZ58" s="5"/>
      <c r="QGA58" s="5"/>
      <c r="QGB58" s="5"/>
      <c r="QGC58" s="5"/>
      <c r="QGD58" s="5"/>
      <c r="QGE58" s="5"/>
      <c r="QGF58" s="5"/>
      <c r="QGG58" s="5"/>
      <c r="QGH58" s="5"/>
      <c r="QGI58" s="5"/>
      <c r="QGJ58" s="5"/>
      <c r="QGK58" s="5"/>
      <c r="QGL58" s="5"/>
      <c r="QGM58" s="5"/>
      <c r="QGN58" s="5"/>
      <c r="QGO58" s="5"/>
      <c r="QGP58" s="5"/>
      <c r="QGQ58" s="5"/>
      <c r="QGR58" s="5"/>
      <c r="QGS58" s="5"/>
      <c r="QGT58" s="5"/>
      <c r="QGU58" s="5"/>
      <c r="QGV58" s="5"/>
      <c r="QGW58" s="5"/>
      <c r="QGX58" s="5"/>
      <c r="QGY58" s="5"/>
      <c r="QGZ58" s="5"/>
      <c r="QHA58" s="5"/>
      <c r="QHB58" s="5"/>
      <c r="QHC58" s="5"/>
      <c r="QHD58" s="5"/>
      <c r="QHE58" s="5"/>
      <c r="QHF58" s="5"/>
      <c r="QHG58" s="5"/>
      <c r="QHH58" s="5"/>
      <c r="QHI58" s="5"/>
      <c r="QHJ58" s="5"/>
      <c r="QHK58" s="5"/>
      <c r="QHL58" s="5"/>
      <c r="QHM58" s="5"/>
      <c r="QHN58" s="5"/>
      <c r="QHO58" s="5"/>
      <c r="QHP58" s="5"/>
      <c r="QHQ58" s="5"/>
      <c r="QHR58" s="5"/>
      <c r="QHS58" s="5"/>
      <c r="QHT58" s="5"/>
      <c r="QHU58" s="5"/>
      <c r="QHV58" s="5"/>
      <c r="QHW58" s="5"/>
      <c r="QHX58" s="5"/>
      <c r="QHY58" s="5"/>
      <c r="QHZ58" s="5"/>
      <c r="QIA58" s="5"/>
      <c r="QIB58" s="5"/>
      <c r="QIC58" s="5"/>
      <c r="QID58" s="5"/>
      <c r="QIE58" s="5"/>
      <c r="QIF58" s="5"/>
      <c r="QIG58" s="5"/>
      <c r="QIH58" s="5"/>
      <c r="QII58" s="5"/>
      <c r="QIJ58" s="5"/>
      <c r="QIK58" s="5"/>
      <c r="QIL58" s="5"/>
      <c r="QIM58" s="5"/>
      <c r="QIN58" s="5"/>
      <c r="QIO58" s="5"/>
      <c r="QIP58" s="5"/>
      <c r="QIQ58" s="5"/>
      <c r="QIR58" s="5"/>
      <c r="QIS58" s="5"/>
      <c r="QIT58" s="5"/>
      <c r="QIU58" s="5"/>
      <c r="QIV58" s="5"/>
      <c r="QIW58" s="5"/>
      <c r="QIX58" s="5"/>
      <c r="QIY58" s="5"/>
      <c r="QIZ58" s="5"/>
      <c r="QJA58" s="5"/>
      <c r="QJB58" s="5"/>
      <c r="QJC58" s="5"/>
      <c r="QJD58" s="5"/>
      <c r="QJE58" s="5"/>
      <c r="QJF58" s="5"/>
      <c r="QJG58" s="5"/>
      <c r="QJH58" s="5"/>
      <c r="QJI58" s="5"/>
      <c r="QJJ58" s="5"/>
      <c r="QJK58" s="5"/>
      <c r="QJL58" s="5"/>
      <c r="QJM58" s="5"/>
      <c r="QJN58" s="5"/>
      <c r="QJO58" s="5"/>
      <c r="QJP58" s="5"/>
      <c r="QJQ58" s="5"/>
      <c r="QJR58" s="5"/>
      <c r="QJS58" s="5"/>
      <c r="QJT58" s="5"/>
      <c r="QJU58" s="5"/>
      <c r="QJV58" s="5"/>
      <c r="QJW58" s="5"/>
      <c r="QJX58" s="5"/>
      <c r="QJY58" s="5"/>
      <c r="QJZ58" s="5"/>
      <c r="QKA58" s="5"/>
      <c r="QKB58" s="5"/>
      <c r="QKC58" s="5"/>
      <c r="QKD58" s="5"/>
      <c r="QKE58" s="5"/>
      <c r="QKF58" s="5"/>
      <c r="QKG58" s="5"/>
      <c r="QKH58" s="5"/>
      <c r="QKI58" s="5"/>
      <c r="QKJ58" s="5"/>
      <c r="QKK58" s="5"/>
      <c r="QKL58" s="5"/>
      <c r="QKM58" s="5"/>
      <c r="QKN58" s="5"/>
      <c r="QKO58" s="5"/>
      <c r="QKP58" s="5"/>
      <c r="QKQ58" s="5"/>
      <c r="QKR58" s="5"/>
      <c r="QKS58" s="5"/>
      <c r="QKT58" s="5"/>
      <c r="QKU58" s="5"/>
      <c r="QKV58" s="5"/>
      <c r="QKW58" s="5"/>
      <c r="QKX58" s="5"/>
      <c r="QKY58" s="5"/>
      <c r="QKZ58" s="5"/>
      <c r="QLA58" s="5"/>
      <c r="QLB58" s="5"/>
      <c r="QLC58" s="5"/>
      <c r="QLD58" s="5"/>
      <c r="QLE58" s="5"/>
      <c r="QLF58" s="5"/>
      <c r="QLG58" s="5"/>
      <c r="QLH58" s="5"/>
      <c r="QLI58" s="5"/>
      <c r="QLJ58" s="5"/>
      <c r="QLK58" s="5"/>
      <c r="QLL58" s="5"/>
      <c r="QLM58" s="5"/>
      <c r="QLN58" s="5"/>
      <c r="QLO58" s="5"/>
      <c r="QLP58" s="5"/>
      <c r="QLQ58" s="5"/>
      <c r="QLR58" s="5"/>
      <c r="QLS58" s="5"/>
      <c r="QLT58" s="5"/>
      <c r="QLU58" s="5"/>
      <c r="QLV58" s="5"/>
      <c r="QLW58" s="5"/>
      <c r="QLX58" s="5"/>
      <c r="QLY58" s="5"/>
      <c r="QLZ58" s="5"/>
      <c r="QMA58" s="5"/>
      <c r="QMB58" s="5"/>
      <c r="QMC58" s="5"/>
      <c r="QMD58" s="5"/>
      <c r="QME58" s="5"/>
      <c r="QMF58" s="5"/>
      <c r="QMG58" s="5"/>
      <c r="QMH58" s="5"/>
      <c r="QMI58" s="5"/>
      <c r="QMJ58" s="5"/>
      <c r="QMK58" s="5"/>
      <c r="QML58" s="5"/>
      <c r="QMM58" s="5"/>
      <c r="QMN58" s="5"/>
      <c r="QMO58" s="5"/>
      <c r="QMP58" s="5"/>
      <c r="QMQ58" s="5"/>
      <c r="QMR58" s="5"/>
      <c r="QMS58" s="5"/>
      <c r="QMT58" s="5"/>
      <c r="QMU58" s="5"/>
      <c r="QMV58" s="5"/>
      <c r="QMW58" s="5"/>
      <c r="QMX58" s="5"/>
      <c r="QMY58" s="5"/>
      <c r="QMZ58" s="5"/>
      <c r="QNA58" s="5"/>
      <c r="QNB58" s="5"/>
      <c r="QNC58" s="5"/>
      <c r="QND58" s="5"/>
      <c r="QNE58" s="5"/>
      <c r="QNF58" s="5"/>
      <c r="QNG58" s="5"/>
      <c r="QNH58" s="5"/>
      <c r="QNI58" s="5"/>
      <c r="QNJ58" s="5"/>
      <c r="QNK58" s="5"/>
      <c r="QNL58" s="5"/>
      <c r="QNM58" s="5"/>
      <c r="QNN58" s="5"/>
      <c r="QNO58" s="5"/>
      <c r="QNP58" s="5"/>
      <c r="QNQ58" s="5"/>
      <c r="QNR58" s="5"/>
      <c r="QNS58" s="5"/>
      <c r="QNT58" s="5"/>
      <c r="QNU58" s="5"/>
      <c r="QNV58" s="5"/>
      <c r="QNW58" s="5"/>
      <c r="QNX58" s="5"/>
      <c r="QNY58" s="5"/>
      <c r="QNZ58" s="5"/>
      <c r="QOA58" s="5"/>
      <c r="QOB58" s="5"/>
      <c r="QOC58" s="5"/>
      <c r="QOD58" s="5"/>
      <c r="QOE58" s="5"/>
      <c r="QOF58" s="5"/>
      <c r="QOG58" s="5"/>
      <c r="QOH58" s="5"/>
      <c r="QOI58" s="5"/>
      <c r="QOJ58" s="5"/>
      <c r="QOK58" s="5"/>
      <c r="QOL58" s="5"/>
      <c r="QOM58" s="5"/>
      <c r="QON58" s="5"/>
      <c r="QOO58" s="5"/>
      <c r="QOP58" s="5"/>
      <c r="QOQ58" s="5"/>
      <c r="QOR58" s="5"/>
      <c r="QOS58" s="5"/>
      <c r="QOT58" s="5"/>
      <c r="QOU58" s="5"/>
      <c r="QOV58" s="5"/>
      <c r="QOW58" s="5"/>
      <c r="QOX58" s="5"/>
      <c r="QOY58" s="5"/>
      <c r="QOZ58" s="5"/>
      <c r="QPA58" s="5"/>
      <c r="QPB58" s="5"/>
      <c r="QPC58" s="5"/>
      <c r="QPD58" s="5"/>
      <c r="QPE58" s="5"/>
      <c r="QPF58" s="5"/>
      <c r="QPG58" s="5"/>
      <c r="QPH58" s="5"/>
      <c r="QPI58" s="5"/>
      <c r="QPJ58" s="5"/>
      <c r="QPK58" s="5"/>
      <c r="QPL58" s="5"/>
      <c r="QPM58" s="5"/>
      <c r="QPN58" s="5"/>
      <c r="QPO58" s="5"/>
      <c r="QPP58" s="5"/>
      <c r="QPQ58" s="5"/>
      <c r="QPR58" s="5"/>
      <c r="QPS58" s="5"/>
      <c r="QPT58" s="5"/>
      <c r="QPU58" s="5"/>
      <c r="QPV58" s="5"/>
      <c r="QPW58" s="5"/>
      <c r="QPX58" s="5"/>
      <c r="QPY58" s="5"/>
      <c r="QPZ58" s="5"/>
      <c r="QQA58" s="5"/>
      <c r="QQB58" s="5"/>
      <c r="QQC58" s="5"/>
      <c r="QQD58" s="5"/>
      <c r="QQE58" s="5"/>
      <c r="QQF58" s="5"/>
      <c r="QQG58" s="5"/>
      <c r="QQH58" s="5"/>
      <c r="QQI58" s="5"/>
      <c r="QQJ58" s="5"/>
      <c r="QQK58" s="5"/>
      <c r="QQL58" s="5"/>
      <c r="QQM58" s="5"/>
      <c r="QQN58" s="5"/>
      <c r="QQO58" s="5"/>
      <c r="QQP58" s="5"/>
      <c r="QQQ58" s="5"/>
      <c r="QQR58" s="5"/>
      <c r="QQS58" s="5"/>
      <c r="QQT58" s="5"/>
      <c r="QQU58" s="5"/>
      <c r="QQV58" s="5"/>
      <c r="QQW58" s="5"/>
      <c r="QQX58" s="5"/>
      <c r="QQY58" s="5"/>
      <c r="QQZ58" s="5"/>
      <c r="QRA58" s="5"/>
      <c r="QRB58" s="5"/>
      <c r="QRC58" s="5"/>
      <c r="QRD58" s="5"/>
      <c r="QRE58" s="5"/>
      <c r="QRF58" s="5"/>
      <c r="QRG58" s="5"/>
      <c r="QRH58" s="5"/>
      <c r="QRI58" s="5"/>
      <c r="QRJ58" s="5"/>
      <c r="QRK58" s="5"/>
      <c r="QRL58" s="5"/>
      <c r="QRM58" s="5"/>
      <c r="QRN58" s="5"/>
      <c r="QRO58" s="5"/>
      <c r="QRP58" s="5"/>
      <c r="QRQ58" s="5"/>
      <c r="QRR58" s="5"/>
      <c r="QRS58" s="5"/>
      <c r="QRT58" s="5"/>
      <c r="QRU58" s="5"/>
      <c r="QRV58" s="5"/>
      <c r="QRW58" s="5"/>
      <c r="QRX58" s="5"/>
      <c r="QRY58" s="5"/>
      <c r="QRZ58" s="5"/>
      <c r="QSA58" s="5"/>
      <c r="QSB58" s="5"/>
      <c r="QSC58" s="5"/>
      <c r="QSD58" s="5"/>
      <c r="QSE58" s="5"/>
      <c r="QSF58" s="5"/>
      <c r="QSG58" s="5"/>
      <c r="QSH58" s="5"/>
      <c r="QSI58" s="5"/>
      <c r="QSJ58" s="5"/>
      <c r="QSK58" s="5"/>
      <c r="QSL58" s="5"/>
      <c r="QSM58" s="5"/>
      <c r="QSN58" s="5"/>
      <c r="QSO58" s="5"/>
      <c r="QSP58" s="5"/>
      <c r="QSQ58" s="5"/>
      <c r="QSR58" s="5"/>
      <c r="QSS58" s="5"/>
      <c r="QST58" s="5"/>
      <c r="QSU58" s="5"/>
      <c r="QSV58" s="5"/>
      <c r="QSW58" s="5"/>
      <c r="QSX58" s="5"/>
      <c r="QSY58" s="5"/>
      <c r="QSZ58" s="5"/>
      <c r="QTA58" s="5"/>
      <c r="QTB58" s="5"/>
      <c r="QTC58" s="5"/>
      <c r="QTD58" s="5"/>
      <c r="QTE58" s="5"/>
      <c r="QTF58" s="5"/>
      <c r="QTG58" s="5"/>
      <c r="QTH58" s="5"/>
      <c r="QTI58" s="5"/>
      <c r="QTJ58" s="5"/>
      <c r="QTK58" s="5"/>
      <c r="QTL58" s="5"/>
      <c r="QTM58" s="5"/>
      <c r="QTN58" s="5"/>
      <c r="QTO58" s="5"/>
      <c r="QTP58" s="5"/>
      <c r="QTQ58" s="5"/>
      <c r="QTR58" s="5"/>
      <c r="QTS58" s="5"/>
      <c r="QTT58" s="5"/>
      <c r="QTU58" s="5"/>
      <c r="QTV58" s="5"/>
      <c r="QTW58" s="5"/>
      <c r="QTX58" s="5"/>
      <c r="QTY58" s="5"/>
      <c r="QTZ58" s="5"/>
      <c r="QUA58" s="5"/>
      <c r="QUB58" s="5"/>
      <c r="QUC58" s="5"/>
      <c r="QUD58" s="5"/>
      <c r="QUE58" s="5"/>
      <c r="QUF58" s="5"/>
      <c r="QUG58" s="5"/>
      <c r="QUH58" s="5"/>
      <c r="QUI58" s="5"/>
      <c r="QUJ58" s="5"/>
      <c r="QUK58" s="5"/>
      <c r="QUL58" s="5"/>
      <c r="QUM58" s="5"/>
      <c r="QUN58" s="5"/>
      <c r="QUO58" s="5"/>
      <c r="QUP58" s="5"/>
      <c r="QUQ58" s="5"/>
      <c r="QUR58" s="5"/>
      <c r="QUS58" s="5"/>
      <c r="QUT58" s="5"/>
      <c r="QUU58" s="5"/>
      <c r="QUV58" s="5"/>
      <c r="QUW58" s="5"/>
      <c r="QUX58" s="5"/>
      <c r="QUY58" s="5"/>
      <c r="QUZ58" s="5"/>
      <c r="QVA58" s="5"/>
      <c r="QVB58" s="5"/>
      <c r="QVC58" s="5"/>
      <c r="QVD58" s="5"/>
      <c r="QVE58" s="5"/>
      <c r="QVF58" s="5"/>
      <c r="QVG58" s="5"/>
      <c r="QVH58" s="5"/>
      <c r="QVI58" s="5"/>
      <c r="QVJ58" s="5"/>
      <c r="QVK58" s="5"/>
      <c r="QVL58" s="5"/>
      <c r="QVM58" s="5"/>
      <c r="QVN58" s="5"/>
      <c r="QVO58" s="5"/>
      <c r="QVP58" s="5"/>
      <c r="QVQ58" s="5"/>
      <c r="QVR58" s="5"/>
      <c r="QVS58" s="5"/>
      <c r="QVT58" s="5"/>
      <c r="QVU58" s="5"/>
      <c r="QVV58" s="5"/>
      <c r="QVW58" s="5"/>
      <c r="QVX58" s="5"/>
      <c r="QVY58" s="5"/>
      <c r="QVZ58" s="5"/>
      <c r="QWA58" s="5"/>
      <c r="QWB58" s="5"/>
      <c r="QWC58" s="5"/>
      <c r="QWD58" s="5"/>
      <c r="QWE58" s="5"/>
      <c r="QWF58" s="5"/>
      <c r="QWG58" s="5"/>
      <c r="QWH58" s="5"/>
      <c r="QWI58" s="5"/>
      <c r="QWJ58" s="5"/>
      <c r="QWK58" s="5"/>
      <c r="QWL58" s="5"/>
      <c r="QWM58" s="5"/>
      <c r="QWN58" s="5"/>
      <c r="QWO58" s="5"/>
      <c r="QWP58" s="5"/>
      <c r="QWQ58" s="5"/>
      <c r="QWR58" s="5"/>
      <c r="QWS58" s="5"/>
      <c r="QWT58" s="5"/>
      <c r="QWU58" s="5"/>
      <c r="QWV58" s="5"/>
      <c r="QWW58" s="5"/>
      <c r="QWX58" s="5"/>
      <c r="QWY58" s="5"/>
      <c r="QWZ58" s="5"/>
      <c r="QXA58" s="5"/>
      <c r="QXB58" s="5"/>
      <c r="QXC58" s="5"/>
      <c r="QXD58" s="5"/>
      <c r="QXE58" s="5"/>
      <c r="QXF58" s="5"/>
      <c r="QXG58" s="5"/>
      <c r="QXH58" s="5"/>
      <c r="QXI58" s="5"/>
      <c r="QXJ58" s="5"/>
      <c r="QXK58" s="5"/>
      <c r="QXL58" s="5"/>
      <c r="QXM58" s="5"/>
      <c r="QXN58" s="5"/>
      <c r="QXO58" s="5"/>
      <c r="QXP58" s="5"/>
      <c r="QXQ58" s="5"/>
      <c r="QXR58" s="5"/>
      <c r="QXS58" s="5"/>
      <c r="QXT58" s="5"/>
      <c r="QXU58" s="5"/>
      <c r="QXV58" s="5"/>
      <c r="QXW58" s="5"/>
      <c r="QXX58" s="5"/>
      <c r="QXY58" s="5"/>
      <c r="QXZ58" s="5"/>
      <c r="QYA58" s="5"/>
      <c r="QYB58" s="5"/>
      <c r="QYC58" s="5"/>
      <c r="QYD58" s="5"/>
      <c r="QYE58" s="5"/>
      <c r="QYF58" s="5"/>
      <c r="QYG58" s="5"/>
      <c r="QYH58" s="5"/>
      <c r="QYI58" s="5"/>
      <c r="QYJ58" s="5"/>
      <c r="QYK58" s="5"/>
      <c r="QYL58" s="5"/>
      <c r="QYM58" s="5"/>
      <c r="QYN58" s="5"/>
      <c r="QYO58" s="5"/>
      <c r="QYP58" s="5"/>
      <c r="QYQ58" s="5"/>
      <c r="QYR58" s="5"/>
      <c r="QYS58" s="5"/>
      <c r="QYT58" s="5"/>
      <c r="QYU58" s="5"/>
      <c r="QYV58" s="5"/>
      <c r="QYW58" s="5"/>
      <c r="QYX58" s="5"/>
      <c r="QYY58" s="5"/>
      <c r="QYZ58" s="5"/>
      <c r="QZA58" s="5"/>
      <c r="QZB58" s="5"/>
      <c r="QZC58" s="5"/>
      <c r="QZD58" s="5"/>
      <c r="QZE58" s="5"/>
      <c r="QZF58" s="5"/>
      <c r="QZG58" s="5"/>
      <c r="QZH58" s="5"/>
      <c r="QZI58" s="5"/>
      <c r="QZJ58" s="5"/>
      <c r="QZK58" s="5"/>
      <c r="QZL58" s="5"/>
      <c r="QZM58" s="5"/>
      <c r="QZN58" s="5"/>
      <c r="QZO58" s="5"/>
      <c r="QZP58" s="5"/>
      <c r="QZQ58" s="5"/>
      <c r="QZR58" s="5"/>
      <c r="QZS58" s="5"/>
      <c r="QZT58" s="5"/>
      <c r="QZU58" s="5"/>
      <c r="QZV58" s="5"/>
      <c r="QZW58" s="5"/>
      <c r="QZX58" s="5"/>
      <c r="QZY58" s="5"/>
      <c r="QZZ58" s="5"/>
      <c r="RAA58" s="5"/>
      <c r="RAB58" s="5"/>
      <c r="RAC58" s="5"/>
      <c r="RAD58" s="5"/>
      <c r="RAE58" s="5"/>
      <c r="RAF58" s="5"/>
      <c r="RAG58" s="5"/>
      <c r="RAH58" s="5"/>
      <c r="RAI58" s="5"/>
      <c r="RAJ58" s="5"/>
      <c r="RAK58" s="5"/>
      <c r="RAL58" s="5"/>
      <c r="RAM58" s="5"/>
      <c r="RAN58" s="5"/>
      <c r="RAO58" s="5"/>
      <c r="RAP58" s="5"/>
      <c r="RAQ58" s="5"/>
      <c r="RAR58" s="5"/>
      <c r="RAS58" s="5"/>
      <c r="RAT58" s="5"/>
      <c r="RAU58" s="5"/>
      <c r="RAV58" s="5"/>
      <c r="RAW58" s="5"/>
      <c r="RAX58" s="5"/>
      <c r="RAY58" s="5"/>
      <c r="RAZ58" s="5"/>
      <c r="RBA58" s="5"/>
      <c r="RBB58" s="5"/>
      <c r="RBC58" s="5"/>
      <c r="RBD58" s="5"/>
      <c r="RBE58" s="5"/>
      <c r="RBF58" s="5"/>
      <c r="RBG58" s="5"/>
      <c r="RBH58" s="5"/>
      <c r="RBI58" s="5"/>
      <c r="RBJ58" s="5"/>
      <c r="RBK58" s="5"/>
      <c r="RBL58" s="5"/>
      <c r="RBM58" s="5"/>
      <c r="RBN58" s="5"/>
      <c r="RBO58" s="5"/>
      <c r="RBP58" s="5"/>
      <c r="RBQ58" s="5"/>
      <c r="RBR58" s="5"/>
      <c r="RBS58" s="5"/>
      <c r="RBT58" s="5"/>
      <c r="RBU58" s="5"/>
      <c r="RBV58" s="5"/>
      <c r="RBW58" s="5"/>
      <c r="RBX58" s="5"/>
      <c r="RBY58" s="5"/>
      <c r="RBZ58" s="5"/>
      <c r="RCA58" s="5"/>
      <c r="RCB58" s="5"/>
      <c r="RCC58" s="5"/>
      <c r="RCD58" s="5"/>
      <c r="RCE58" s="5"/>
      <c r="RCF58" s="5"/>
      <c r="RCG58" s="5"/>
      <c r="RCH58" s="5"/>
      <c r="RCI58" s="5"/>
      <c r="RCJ58" s="5"/>
      <c r="RCK58" s="5"/>
      <c r="RCL58" s="5"/>
      <c r="RCM58" s="5"/>
      <c r="RCN58" s="5"/>
      <c r="RCO58" s="5"/>
      <c r="RCP58" s="5"/>
      <c r="RCQ58" s="5"/>
      <c r="RCR58" s="5"/>
      <c r="RCS58" s="5"/>
      <c r="RCT58" s="5"/>
      <c r="RCU58" s="5"/>
      <c r="RCV58" s="5"/>
      <c r="RCW58" s="5"/>
      <c r="RCX58" s="5"/>
      <c r="RCY58" s="5"/>
      <c r="RCZ58" s="5"/>
      <c r="RDA58" s="5"/>
      <c r="RDB58" s="5"/>
      <c r="RDC58" s="5"/>
      <c r="RDD58" s="5"/>
      <c r="RDE58" s="5"/>
      <c r="RDF58" s="5"/>
      <c r="RDG58" s="5"/>
      <c r="RDH58" s="5"/>
      <c r="RDI58" s="5"/>
      <c r="RDJ58" s="5"/>
      <c r="RDK58" s="5"/>
      <c r="RDL58" s="5"/>
      <c r="RDM58" s="5"/>
      <c r="RDN58" s="5"/>
      <c r="RDO58" s="5"/>
      <c r="RDP58" s="5"/>
      <c r="RDQ58" s="5"/>
      <c r="RDR58" s="5"/>
      <c r="RDS58" s="5"/>
      <c r="RDT58" s="5"/>
      <c r="RDU58" s="5"/>
      <c r="RDV58" s="5"/>
      <c r="RDW58" s="5"/>
      <c r="RDX58" s="5"/>
      <c r="RDY58" s="5"/>
      <c r="RDZ58" s="5"/>
      <c r="REA58" s="5"/>
      <c r="REB58" s="5"/>
      <c r="REC58" s="5"/>
      <c r="RED58" s="5"/>
      <c r="REE58" s="5"/>
      <c r="REF58" s="5"/>
      <c r="REG58" s="5"/>
      <c r="REH58" s="5"/>
      <c r="REI58" s="5"/>
      <c r="REJ58" s="5"/>
      <c r="REK58" s="5"/>
      <c r="REL58" s="5"/>
      <c r="REM58" s="5"/>
      <c r="REN58" s="5"/>
      <c r="REO58" s="5"/>
      <c r="REP58" s="5"/>
      <c r="REQ58" s="5"/>
      <c r="RER58" s="5"/>
      <c r="RES58" s="5"/>
      <c r="RET58" s="5"/>
      <c r="REU58" s="5"/>
      <c r="REV58" s="5"/>
      <c r="REW58" s="5"/>
      <c r="REX58" s="5"/>
      <c r="REY58" s="5"/>
      <c r="REZ58" s="5"/>
      <c r="RFA58" s="5"/>
      <c r="RFB58" s="5"/>
      <c r="RFC58" s="5"/>
      <c r="RFD58" s="5"/>
      <c r="RFE58" s="5"/>
      <c r="RFF58" s="5"/>
      <c r="RFG58" s="5"/>
      <c r="RFH58" s="5"/>
      <c r="RFI58" s="5"/>
      <c r="RFJ58" s="5"/>
      <c r="RFK58" s="5"/>
      <c r="RFL58" s="5"/>
      <c r="RFM58" s="5"/>
      <c r="RFN58" s="5"/>
      <c r="RFO58" s="5"/>
      <c r="RFP58" s="5"/>
      <c r="RFQ58" s="5"/>
      <c r="RFR58" s="5"/>
      <c r="RFS58" s="5"/>
      <c r="RFT58" s="5"/>
      <c r="RFU58" s="5"/>
      <c r="RFV58" s="5"/>
      <c r="RFW58" s="5"/>
      <c r="RFX58" s="5"/>
      <c r="RFY58" s="5"/>
      <c r="RFZ58" s="5"/>
      <c r="RGA58" s="5"/>
      <c r="RGB58" s="5"/>
      <c r="RGC58" s="5"/>
      <c r="RGD58" s="5"/>
      <c r="RGE58" s="5"/>
      <c r="RGF58" s="5"/>
      <c r="RGG58" s="5"/>
      <c r="RGH58" s="5"/>
      <c r="RGI58" s="5"/>
      <c r="RGJ58" s="5"/>
      <c r="RGK58" s="5"/>
      <c r="RGL58" s="5"/>
      <c r="RGM58" s="5"/>
      <c r="RGN58" s="5"/>
      <c r="RGO58" s="5"/>
      <c r="RGP58" s="5"/>
      <c r="RGQ58" s="5"/>
      <c r="RGR58" s="5"/>
      <c r="RGS58" s="5"/>
      <c r="RGT58" s="5"/>
      <c r="RGU58" s="5"/>
      <c r="RGV58" s="5"/>
      <c r="RGW58" s="5"/>
      <c r="RGX58" s="5"/>
      <c r="RGY58" s="5"/>
      <c r="RGZ58" s="5"/>
      <c r="RHA58" s="5"/>
      <c r="RHB58" s="5"/>
      <c r="RHC58" s="5"/>
      <c r="RHD58" s="5"/>
      <c r="RHE58" s="5"/>
      <c r="RHF58" s="5"/>
      <c r="RHG58" s="5"/>
      <c r="RHH58" s="5"/>
      <c r="RHI58" s="5"/>
      <c r="RHJ58" s="5"/>
      <c r="RHK58" s="5"/>
      <c r="RHL58" s="5"/>
      <c r="RHM58" s="5"/>
      <c r="RHN58" s="5"/>
      <c r="RHO58" s="5"/>
      <c r="RHP58" s="5"/>
      <c r="RHQ58" s="5"/>
      <c r="RHR58" s="5"/>
      <c r="RHS58" s="5"/>
      <c r="RHT58" s="5"/>
      <c r="RHU58" s="5"/>
      <c r="RHV58" s="5"/>
      <c r="RHW58" s="5"/>
      <c r="RHX58" s="5"/>
      <c r="RHY58" s="5"/>
      <c r="RHZ58" s="5"/>
      <c r="RIA58" s="5"/>
      <c r="RIB58" s="5"/>
      <c r="RIC58" s="5"/>
      <c r="RID58" s="5"/>
      <c r="RIE58" s="5"/>
      <c r="RIF58" s="5"/>
      <c r="RIG58" s="5"/>
      <c r="RIH58" s="5"/>
      <c r="RII58" s="5"/>
      <c r="RIJ58" s="5"/>
      <c r="RIK58" s="5"/>
      <c r="RIL58" s="5"/>
      <c r="RIM58" s="5"/>
      <c r="RIN58" s="5"/>
      <c r="RIO58" s="5"/>
      <c r="RIP58" s="5"/>
      <c r="RIQ58" s="5"/>
      <c r="RIR58" s="5"/>
      <c r="RIS58" s="5"/>
      <c r="RIT58" s="5"/>
      <c r="RIU58" s="5"/>
      <c r="RIV58" s="5"/>
      <c r="RIW58" s="5"/>
      <c r="RIX58" s="5"/>
      <c r="RIY58" s="5"/>
      <c r="RIZ58" s="5"/>
      <c r="RJA58" s="5"/>
      <c r="RJB58" s="5"/>
      <c r="RJC58" s="5"/>
      <c r="RJD58" s="5"/>
      <c r="RJE58" s="5"/>
      <c r="RJF58" s="5"/>
      <c r="RJG58" s="5"/>
      <c r="RJH58" s="5"/>
      <c r="RJI58" s="5"/>
      <c r="RJJ58" s="5"/>
      <c r="RJK58" s="5"/>
      <c r="RJL58" s="5"/>
      <c r="RJM58" s="5"/>
      <c r="RJN58" s="5"/>
      <c r="RJO58" s="5"/>
      <c r="RJP58" s="5"/>
      <c r="RJQ58" s="5"/>
      <c r="RJR58" s="5"/>
      <c r="RJS58" s="5"/>
      <c r="RJT58" s="5"/>
      <c r="RJU58" s="5"/>
      <c r="RJV58" s="5"/>
      <c r="RJW58" s="5"/>
      <c r="RJX58" s="5"/>
      <c r="RJY58" s="5"/>
      <c r="RJZ58" s="5"/>
      <c r="RKA58" s="5"/>
      <c r="RKB58" s="5"/>
      <c r="RKC58" s="5"/>
      <c r="RKD58" s="5"/>
      <c r="RKE58" s="5"/>
      <c r="RKF58" s="5"/>
      <c r="RKG58" s="5"/>
      <c r="RKH58" s="5"/>
      <c r="RKI58" s="5"/>
      <c r="RKJ58" s="5"/>
      <c r="RKK58" s="5"/>
      <c r="RKL58" s="5"/>
      <c r="RKM58" s="5"/>
      <c r="RKN58" s="5"/>
      <c r="RKO58" s="5"/>
      <c r="RKP58" s="5"/>
      <c r="RKQ58" s="5"/>
      <c r="RKR58" s="5"/>
      <c r="RKS58" s="5"/>
      <c r="RKT58" s="5"/>
      <c r="RKU58" s="5"/>
      <c r="RKV58" s="5"/>
      <c r="RKW58" s="5"/>
      <c r="RKX58" s="5"/>
      <c r="RKY58" s="5"/>
      <c r="RKZ58" s="5"/>
      <c r="RLA58" s="5"/>
      <c r="RLB58" s="5"/>
      <c r="RLC58" s="5"/>
      <c r="RLD58" s="5"/>
      <c r="RLE58" s="5"/>
      <c r="RLF58" s="5"/>
      <c r="RLG58" s="5"/>
      <c r="RLH58" s="5"/>
      <c r="RLI58" s="5"/>
      <c r="RLJ58" s="5"/>
      <c r="RLK58" s="5"/>
      <c r="RLL58" s="5"/>
      <c r="RLM58" s="5"/>
      <c r="RLN58" s="5"/>
      <c r="RLO58" s="5"/>
      <c r="RLP58" s="5"/>
      <c r="RLQ58" s="5"/>
      <c r="RLR58" s="5"/>
      <c r="RLS58" s="5"/>
      <c r="RLT58" s="5"/>
      <c r="RLU58" s="5"/>
      <c r="RLV58" s="5"/>
      <c r="RLW58" s="5"/>
      <c r="RLX58" s="5"/>
      <c r="RLY58" s="5"/>
      <c r="RLZ58" s="5"/>
      <c r="RMA58" s="5"/>
      <c r="RMB58" s="5"/>
      <c r="RMC58" s="5"/>
      <c r="RMD58" s="5"/>
      <c r="RME58" s="5"/>
      <c r="RMF58" s="5"/>
      <c r="RMG58" s="5"/>
      <c r="RMH58" s="5"/>
      <c r="RMI58" s="5"/>
      <c r="RMJ58" s="5"/>
      <c r="RMK58" s="5"/>
      <c r="RML58" s="5"/>
      <c r="RMM58" s="5"/>
      <c r="RMN58" s="5"/>
      <c r="RMO58" s="5"/>
      <c r="RMP58" s="5"/>
      <c r="RMQ58" s="5"/>
      <c r="RMR58" s="5"/>
      <c r="RMS58" s="5"/>
      <c r="RMT58" s="5"/>
      <c r="RMU58" s="5"/>
      <c r="RMV58" s="5"/>
      <c r="RMW58" s="5"/>
      <c r="RMX58" s="5"/>
      <c r="RMY58" s="5"/>
      <c r="RMZ58" s="5"/>
      <c r="RNA58" s="5"/>
      <c r="RNB58" s="5"/>
      <c r="RNC58" s="5"/>
      <c r="RND58" s="5"/>
      <c r="RNE58" s="5"/>
      <c r="RNF58" s="5"/>
      <c r="RNG58" s="5"/>
      <c r="RNH58" s="5"/>
      <c r="RNI58" s="5"/>
      <c r="RNJ58" s="5"/>
      <c r="RNK58" s="5"/>
      <c r="RNL58" s="5"/>
      <c r="RNM58" s="5"/>
      <c r="RNN58" s="5"/>
      <c r="RNO58" s="5"/>
      <c r="RNP58" s="5"/>
      <c r="RNQ58" s="5"/>
      <c r="RNR58" s="5"/>
      <c r="RNS58" s="5"/>
      <c r="RNT58" s="5"/>
      <c r="RNU58" s="5"/>
      <c r="RNV58" s="5"/>
      <c r="RNW58" s="5"/>
      <c r="RNX58" s="5"/>
      <c r="RNY58" s="5"/>
      <c r="RNZ58" s="5"/>
      <c r="ROA58" s="5"/>
      <c r="ROB58" s="5"/>
      <c r="ROC58" s="5"/>
      <c r="ROD58" s="5"/>
      <c r="ROE58" s="5"/>
      <c r="ROF58" s="5"/>
      <c r="ROG58" s="5"/>
      <c r="ROH58" s="5"/>
      <c r="ROI58" s="5"/>
      <c r="ROJ58" s="5"/>
      <c r="ROK58" s="5"/>
      <c r="ROL58" s="5"/>
      <c r="ROM58" s="5"/>
      <c r="RON58" s="5"/>
      <c r="ROO58" s="5"/>
      <c r="ROP58" s="5"/>
      <c r="ROQ58" s="5"/>
      <c r="ROR58" s="5"/>
      <c r="ROS58" s="5"/>
      <c r="ROT58" s="5"/>
      <c r="ROU58" s="5"/>
      <c r="ROV58" s="5"/>
      <c r="ROW58" s="5"/>
      <c r="ROX58" s="5"/>
      <c r="ROY58" s="5"/>
      <c r="ROZ58" s="5"/>
      <c r="RPA58" s="5"/>
      <c r="RPB58" s="5"/>
      <c r="RPC58" s="5"/>
      <c r="RPD58" s="5"/>
      <c r="RPE58" s="5"/>
      <c r="RPF58" s="5"/>
      <c r="RPG58" s="5"/>
      <c r="RPH58" s="5"/>
      <c r="RPI58" s="5"/>
      <c r="RPJ58" s="5"/>
      <c r="RPK58" s="5"/>
      <c r="RPL58" s="5"/>
      <c r="RPM58" s="5"/>
      <c r="RPN58" s="5"/>
      <c r="RPO58" s="5"/>
      <c r="RPP58" s="5"/>
      <c r="RPQ58" s="5"/>
      <c r="RPR58" s="5"/>
      <c r="RPS58" s="5"/>
      <c r="RPT58" s="5"/>
      <c r="RPU58" s="5"/>
      <c r="RPV58" s="5"/>
      <c r="RPW58" s="5"/>
      <c r="RPX58" s="5"/>
      <c r="RPY58" s="5"/>
      <c r="RPZ58" s="5"/>
      <c r="RQA58" s="5"/>
      <c r="RQB58" s="5"/>
      <c r="RQC58" s="5"/>
      <c r="RQD58" s="5"/>
      <c r="RQE58" s="5"/>
      <c r="RQF58" s="5"/>
      <c r="RQG58" s="5"/>
      <c r="RQH58" s="5"/>
      <c r="RQI58" s="5"/>
      <c r="RQJ58" s="5"/>
      <c r="RQK58" s="5"/>
      <c r="RQL58" s="5"/>
      <c r="RQM58" s="5"/>
      <c r="RQN58" s="5"/>
      <c r="RQO58" s="5"/>
      <c r="RQP58" s="5"/>
      <c r="RQQ58" s="5"/>
      <c r="RQR58" s="5"/>
      <c r="RQS58" s="5"/>
      <c r="RQT58" s="5"/>
      <c r="RQU58" s="5"/>
      <c r="RQV58" s="5"/>
      <c r="RQW58" s="5"/>
      <c r="RQX58" s="5"/>
      <c r="RQY58" s="5"/>
      <c r="RQZ58" s="5"/>
      <c r="RRA58" s="5"/>
      <c r="RRB58" s="5"/>
      <c r="RRC58" s="5"/>
      <c r="RRD58" s="5"/>
      <c r="RRE58" s="5"/>
      <c r="RRF58" s="5"/>
      <c r="RRG58" s="5"/>
      <c r="RRH58" s="5"/>
      <c r="RRI58" s="5"/>
      <c r="RRJ58" s="5"/>
      <c r="RRK58" s="5"/>
      <c r="RRL58" s="5"/>
      <c r="RRM58" s="5"/>
      <c r="RRN58" s="5"/>
      <c r="RRO58" s="5"/>
      <c r="RRP58" s="5"/>
      <c r="RRQ58" s="5"/>
      <c r="RRR58" s="5"/>
      <c r="RRS58" s="5"/>
      <c r="RRT58" s="5"/>
      <c r="RRU58" s="5"/>
      <c r="RRV58" s="5"/>
      <c r="RRW58" s="5"/>
      <c r="RRX58" s="5"/>
      <c r="RRY58" s="5"/>
      <c r="RRZ58" s="5"/>
      <c r="RSA58" s="5"/>
      <c r="RSB58" s="5"/>
      <c r="RSC58" s="5"/>
      <c r="RSD58" s="5"/>
      <c r="RSE58" s="5"/>
      <c r="RSF58" s="5"/>
      <c r="RSG58" s="5"/>
      <c r="RSH58" s="5"/>
      <c r="RSI58" s="5"/>
      <c r="RSJ58" s="5"/>
      <c r="RSK58" s="5"/>
      <c r="RSL58" s="5"/>
      <c r="RSM58" s="5"/>
      <c r="RSN58" s="5"/>
      <c r="RSO58" s="5"/>
      <c r="RSP58" s="5"/>
      <c r="RSQ58" s="5"/>
      <c r="RSR58" s="5"/>
      <c r="RSS58" s="5"/>
      <c r="RST58" s="5"/>
      <c r="RSU58" s="5"/>
      <c r="RSV58" s="5"/>
      <c r="RSW58" s="5"/>
      <c r="RSX58" s="5"/>
      <c r="RSY58" s="5"/>
      <c r="RSZ58" s="5"/>
      <c r="RTA58" s="5"/>
      <c r="RTB58" s="5"/>
      <c r="RTC58" s="5"/>
      <c r="RTD58" s="5"/>
      <c r="RTE58" s="5"/>
      <c r="RTF58" s="5"/>
      <c r="RTG58" s="5"/>
      <c r="RTH58" s="5"/>
      <c r="RTI58" s="5"/>
      <c r="RTJ58" s="5"/>
      <c r="RTK58" s="5"/>
      <c r="RTL58" s="5"/>
      <c r="RTM58" s="5"/>
      <c r="RTN58" s="5"/>
      <c r="RTO58" s="5"/>
      <c r="RTP58" s="5"/>
      <c r="RTQ58" s="5"/>
      <c r="RTR58" s="5"/>
      <c r="RTS58" s="5"/>
      <c r="RTT58" s="5"/>
      <c r="RTU58" s="5"/>
      <c r="RTV58" s="5"/>
      <c r="RTW58" s="5"/>
      <c r="RTX58" s="5"/>
      <c r="RTY58" s="5"/>
      <c r="RTZ58" s="5"/>
      <c r="RUA58" s="5"/>
      <c r="RUB58" s="5"/>
      <c r="RUC58" s="5"/>
      <c r="RUD58" s="5"/>
      <c r="RUE58" s="5"/>
      <c r="RUF58" s="5"/>
      <c r="RUG58" s="5"/>
      <c r="RUH58" s="5"/>
      <c r="RUI58" s="5"/>
      <c r="RUJ58" s="5"/>
      <c r="RUK58" s="5"/>
      <c r="RUL58" s="5"/>
      <c r="RUM58" s="5"/>
      <c r="RUN58" s="5"/>
      <c r="RUO58" s="5"/>
      <c r="RUP58" s="5"/>
      <c r="RUQ58" s="5"/>
      <c r="RUR58" s="5"/>
      <c r="RUS58" s="5"/>
      <c r="RUT58" s="5"/>
      <c r="RUU58" s="5"/>
      <c r="RUV58" s="5"/>
      <c r="RUW58" s="5"/>
      <c r="RUX58" s="5"/>
      <c r="RUY58" s="5"/>
      <c r="RUZ58" s="5"/>
      <c r="RVA58" s="5"/>
      <c r="RVB58" s="5"/>
      <c r="RVC58" s="5"/>
      <c r="RVD58" s="5"/>
      <c r="RVE58" s="5"/>
      <c r="RVF58" s="5"/>
      <c r="RVG58" s="5"/>
      <c r="RVH58" s="5"/>
      <c r="RVI58" s="5"/>
      <c r="RVJ58" s="5"/>
      <c r="RVK58" s="5"/>
      <c r="RVL58" s="5"/>
      <c r="RVM58" s="5"/>
      <c r="RVN58" s="5"/>
      <c r="RVO58" s="5"/>
      <c r="RVP58" s="5"/>
      <c r="RVQ58" s="5"/>
      <c r="RVR58" s="5"/>
      <c r="RVS58" s="5"/>
      <c r="RVT58" s="5"/>
      <c r="RVU58" s="5"/>
      <c r="RVV58" s="5"/>
      <c r="RVW58" s="5"/>
      <c r="RVX58" s="5"/>
      <c r="RVY58" s="5"/>
      <c r="RVZ58" s="5"/>
      <c r="RWA58" s="5"/>
      <c r="RWB58" s="5"/>
      <c r="RWC58" s="5"/>
      <c r="RWD58" s="5"/>
      <c r="RWE58" s="5"/>
      <c r="RWF58" s="5"/>
      <c r="RWG58" s="5"/>
      <c r="RWH58" s="5"/>
      <c r="RWI58" s="5"/>
      <c r="RWJ58" s="5"/>
      <c r="RWK58" s="5"/>
      <c r="RWL58" s="5"/>
      <c r="RWM58" s="5"/>
      <c r="RWN58" s="5"/>
      <c r="RWO58" s="5"/>
      <c r="RWP58" s="5"/>
      <c r="RWQ58" s="5"/>
      <c r="RWR58" s="5"/>
      <c r="RWS58" s="5"/>
      <c r="RWT58" s="5"/>
      <c r="RWU58" s="5"/>
      <c r="RWV58" s="5"/>
      <c r="RWW58" s="5"/>
      <c r="RWX58" s="5"/>
      <c r="RWY58" s="5"/>
      <c r="RWZ58" s="5"/>
      <c r="RXA58" s="5"/>
      <c r="RXB58" s="5"/>
      <c r="RXC58" s="5"/>
      <c r="RXD58" s="5"/>
      <c r="RXE58" s="5"/>
      <c r="RXF58" s="5"/>
      <c r="RXG58" s="5"/>
      <c r="RXH58" s="5"/>
      <c r="RXI58" s="5"/>
      <c r="RXJ58" s="5"/>
      <c r="RXK58" s="5"/>
      <c r="RXL58" s="5"/>
      <c r="RXM58" s="5"/>
      <c r="RXN58" s="5"/>
      <c r="RXO58" s="5"/>
      <c r="RXP58" s="5"/>
      <c r="RXQ58" s="5"/>
      <c r="RXR58" s="5"/>
      <c r="RXS58" s="5"/>
      <c r="RXT58" s="5"/>
      <c r="RXU58" s="5"/>
      <c r="RXV58" s="5"/>
      <c r="RXW58" s="5"/>
      <c r="RXX58" s="5"/>
      <c r="RXY58" s="5"/>
      <c r="RXZ58" s="5"/>
      <c r="RYA58" s="5"/>
      <c r="RYB58" s="5"/>
      <c r="RYC58" s="5"/>
      <c r="RYD58" s="5"/>
      <c r="RYE58" s="5"/>
      <c r="RYF58" s="5"/>
      <c r="RYG58" s="5"/>
      <c r="RYH58" s="5"/>
      <c r="RYI58" s="5"/>
      <c r="RYJ58" s="5"/>
      <c r="RYK58" s="5"/>
      <c r="RYL58" s="5"/>
      <c r="RYM58" s="5"/>
      <c r="RYN58" s="5"/>
      <c r="RYO58" s="5"/>
      <c r="RYP58" s="5"/>
      <c r="RYQ58" s="5"/>
      <c r="RYR58" s="5"/>
      <c r="RYS58" s="5"/>
      <c r="RYT58" s="5"/>
      <c r="RYU58" s="5"/>
      <c r="RYV58" s="5"/>
      <c r="RYW58" s="5"/>
      <c r="RYX58" s="5"/>
      <c r="RYY58" s="5"/>
      <c r="RYZ58" s="5"/>
      <c r="RZA58" s="5"/>
      <c r="RZB58" s="5"/>
      <c r="RZC58" s="5"/>
      <c r="RZD58" s="5"/>
      <c r="RZE58" s="5"/>
      <c r="RZF58" s="5"/>
      <c r="RZG58" s="5"/>
      <c r="RZH58" s="5"/>
      <c r="RZI58" s="5"/>
      <c r="RZJ58" s="5"/>
      <c r="RZK58" s="5"/>
      <c r="RZL58" s="5"/>
      <c r="RZM58" s="5"/>
      <c r="RZN58" s="5"/>
      <c r="RZO58" s="5"/>
      <c r="RZP58" s="5"/>
      <c r="RZQ58" s="5"/>
      <c r="RZR58" s="5"/>
      <c r="RZS58" s="5"/>
      <c r="RZT58" s="5"/>
      <c r="RZU58" s="5"/>
      <c r="RZV58" s="5"/>
      <c r="RZW58" s="5"/>
      <c r="RZX58" s="5"/>
      <c r="RZY58" s="5"/>
      <c r="RZZ58" s="5"/>
      <c r="SAA58" s="5"/>
      <c r="SAB58" s="5"/>
      <c r="SAC58" s="5"/>
      <c r="SAD58" s="5"/>
      <c r="SAE58" s="5"/>
      <c r="SAF58" s="5"/>
      <c r="SAG58" s="5"/>
      <c r="SAH58" s="5"/>
      <c r="SAI58" s="5"/>
      <c r="SAJ58" s="5"/>
      <c r="SAK58" s="5"/>
      <c r="SAL58" s="5"/>
      <c r="SAM58" s="5"/>
      <c r="SAN58" s="5"/>
      <c r="SAO58" s="5"/>
      <c r="SAP58" s="5"/>
      <c r="SAQ58" s="5"/>
      <c r="SAR58" s="5"/>
      <c r="SAS58" s="5"/>
      <c r="SAT58" s="5"/>
      <c r="SAU58" s="5"/>
      <c r="SAV58" s="5"/>
      <c r="SAW58" s="5"/>
      <c r="SAX58" s="5"/>
      <c r="SAY58" s="5"/>
      <c r="SAZ58" s="5"/>
      <c r="SBA58" s="5"/>
      <c r="SBB58" s="5"/>
      <c r="SBC58" s="5"/>
      <c r="SBD58" s="5"/>
      <c r="SBE58" s="5"/>
      <c r="SBF58" s="5"/>
      <c r="SBG58" s="5"/>
      <c r="SBH58" s="5"/>
      <c r="SBI58" s="5"/>
      <c r="SBJ58" s="5"/>
      <c r="SBK58" s="5"/>
      <c r="SBL58" s="5"/>
      <c r="SBM58" s="5"/>
      <c r="SBN58" s="5"/>
      <c r="SBO58" s="5"/>
      <c r="SBP58" s="5"/>
      <c r="SBQ58" s="5"/>
      <c r="SBR58" s="5"/>
      <c r="SBS58" s="5"/>
      <c r="SBT58" s="5"/>
      <c r="SBU58" s="5"/>
      <c r="SBV58" s="5"/>
      <c r="SBW58" s="5"/>
      <c r="SBX58" s="5"/>
      <c r="SBY58" s="5"/>
      <c r="SBZ58" s="5"/>
      <c r="SCA58" s="5"/>
      <c r="SCB58" s="5"/>
      <c r="SCC58" s="5"/>
      <c r="SCD58" s="5"/>
      <c r="SCE58" s="5"/>
      <c r="SCF58" s="5"/>
      <c r="SCG58" s="5"/>
      <c r="SCH58" s="5"/>
      <c r="SCI58" s="5"/>
      <c r="SCJ58" s="5"/>
      <c r="SCK58" s="5"/>
      <c r="SCL58" s="5"/>
      <c r="SCM58" s="5"/>
      <c r="SCN58" s="5"/>
      <c r="SCO58" s="5"/>
      <c r="SCP58" s="5"/>
      <c r="SCQ58" s="5"/>
      <c r="SCR58" s="5"/>
      <c r="SCS58" s="5"/>
      <c r="SCT58" s="5"/>
      <c r="SCU58" s="5"/>
      <c r="SCV58" s="5"/>
      <c r="SCW58" s="5"/>
      <c r="SCX58" s="5"/>
      <c r="SCY58" s="5"/>
      <c r="SCZ58" s="5"/>
      <c r="SDA58" s="5"/>
      <c r="SDB58" s="5"/>
      <c r="SDC58" s="5"/>
      <c r="SDD58" s="5"/>
      <c r="SDE58" s="5"/>
      <c r="SDF58" s="5"/>
      <c r="SDG58" s="5"/>
      <c r="SDH58" s="5"/>
      <c r="SDI58" s="5"/>
      <c r="SDJ58" s="5"/>
      <c r="SDK58" s="5"/>
      <c r="SDL58" s="5"/>
      <c r="SDM58" s="5"/>
      <c r="SDN58" s="5"/>
      <c r="SDO58" s="5"/>
      <c r="SDP58" s="5"/>
      <c r="SDQ58" s="5"/>
      <c r="SDR58" s="5"/>
      <c r="SDS58" s="5"/>
      <c r="SDT58" s="5"/>
      <c r="SDU58" s="5"/>
      <c r="SDV58" s="5"/>
      <c r="SDW58" s="5"/>
      <c r="SDX58" s="5"/>
      <c r="SDY58" s="5"/>
      <c r="SDZ58" s="5"/>
      <c r="SEA58" s="5"/>
      <c r="SEB58" s="5"/>
      <c r="SEC58" s="5"/>
      <c r="SED58" s="5"/>
      <c r="SEE58" s="5"/>
      <c r="SEF58" s="5"/>
      <c r="SEG58" s="5"/>
      <c r="SEH58" s="5"/>
      <c r="SEI58" s="5"/>
      <c r="SEJ58" s="5"/>
      <c r="SEK58" s="5"/>
      <c r="SEL58" s="5"/>
      <c r="SEM58" s="5"/>
      <c r="SEN58" s="5"/>
      <c r="SEO58" s="5"/>
      <c r="SEP58" s="5"/>
      <c r="SEQ58" s="5"/>
      <c r="SER58" s="5"/>
      <c r="SES58" s="5"/>
      <c r="SET58" s="5"/>
      <c r="SEU58" s="5"/>
      <c r="SEV58" s="5"/>
      <c r="SEW58" s="5"/>
      <c r="SEX58" s="5"/>
      <c r="SEY58" s="5"/>
      <c r="SEZ58" s="5"/>
      <c r="SFA58" s="5"/>
      <c r="SFB58" s="5"/>
      <c r="SFC58" s="5"/>
      <c r="SFD58" s="5"/>
      <c r="SFE58" s="5"/>
      <c r="SFF58" s="5"/>
      <c r="SFG58" s="5"/>
      <c r="SFH58" s="5"/>
      <c r="SFI58" s="5"/>
      <c r="SFJ58" s="5"/>
      <c r="SFK58" s="5"/>
      <c r="SFL58" s="5"/>
      <c r="SFM58" s="5"/>
      <c r="SFN58" s="5"/>
      <c r="SFO58" s="5"/>
      <c r="SFP58" s="5"/>
      <c r="SFQ58" s="5"/>
      <c r="SFR58" s="5"/>
      <c r="SFS58" s="5"/>
      <c r="SFT58" s="5"/>
      <c r="SFU58" s="5"/>
      <c r="SFV58" s="5"/>
      <c r="SFW58" s="5"/>
      <c r="SFX58" s="5"/>
      <c r="SFY58" s="5"/>
      <c r="SFZ58" s="5"/>
      <c r="SGA58" s="5"/>
      <c r="SGB58" s="5"/>
      <c r="SGC58" s="5"/>
      <c r="SGD58" s="5"/>
      <c r="SGE58" s="5"/>
      <c r="SGF58" s="5"/>
      <c r="SGG58" s="5"/>
      <c r="SGH58" s="5"/>
      <c r="SGI58" s="5"/>
      <c r="SGJ58" s="5"/>
      <c r="SGK58" s="5"/>
      <c r="SGL58" s="5"/>
      <c r="SGM58" s="5"/>
      <c r="SGN58" s="5"/>
      <c r="SGO58" s="5"/>
      <c r="SGP58" s="5"/>
      <c r="SGQ58" s="5"/>
      <c r="SGR58" s="5"/>
      <c r="SGS58" s="5"/>
      <c r="SGT58" s="5"/>
      <c r="SGU58" s="5"/>
      <c r="SGV58" s="5"/>
      <c r="SGW58" s="5"/>
      <c r="SGX58" s="5"/>
      <c r="SGY58" s="5"/>
      <c r="SGZ58" s="5"/>
      <c r="SHA58" s="5"/>
      <c r="SHB58" s="5"/>
      <c r="SHC58" s="5"/>
      <c r="SHD58" s="5"/>
      <c r="SHE58" s="5"/>
      <c r="SHF58" s="5"/>
      <c r="SHG58" s="5"/>
      <c r="SHH58" s="5"/>
      <c r="SHI58" s="5"/>
      <c r="SHJ58" s="5"/>
      <c r="SHK58" s="5"/>
      <c r="SHL58" s="5"/>
      <c r="SHM58" s="5"/>
      <c r="SHN58" s="5"/>
      <c r="SHO58" s="5"/>
      <c r="SHP58" s="5"/>
      <c r="SHQ58" s="5"/>
      <c r="SHR58" s="5"/>
      <c r="SHS58" s="5"/>
      <c r="SHT58" s="5"/>
      <c r="SHU58" s="5"/>
      <c r="SHV58" s="5"/>
      <c r="SHW58" s="5"/>
      <c r="SHX58" s="5"/>
      <c r="SHY58" s="5"/>
      <c r="SHZ58" s="5"/>
      <c r="SIA58" s="5"/>
      <c r="SIB58" s="5"/>
      <c r="SIC58" s="5"/>
      <c r="SID58" s="5"/>
      <c r="SIE58" s="5"/>
      <c r="SIF58" s="5"/>
      <c r="SIG58" s="5"/>
      <c r="SIH58" s="5"/>
      <c r="SII58" s="5"/>
      <c r="SIJ58" s="5"/>
      <c r="SIK58" s="5"/>
      <c r="SIL58" s="5"/>
      <c r="SIM58" s="5"/>
      <c r="SIN58" s="5"/>
      <c r="SIO58" s="5"/>
      <c r="SIP58" s="5"/>
      <c r="SIQ58" s="5"/>
      <c r="SIR58" s="5"/>
      <c r="SIS58" s="5"/>
      <c r="SIT58" s="5"/>
      <c r="SIU58" s="5"/>
      <c r="SIV58" s="5"/>
      <c r="SIW58" s="5"/>
      <c r="SIX58" s="5"/>
      <c r="SIY58" s="5"/>
      <c r="SIZ58" s="5"/>
      <c r="SJA58" s="5"/>
      <c r="SJB58" s="5"/>
      <c r="SJC58" s="5"/>
      <c r="SJD58" s="5"/>
      <c r="SJE58" s="5"/>
      <c r="SJF58" s="5"/>
      <c r="SJG58" s="5"/>
      <c r="SJH58" s="5"/>
      <c r="SJI58" s="5"/>
      <c r="SJJ58" s="5"/>
      <c r="SJK58" s="5"/>
      <c r="SJL58" s="5"/>
      <c r="SJM58" s="5"/>
      <c r="SJN58" s="5"/>
      <c r="SJO58" s="5"/>
      <c r="SJP58" s="5"/>
      <c r="SJQ58" s="5"/>
      <c r="SJR58" s="5"/>
      <c r="SJS58" s="5"/>
      <c r="SJT58" s="5"/>
      <c r="SJU58" s="5"/>
      <c r="SJV58" s="5"/>
      <c r="SJW58" s="5"/>
      <c r="SJX58" s="5"/>
      <c r="SJY58" s="5"/>
      <c r="SJZ58" s="5"/>
      <c r="SKA58" s="5"/>
      <c r="SKB58" s="5"/>
      <c r="SKC58" s="5"/>
      <c r="SKD58" s="5"/>
      <c r="SKE58" s="5"/>
      <c r="SKF58" s="5"/>
      <c r="SKG58" s="5"/>
      <c r="SKH58" s="5"/>
      <c r="SKI58" s="5"/>
      <c r="SKJ58" s="5"/>
      <c r="SKK58" s="5"/>
      <c r="SKL58" s="5"/>
      <c r="SKM58" s="5"/>
      <c r="SKN58" s="5"/>
      <c r="SKO58" s="5"/>
      <c r="SKP58" s="5"/>
      <c r="SKQ58" s="5"/>
      <c r="SKR58" s="5"/>
      <c r="SKS58" s="5"/>
      <c r="SKT58" s="5"/>
      <c r="SKU58" s="5"/>
      <c r="SKV58" s="5"/>
      <c r="SKW58" s="5"/>
      <c r="SKX58" s="5"/>
      <c r="SKY58" s="5"/>
      <c r="SKZ58" s="5"/>
      <c r="SLA58" s="5"/>
      <c r="SLB58" s="5"/>
      <c r="SLC58" s="5"/>
      <c r="SLD58" s="5"/>
      <c r="SLE58" s="5"/>
      <c r="SLF58" s="5"/>
      <c r="SLG58" s="5"/>
      <c r="SLH58" s="5"/>
      <c r="SLI58" s="5"/>
      <c r="SLJ58" s="5"/>
      <c r="SLK58" s="5"/>
      <c r="SLL58" s="5"/>
      <c r="SLM58" s="5"/>
      <c r="SLN58" s="5"/>
      <c r="SLO58" s="5"/>
      <c r="SLP58" s="5"/>
      <c r="SLQ58" s="5"/>
      <c r="SLR58" s="5"/>
      <c r="SLS58" s="5"/>
      <c r="SLT58" s="5"/>
      <c r="SLU58" s="5"/>
      <c r="SLV58" s="5"/>
      <c r="SLW58" s="5"/>
      <c r="SLX58" s="5"/>
      <c r="SLY58" s="5"/>
      <c r="SLZ58" s="5"/>
      <c r="SMA58" s="5"/>
      <c r="SMB58" s="5"/>
      <c r="SMC58" s="5"/>
      <c r="SMD58" s="5"/>
      <c r="SME58" s="5"/>
      <c r="SMF58" s="5"/>
      <c r="SMG58" s="5"/>
      <c r="SMH58" s="5"/>
      <c r="SMI58" s="5"/>
      <c r="SMJ58" s="5"/>
      <c r="SMK58" s="5"/>
      <c r="SML58" s="5"/>
      <c r="SMM58" s="5"/>
      <c r="SMN58" s="5"/>
      <c r="SMO58" s="5"/>
      <c r="SMP58" s="5"/>
      <c r="SMQ58" s="5"/>
      <c r="SMR58" s="5"/>
      <c r="SMS58" s="5"/>
      <c r="SMT58" s="5"/>
      <c r="SMU58" s="5"/>
      <c r="SMV58" s="5"/>
      <c r="SMW58" s="5"/>
      <c r="SMX58" s="5"/>
      <c r="SMY58" s="5"/>
      <c r="SMZ58" s="5"/>
      <c r="SNA58" s="5"/>
      <c r="SNB58" s="5"/>
      <c r="SNC58" s="5"/>
      <c r="SND58" s="5"/>
      <c r="SNE58" s="5"/>
      <c r="SNF58" s="5"/>
      <c r="SNG58" s="5"/>
      <c r="SNH58" s="5"/>
      <c r="SNI58" s="5"/>
      <c r="SNJ58" s="5"/>
      <c r="SNK58" s="5"/>
      <c r="SNL58" s="5"/>
      <c r="SNM58" s="5"/>
      <c r="SNN58" s="5"/>
      <c r="SNO58" s="5"/>
      <c r="SNP58" s="5"/>
      <c r="SNQ58" s="5"/>
      <c r="SNR58" s="5"/>
      <c r="SNS58" s="5"/>
      <c r="SNT58" s="5"/>
      <c r="SNU58" s="5"/>
      <c r="SNV58" s="5"/>
      <c r="SNW58" s="5"/>
      <c r="SNX58" s="5"/>
      <c r="SNY58" s="5"/>
      <c r="SNZ58" s="5"/>
      <c r="SOA58" s="5"/>
      <c r="SOB58" s="5"/>
      <c r="SOC58" s="5"/>
      <c r="SOD58" s="5"/>
      <c r="SOE58" s="5"/>
      <c r="SOF58" s="5"/>
      <c r="SOG58" s="5"/>
      <c r="SOH58" s="5"/>
      <c r="SOI58" s="5"/>
      <c r="SOJ58" s="5"/>
      <c r="SOK58" s="5"/>
      <c r="SOL58" s="5"/>
      <c r="SOM58" s="5"/>
      <c r="SON58" s="5"/>
      <c r="SOO58" s="5"/>
      <c r="SOP58" s="5"/>
      <c r="SOQ58" s="5"/>
      <c r="SOR58" s="5"/>
      <c r="SOS58" s="5"/>
      <c r="SOT58" s="5"/>
      <c r="SOU58" s="5"/>
      <c r="SOV58" s="5"/>
      <c r="SOW58" s="5"/>
      <c r="SOX58" s="5"/>
      <c r="SOY58" s="5"/>
      <c r="SOZ58" s="5"/>
      <c r="SPA58" s="5"/>
      <c r="SPB58" s="5"/>
      <c r="SPC58" s="5"/>
      <c r="SPD58" s="5"/>
      <c r="SPE58" s="5"/>
      <c r="SPF58" s="5"/>
      <c r="SPG58" s="5"/>
      <c r="SPH58" s="5"/>
      <c r="SPI58" s="5"/>
      <c r="SPJ58" s="5"/>
      <c r="SPK58" s="5"/>
      <c r="SPL58" s="5"/>
      <c r="SPM58" s="5"/>
      <c r="SPN58" s="5"/>
      <c r="SPO58" s="5"/>
      <c r="SPP58" s="5"/>
      <c r="SPQ58" s="5"/>
      <c r="SPR58" s="5"/>
      <c r="SPS58" s="5"/>
      <c r="SPT58" s="5"/>
      <c r="SPU58" s="5"/>
      <c r="SPV58" s="5"/>
      <c r="SPW58" s="5"/>
      <c r="SPX58" s="5"/>
      <c r="SPY58" s="5"/>
      <c r="SPZ58" s="5"/>
      <c r="SQA58" s="5"/>
      <c r="SQB58" s="5"/>
      <c r="SQC58" s="5"/>
      <c r="SQD58" s="5"/>
      <c r="SQE58" s="5"/>
      <c r="SQF58" s="5"/>
      <c r="SQG58" s="5"/>
      <c r="SQH58" s="5"/>
      <c r="SQI58" s="5"/>
      <c r="SQJ58" s="5"/>
      <c r="SQK58" s="5"/>
      <c r="SQL58" s="5"/>
      <c r="SQM58" s="5"/>
      <c r="SQN58" s="5"/>
      <c r="SQO58" s="5"/>
      <c r="SQP58" s="5"/>
      <c r="SQQ58" s="5"/>
      <c r="SQR58" s="5"/>
      <c r="SQS58" s="5"/>
      <c r="SQT58" s="5"/>
      <c r="SQU58" s="5"/>
      <c r="SQV58" s="5"/>
      <c r="SQW58" s="5"/>
      <c r="SQX58" s="5"/>
      <c r="SQY58" s="5"/>
      <c r="SQZ58" s="5"/>
      <c r="SRA58" s="5"/>
      <c r="SRB58" s="5"/>
      <c r="SRC58" s="5"/>
      <c r="SRD58" s="5"/>
      <c r="SRE58" s="5"/>
      <c r="SRF58" s="5"/>
      <c r="SRG58" s="5"/>
      <c r="SRH58" s="5"/>
      <c r="SRI58" s="5"/>
      <c r="SRJ58" s="5"/>
      <c r="SRK58" s="5"/>
      <c r="SRL58" s="5"/>
      <c r="SRM58" s="5"/>
      <c r="SRN58" s="5"/>
      <c r="SRO58" s="5"/>
      <c r="SRP58" s="5"/>
      <c r="SRQ58" s="5"/>
      <c r="SRR58" s="5"/>
      <c r="SRS58" s="5"/>
      <c r="SRT58" s="5"/>
      <c r="SRU58" s="5"/>
      <c r="SRV58" s="5"/>
      <c r="SRW58" s="5"/>
      <c r="SRX58" s="5"/>
      <c r="SRY58" s="5"/>
      <c r="SRZ58" s="5"/>
      <c r="SSA58" s="5"/>
      <c r="SSB58" s="5"/>
      <c r="SSC58" s="5"/>
      <c r="SSD58" s="5"/>
      <c r="SSE58" s="5"/>
      <c r="SSF58" s="5"/>
      <c r="SSG58" s="5"/>
      <c r="SSH58" s="5"/>
      <c r="SSI58" s="5"/>
      <c r="SSJ58" s="5"/>
      <c r="SSK58" s="5"/>
      <c r="SSL58" s="5"/>
      <c r="SSM58" s="5"/>
      <c r="SSN58" s="5"/>
      <c r="SSO58" s="5"/>
      <c r="SSP58" s="5"/>
      <c r="SSQ58" s="5"/>
      <c r="SSR58" s="5"/>
      <c r="SSS58" s="5"/>
      <c r="SST58" s="5"/>
      <c r="SSU58" s="5"/>
      <c r="SSV58" s="5"/>
      <c r="SSW58" s="5"/>
      <c r="SSX58" s="5"/>
      <c r="SSY58" s="5"/>
      <c r="SSZ58" s="5"/>
      <c r="STA58" s="5"/>
      <c r="STB58" s="5"/>
      <c r="STC58" s="5"/>
      <c r="STD58" s="5"/>
      <c r="STE58" s="5"/>
      <c r="STF58" s="5"/>
      <c r="STG58" s="5"/>
      <c r="STH58" s="5"/>
      <c r="STI58" s="5"/>
      <c r="STJ58" s="5"/>
      <c r="STK58" s="5"/>
      <c r="STL58" s="5"/>
      <c r="STM58" s="5"/>
      <c r="STN58" s="5"/>
      <c r="STO58" s="5"/>
      <c r="STP58" s="5"/>
      <c r="STQ58" s="5"/>
      <c r="STR58" s="5"/>
      <c r="STS58" s="5"/>
      <c r="STT58" s="5"/>
      <c r="STU58" s="5"/>
      <c r="STV58" s="5"/>
      <c r="STW58" s="5"/>
      <c r="STX58" s="5"/>
      <c r="STY58" s="5"/>
      <c r="STZ58" s="5"/>
      <c r="SUA58" s="5"/>
      <c r="SUB58" s="5"/>
      <c r="SUC58" s="5"/>
      <c r="SUD58" s="5"/>
      <c r="SUE58" s="5"/>
      <c r="SUF58" s="5"/>
      <c r="SUG58" s="5"/>
      <c r="SUH58" s="5"/>
      <c r="SUI58" s="5"/>
      <c r="SUJ58" s="5"/>
      <c r="SUK58" s="5"/>
      <c r="SUL58" s="5"/>
      <c r="SUM58" s="5"/>
      <c r="SUN58" s="5"/>
      <c r="SUO58" s="5"/>
      <c r="SUP58" s="5"/>
      <c r="SUQ58" s="5"/>
      <c r="SUR58" s="5"/>
      <c r="SUS58" s="5"/>
      <c r="SUT58" s="5"/>
      <c r="SUU58" s="5"/>
      <c r="SUV58" s="5"/>
      <c r="SUW58" s="5"/>
      <c r="SUX58" s="5"/>
      <c r="SUY58" s="5"/>
      <c r="SUZ58" s="5"/>
      <c r="SVA58" s="5"/>
      <c r="SVB58" s="5"/>
      <c r="SVC58" s="5"/>
      <c r="SVD58" s="5"/>
      <c r="SVE58" s="5"/>
      <c r="SVF58" s="5"/>
      <c r="SVG58" s="5"/>
      <c r="SVH58" s="5"/>
      <c r="SVI58" s="5"/>
      <c r="SVJ58" s="5"/>
      <c r="SVK58" s="5"/>
      <c r="SVL58" s="5"/>
      <c r="SVM58" s="5"/>
      <c r="SVN58" s="5"/>
      <c r="SVO58" s="5"/>
      <c r="SVP58" s="5"/>
      <c r="SVQ58" s="5"/>
      <c r="SVR58" s="5"/>
      <c r="SVS58" s="5"/>
      <c r="SVT58" s="5"/>
      <c r="SVU58" s="5"/>
      <c r="SVV58" s="5"/>
      <c r="SVW58" s="5"/>
      <c r="SVX58" s="5"/>
      <c r="SVY58" s="5"/>
      <c r="SVZ58" s="5"/>
      <c r="SWA58" s="5"/>
      <c r="SWB58" s="5"/>
      <c r="SWC58" s="5"/>
      <c r="SWD58" s="5"/>
      <c r="SWE58" s="5"/>
      <c r="SWF58" s="5"/>
      <c r="SWG58" s="5"/>
      <c r="SWH58" s="5"/>
      <c r="SWI58" s="5"/>
      <c r="SWJ58" s="5"/>
      <c r="SWK58" s="5"/>
      <c r="SWL58" s="5"/>
      <c r="SWM58" s="5"/>
      <c r="SWN58" s="5"/>
      <c r="SWO58" s="5"/>
      <c r="SWP58" s="5"/>
      <c r="SWQ58" s="5"/>
      <c r="SWR58" s="5"/>
      <c r="SWS58" s="5"/>
      <c r="SWT58" s="5"/>
      <c r="SWU58" s="5"/>
      <c r="SWV58" s="5"/>
      <c r="SWW58" s="5"/>
      <c r="SWX58" s="5"/>
      <c r="SWY58" s="5"/>
      <c r="SWZ58" s="5"/>
      <c r="SXA58" s="5"/>
      <c r="SXB58" s="5"/>
      <c r="SXC58" s="5"/>
      <c r="SXD58" s="5"/>
      <c r="SXE58" s="5"/>
      <c r="SXF58" s="5"/>
      <c r="SXG58" s="5"/>
      <c r="SXH58" s="5"/>
      <c r="SXI58" s="5"/>
      <c r="SXJ58" s="5"/>
      <c r="SXK58" s="5"/>
      <c r="SXL58" s="5"/>
      <c r="SXM58" s="5"/>
      <c r="SXN58" s="5"/>
      <c r="SXO58" s="5"/>
      <c r="SXP58" s="5"/>
      <c r="SXQ58" s="5"/>
      <c r="SXR58" s="5"/>
      <c r="SXS58" s="5"/>
      <c r="SXT58" s="5"/>
      <c r="SXU58" s="5"/>
      <c r="SXV58" s="5"/>
      <c r="SXW58" s="5"/>
      <c r="SXX58" s="5"/>
      <c r="SXY58" s="5"/>
      <c r="SXZ58" s="5"/>
      <c r="SYA58" s="5"/>
      <c r="SYB58" s="5"/>
      <c r="SYC58" s="5"/>
      <c r="SYD58" s="5"/>
      <c r="SYE58" s="5"/>
      <c r="SYF58" s="5"/>
      <c r="SYG58" s="5"/>
      <c r="SYH58" s="5"/>
      <c r="SYI58" s="5"/>
      <c r="SYJ58" s="5"/>
      <c r="SYK58" s="5"/>
      <c r="SYL58" s="5"/>
      <c r="SYM58" s="5"/>
      <c r="SYN58" s="5"/>
      <c r="SYO58" s="5"/>
      <c r="SYP58" s="5"/>
      <c r="SYQ58" s="5"/>
      <c r="SYR58" s="5"/>
      <c r="SYS58" s="5"/>
      <c r="SYT58" s="5"/>
      <c r="SYU58" s="5"/>
      <c r="SYV58" s="5"/>
      <c r="SYW58" s="5"/>
      <c r="SYX58" s="5"/>
      <c r="SYY58" s="5"/>
      <c r="SYZ58" s="5"/>
      <c r="SZA58" s="5"/>
      <c r="SZB58" s="5"/>
      <c r="SZC58" s="5"/>
      <c r="SZD58" s="5"/>
      <c r="SZE58" s="5"/>
      <c r="SZF58" s="5"/>
      <c r="SZG58" s="5"/>
      <c r="SZH58" s="5"/>
      <c r="SZI58" s="5"/>
      <c r="SZJ58" s="5"/>
      <c r="SZK58" s="5"/>
      <c r="SZL58" s="5"/>
      <c r="SZM58" s="5"/>
      <c r="SZN58" s="5"/>
      <c r="SZO58" s="5"/>
      <c r="SZP58" s="5"/>
      <c r="SZQ58" s="5"/>
      <c r="SZR58" s="5"/>
      <c r="SZS58" s="5"/>
      <c r="SZT58" s="5"/>
      <c r="SZU58" s="5"/>
      <c r="SZV58" s="5"/>
      <c r="SZW58" s="5"/>
      <c r="SZX58" s="5"/>
      <c r="SZY58" s="5"/>
      <c r="SZZ58" s="5"/>
      <c r="TAA58" s="5"/>
      <c r="TAB58" s="5"/>
      <c r="TAC58" s="5"/>
      <c r="TAD58" s="5"/>
      <c r="TAE58" s="5"/>
      <c r="TAF58" s="5"/>
      <c r="TAG58" s="5"/>
      <c r="TAH58" s="5"/>
      <c r="TAI58" s="5"/>
      <c r="TAJ58" s="5"/>
      <c r="TAK58" s="5"/>
      <c r="TAL58" s="5"/>
      <c r="TAM58" s="5"/>
      <c r="TAN58" s="5"/>
      <c r="TAO58" s="5"/>
      <c r="TAP58" s="5"/>
      <c r="TAQ58" s="5"/>
      <c r="TAR58" s="5"/>
      <c r="TAS58" s="5"/>
      <c r="TAT58" s="5"/>
      <c r="TAU58" s="5"/>
      <c r="TAV58" s="5"/>
      <c r="TAW58" s="5"/>
      <c r="TAX58" s="5"/>
      <c r="TAY58" s="5"/>
      <c r="TAZ58" s="5"/>
      <c r="TBA58" s="5"/>
      <c r="TBB58" s="5"/>
      <c r="TBC58" s="5"/>
      <c r="TBD58" s="5"/>
      <c r="TBE58" s="5"/>
      <c r="TBF58" s="5"/>
      <c r="TBG58" s="5"/>
      <c r="TBH58" s="5"/>
      <c r="TBI58" s="5"/>
      <c r="TBJ58" s="5"/>
      <c r="TBK58" s="5"/>
      <c r="TBL58" s="5"/>
      <c r="TBM58" s="5"/>
      <c r="TBN58" s="5"/>
      <c r="TBO58" s="5"/>
      <c r="TBP58" s="5"/>
      <c r="TBQ58" s="5"/>
      <c r="TBR58" s="5"/>
      <c r="TBS58" s="5"/>
      <c r="TBT58" s="5"/>
      <c r="TBU58" s="5"/>
      <c r="TBV58" s="5"/>
      <c r="TBW58" s="5"/>
      <c r="TBX58" s="5"/>
      <c r="TBY58" s="5"/>
      <c r="TBZ58" s="5"/>
      <c r="TCA58" s="5"/>
      <c r="TCB58" s="5"/>
      <c r="TCC58" s="5"/>
      <c r="TCD58" s="5"/>
      <c r="TCE58" s="5"/>
      <c r="TCF58" s="5"/>
      <c r="TCG58" s="5"/>
      <c r="TCH58" s="5"/>
      <c r="TCI58" s="5"/>
      <c r="TCJ58" s="5"/>
      <c r="TCK58" s="5"/>
      <c r="TCL58" s="5"/>
      <c r="TCM58" s="5"/>
      <c r="TCN58" s="5"/>
      <c r="TCO58" s="5"/>
      <c r="TCP58" s="5"/>
      <c r="TCQ58" s="5"/>
      <c r="TCR58" s="5"/>
      <c r="TCS58" s="5"/>
      <c r="TCT58" s="5"/>
      <c r="TCU58" s="5"/>
      <c r="TCV58" s="5"/>
      <c r="TCW58" s="5"/>
      <c r="TCX58" s="5"/>
      <c r="TCY58" s="5"/>
      <c r="TCZ58" s="5"/>
      <c r="TDA58" s="5"/>
      <c r="TDB58" s="5"/>
      <c r="TDC58" s="5"/>
      <c r="TDD58" s="5"/>
      <c r="TDE58" s="5"/>
      <c r="TDF58" s="5"/>
      <c r="TDG58" s="5"/>
      <c r="TDH58" s="5"/>
      <c r="TDI58" s="5"/>
      <c r="TDJ58" s="5"/>
      <c r="TDK58" s="5"/>
      <c r="TDL58" s="5"/>
      <c r="TDM58" s="5"/>
      <c r="TDN58" s="5"/>
      <c r="TDO58" s="5"/>
      <c r="TDP58" s="5"/>
      <c r="TDQ58" s="5"/>
      <c r="TDR58" s="5"/>
      <c r="TDS58" s="5"/>
      <c r="TDT58" s="5"/>
      <c r="TDU58" s="5"/>
      <c r="TDV58" s="5"/>
      <c r="TDW58" s="5"/>
      <c r="TDX58" s="5"/>
      <c r="TDY58" s="5"/>
      <c r="TDZ58" s="5"/>
      <c r="TEA58" s="5"/>
      <c r="TEB58" s="5"/>
      <c r="TEC58" s="5"/>
      <c r="TED58" s="5"/>
      <c r="TEE58" s="5"/>
      <c r="TEF58" s="5"/>
      <c r="TEG58" s="5"/>
      <c r="TEH58" s="5"/>
      <c r="TEI58" s="5"/>
      <c r="TEJ58" s="5"/>
      <c r="TEK58" s="5"/>
      <c r="TEL58" s="5"/>
      <c r="TEM58" s="5"/>
      <c r="TEN58" s="5"/>
      <c r="TEO58" s="5"/>
      <c r="TEP58" s="5"/>
      <c r="TEQ58" s="5"/>
      <c r="TER58" s="5"/>
      <c r="TES58" s="5"/>
      <c r="TET58" s="5"/>
      <c r="TEU58" s="5"/>
      <c r="TEV58" s="5"/>
      <c r="TEW58" s="5"/>
      <c r="TEX58" s="5"/>
      <c r="TEY58" s="5"/>
      <c r="TEZ58" s="5"/>
      <c r="TFA58" s="5"/>
      <c r="TFB58" s="5"/>
      <c r="TFC58" s="5"/>
      <c r="TFD58" s="5"/>
      <c r="TFE58" s="5"/>
      <c r="TFF58" s="5"/>
      <c r="TFG58" s="5"/>
      <c r="TFH58" s="5"/>
      <c r="TFI58" s="5"/>
      <c r="TFJ58" s="5"/>
      <c r="TFK58" s="5"/>
      <c r="TFL58" s="5"/>
      <c r="TFM58" s="5"/>
      <c r="TFN58" s="5"/>
      <c r="TFO58" s="5"/>
      <c r="TFP58" s="5"/>
      <c r="TFQ58" s="5"/>
      <c r="TFR58" s="5"/>
      <c r="TFS58" s="5"/>
      <c r="TFT58" s="5"/>
      <c r="TFU58" s="5"/>
      <c r="TFV58" s="5"/>
      <c r="TFW58" s="5"/>
      <c r="TFX58" s="5"/>
      <c r="TFY58" s="5"/>
      <c r="TFZ58" s="5"/>
      <c r="TGA58" s="5"/>
      <c r="TGB58" s="5"/>
      <c r="TGC58" s="5"/>
      <c r="TGD58" s="5"/>
      <c r="TGE58" s="5"/>
      <c r="TGF58" s="5"/>
      <c r="TGG58" s="5"/>
      <c r="TGH58" s="5"/>
      <c r="TGI58" s="5"/>
      <c r="TGJ58" s="5"/>
      <c r="TGK58" s="5"/>
      <c r="TGL58" s="5"/>
      <c r="TGM58" s="5"/>
      <c r="TGN58" s="5"/>
      <c r="TGO58" s="5"/>
      <c r="TGP58" s="5"/>
      <c r="TGQ58" s="5"/>
      <c r="TGR58" s="5"/>
      <c r="TGS58" s="5"/>
      <c r="TGT58" s="5"/>
      <c r="TGU58" s="5"/>
      <c r="TGV58" s="5"/>
      <c r="TGW58" s="5"/>
      <c r="TGX58" s="5"/>
      <c r="TGY58" s="5"/>
      <c r="TGZ58" s="5"/>
      <c r="THA58" s="5"/>
      <c r="THB58" s="5"/>
      <c r="THC58" s="5"/>
      <c r="THD58" s="5"/>
      <c r="THE58" s="5"/>
      <c r="THF58" s="5"/>
      <c r="THG58" s="5"/>
      <c r="THH58" s="5"/>
      <c r="THI58" s="5"/>
      <c r="THJ58" s="5"/>
      <c r="THK58" s="5"/>
      <c r="THL58" s="5"/>
      <c r="THM58" s="5"/>
      <c r="THN58" s="5"/>
      <c r="THO58" s="5"/>
      <c r="THP58" s="5"/>
      <c r="THQ58" s="5"/>
      <c r="THR58" s="5"/>
      <c r="THS58" s="5"/>
      <c r="THT58" s="5"/>
      <c r="THU58" s="5"/>
      <c r="THV58" s="5"/>
      <c r="THW58" s="5"/>
      <c r="THX58" s="5"/>
      <c r="THY58" s="5"/>
      <c r="THZ58" s="5"/>
      <c r="TIA58" s="5"/>
      <c r="TIB58" s="5"/>
      <c r="TIC58" s="5"/>
      <c r="TID58" s="5"/>
      <c r="TIE58" s="5"/>
      <c r="TIF58" s="5"/>
      <c r="TIG58" s="5"/>
      <c r="TIH58" s="5"/>
      <c r="TII58" s="5"/>
      <c r="TIJ58" s="5"/>
      <c r="TIK58" s="5"/>
      <c r="TIL58" s="5"/>
      <c r="TIM58" s="5"/>
      <c r="TIN58" s="5"/>
      <c r="TIO58" s="5"/>
      <c r="TIP58" s="5"/>
      <c r="TIQ58" s="5"/>
      <c r="TIR58" s="5"/>
      <c r="TIS58" s="5"/>
      <c r="TIT58" s="5"/>
      <c r="TIU58" s="5"/>
      <c r="TIV58" s="5"/>
      <c r="TIW58" s="5"/>
      <c r="TIX58" s="5"/>
      <c r="TIY58" s="5"/>
      <c r="TIZ58" s="5"/>
      <c r="TJA58" s="5"/>
      <c r="TJB58" s="5"/>
      <c r="TJC58" s="5"/>
      <c r="TJD58" s="5"/>
      <c r="TJE58" s="5"/>
      <c r="TJF58" s="5"/>
      <c r="TJG58" s="5"/>
      <c r="TJH58" s="5"/>
      <c r="TJI58" s="5"/>
      <c r="TJJ58" s="5"/>
      <c r="TJK58" s="5"/>
      <c r="TJL58" s="5"/>
      <c r="TJM58" s="5"/>
      <c r="TJN58" s="5"/>
      <c r="TJO58" s="5"/>
      <c r="TJP58" s="5"/>
      <c r="TJQ58" s="5"/>
      <c r="TJR58" s="5"/>
      <c r="TJS58" s="5"/>
      <c r="TJT58" s="5"/>
      <c r="TJU58" s="5"/>
      <c r="TJV58" s="5"/>
      <c r="TJW58" s="5"/>
      <c r="TJX58" s="5"/>
      <c r="TJY58" s="5"/>
      <c r="TJZ58" s="5"/>
      <c r="TKA58" s="5"/>
      <c r="TKB58" s="5"/>
      <c r="TKC58" s="5"/>
      <c r="TKD58" s="5"/>
      <c r="TKE58" s="5"/>
      <c r="TKF58" s="5"/>
      <c r="TKG58" s="5"/>
      <c r="TKH58" s="5"/>
      <c r="TKI58" s="5"/>
      <c r="TKJ58" s="5"/>
      <c r="TKK58" s="5"/>
      <c r="TKL58" s="5"/>
      <c r="TKM58" s="5"/>
      <c r="TKN58" s="5"/>
      <c r="TKO58" s="5"/>
      <c r="TKP58" s="5"/>
      <c r="TKQ58" s="5"/>
      <c r="TKR58" s="5"/>
      <c r="TKS58" s="5"/>
      <c r="TKT58" s="5"/>
      <c r="TKU58" s="5"/>
      <c r="TKV58" s="5"/>
      <c r="TKW58" s="5"/>
      <c r="TKX58" s="5"/>
      <c r="TKY58" s="5"/>
      <c r="TKZ58" s="5"/>
      <c r="TLA58" s="5"/>
      <c r="TLB58" s="5"/>
      <c r="TLC58" s="5"/>
      <c r="TLD58" s="5"/>
      <c r="TLE58" s="5"/>
      <c r="TLF58" s="5"/>
      <c r="TLG58" s="5"/>
      <c r="TLH58" s="5"/>
      <c r="TLI58" s="5"/>
      <c r="TLJ58" s="5"/>
      <c r="TLK58" s="5"/>
      <c r="TLL58" s="5"/>
      <c r="TLM58" s="5"/>
      <c r="TLN58" s="5"/>
      <c r="TLO58" s="5"/>
      <c r="TLP58" s="5"/>
      <c r="TLQ58" s="5"/>
      <c r="TLR58" s="5"/>
      <c r="TLS58" s="5"/>
      <c r="TLT58" s="5"/>
      <c r="TLU58" s="5"/>
      <c r="TLV58" s="5"/>
      <c r="TLW58" s="5"/>
      <c r="TLX58" s="5"/>
      <c r="TLY58" s="5"/>
      <c r="TLZ58" s="5"/>
      <c r="TMA58" s="5"/>
      <c r="TMB58" s="5"/>
      <c r="TMC58" s="5"/>
      <c r="TMD58" s="5"/>
      <c r="TME58" s="5"/>
      <c r="TMF58" s="5"/>
      <c r="TMG58" s="5"/>
      <c r="TMH58" s="5"/>
      <c r="TMI58" s="5"/>
      <c r="TMJ58" s="5"/>
      <c r="TMK58" s="5"/>
      <c r="TML58" s="5"/>
      <c r="TMM58" s="5"/>
      <c r="TMN58" s="5"/>
      <c r="TMO58" s="5"/>
      <c r="TMP58" s="5"/>
      <c r="TMQ58" s="5"/>
      <c r="TMR58" s="5"/>
      <c r="TMS58" s="5"/>
      <c r="TMT58" s="5"/>
      <c r="TMU58" s="5"/>
      <c r="TMV58" s="5"/>
      <c r="TMW58" s="5"/>
      <c r="TMX58" s="5"/>
      <c r="TMY58" s="5"/>
      <c r="TMZ58" s="5"/>
      <c r="TNA58" s="5"/>
      <c r="TNB58" s="5"/>
      <c r="TNC58" s="5"/>
      <c r="TND58" s="5"/>
      <c r="TNE58" s="5"/>
      <c r="TNF58" s="5"/>
      <c r="TNG58" s="5"/>
      <c r="TNH58" s="5"/>
      <c r="TNI58" s="5"/>
      <c r="TNJ58" s="5"/>
      <c r="TNK58" s="5"/>
      <c r="TNL58" s="5"/>
      <c r="TNM58" s="5"/>
      <c r="TNN58" s="5"/>
      <c r="TNO58" s="5"/>
      <c r="TNP58" s="5"/>
      <c r="TNQ58" s="5"/>
      <c r="TNR58" s="5"/>
      <c r="TNS58" s="5"/>
      <c r="TNT58" s="5"/>
      <c r="TNU58" s="5"/>
      <c r="TNV58" s="5"/>
      <c r="TNW58" s="5"/>
      <c r="TNX58" s="5"/>
      <c r="TNY58" s="5"/>
      <c r="TNZ58" s="5"/>
      <c r="TOA58" s="5"/>
      <c r="TOB58" s="5"/>
      <c r="TOC58" s="5"/>
      <c r="TOD58" s="5"/>
      <c r="TOE58" s="5"/>
      <c r="TOF58" s="5"/>
      <c r="TOG58" s="5"/>
      <c r="TOH58" s="5"/>
      <c r="TOI58" s="5"/>
      <c r="TOJ58" s="5"/>
      <c r="TOK58" s="5"/>
      <c r="TOL58" s="5"/>
      <c r="TOM58" s="5"/>
      <c r="TON58" s="5"/>
      <c r="TOO58" s="5"/>
      <c r="TOP58" s="5"/>
      <c r="TOQ58" s="5"/>
      <c r="TOR58" s="5"/>
      <c r="TOS58" s="5"/>
      <c r="TOT58" s="5"/>
      <c r="TOU58" s="5"/>
      <c r="TOV58" s="5"/>
      <c r="TOW58" s="5"/>
      <c r="TOX58" s="5"/>
      <c r="TOY58" s="5"/>
      <c r="TOZ58" s="5"/>
      <c r="TPA58" s="5"/>
      <c r="TPB58" s="5"/>
      <c r="TPC58" s="5"/>
      <c r="TPD58" s="5"/>
      <c r="TPE58" s="5"/>
      <c r="TPF58" s="5"/>
      <c r="TPG58" s="5"/>
      <c r="TPH58" s="5"/>
      <c r="TPI58" s="5"/>
      <c r="TPJ58" s="5"/>
      <c r="TPK58" s="5"/>
      <c r="TPL58" s="5"/>
      <c r="TPM58" s="5"/>
      <c r="TPN58" s="5"/>
      <c r="TPO58" s="5"/>
      <c r="TPP58" s="5"/>
      <c r="TPQ58" s="5"/>
      <c r="TPR58" s="5"/>
      <c r="TPS58" s="5"/>
      <c r="TPT58" s="5"/>
      <c r="TPU58" s="5"/>
      <c r="TPV58" s="5"/>
      <c r="TPW58" s="5"/>
      <c r="TPX58" s="5"/>
      <c r="TPY58" s="5"/>
      <c r="TPZ58" s="5"/>
      <c r="TQA58" s="5"/>
      <c r="TQB58" s="5"/>
      <c r="TQC58" s="5"/>
      <c r="TQD58" s="5"/>
      <c r="TQE58" s="5"/>
      <c r="TQF58" s="5"/>
      <c r="TQG58" s="5"/>
      <c r="TQH58" s="5"/>
      <c r="TQI58" s="5"/>
      <c r="TQJ58" s="5"/>
      <c r="TQK58" s="5"/>
      <c r="TQL58" s="5"/>
      <c r="TQM58" s="5"/>
      <c r="TQN58" s="5"/>
      <c r="TQO58" s="5"/>
      <c r="TQP58" s="5"/>
      <c r="TQQ58" s="5"/>
      <c r="TQR58" s="5"/>
      <c r="TQS58" s="5"/>
      <c r="TQT58" s="5"/>
      <c r="TQU58" s="5"/>
      <c r="TQV58" s="5"/>
      <c r="TQW58" s="5"/>
      <c r="TQX58" s="5"/>
      <c r="TQY58" s="5"/>
      <c r="TQZ58" s="5"/>
      <c r="TRA58" s="5"/>
      <c r="TRB58" s="5"/>
      <c r="TRC58" s="5"/>
      <c r="TRD58" s="5"/>
      <c r="TRE58" s="5"/>
      <c r="TRF58" s="5"/>
      <c r="TRG58" s="5"/>
      <c r="TRH58" s="5"/>
      <c r="TRI58" s="5"/>
      <c r="TRJ58" s="5"/>
      <c r="TRK58" s="5"/>
      <c r="TRL58" s="5"/>
      <c r="TRM58" s="5"/>
      <c r="TRN58" s="5"/>
      <c r="TRO58" s="5"/>
      <c r="TRP58" s="5"/>
      <c r="TRQ58" s="5"/>
      <c r="TRR58" s="5"/>
      <c r="TRS58" s="5"/>
      <c r="TRT58" s="5"/>
      <c r="TRU58" s="5"/>
      <c r="TRV58" s="5"/>
      <c r="TRW58" s="5"/>
      <c r="TRX58" s="5"/>
      <c r="TRY58" s="5"/>
      <c r="TRZ58" s="5"/>
      <c r="TSA58" s="5"/>
      <c r="TSB58" s="5"/>
      <c r="TSC58" s="5"/>
      <c r="TSD58" s="5"/>
      <c r="TSE58" s="5"/>
      <c r="TSF58" s="5"/>
      <c r="TSG58" s="5"/>
      <c r="TSH58" s="5"/>
      <c r="TSI58" s="5"/>
      <c r="TSJ58" s="5"/>
      <c r="TSK58" s="5"/>
      <c r="TSL58" s="5"/>
      <c r="TSM58" s="5"/>
      <c r="TSN58" s="5"/>
      <c r="TSO58" s="5"/>
      <c r="TSP58" s="5"/>
      <c r="TSQ58" s="5"/>
      <c r="TSR58" s="5"/>
      <c r="TSS58" s="5"/>
      <c r="TST58" s="5"/>
      <c r="TSU58" s="5"/>
      <c r="TSV58" s="5"/>
      <c r="TSW58" s="5"/>
      <c r="TSX58" s="5"/>
      <c r="TSY58" s="5"/>
      <c r="TSZ58" s="5"/>
      <c r="TTA58" s="5"/>
      <c r="TTB58" s="5"/>
      <c r="TTC58" s="5"/>
      <c r="TTD58" s="5"/>
      <c r="TTE58" s="5"/>
      <c r="TTF58" s="5"/>
      <c r="TTG58" s="5"/>
      <c r="TTH58" s="5"/>
      <c r="TTI58" s="5"/>
      <c r="TTJ58" s="5"/>
      <c r="TTK58" s="5"/>
      <c r="TTL58" s="5"/>
      <c r="TTM58" s="5"/>
      <c r="TTN58" s="5"/>
      <c r="TTO58" s="5"/>
      <c r="TTP58" s="5"/>
      <c r="TTQ58" s="5"/>
      <c r="TTR58" s="5"/>
      <c r="TTS58" s="5"/>
      <c r="TTT58" s="5"/>
      <c r="TTU58" s="5"/>
      <c r="TTV58" s="5"/>
      <c r="TTW58" s="5"/>
      <c r="TTX58" s="5"/>
      <c r="TTY58" s="5"/>
      <c r="TTZ58" s="5"/>
      <c r="TUA58" s="5"/>
      <c r="TUB58" s="5"/>
      <c r="TUC58" s="5"/>
      <c r="TUD58" s="5"/>
      <c r="TUE58" s="5"/>
      <c r="TUF58" s="5"/>
      <c r="TUG58" s="5"/>
      <c r="TUH58" s="5"/>
      <c r="TUI58" s="5"/>
      <c r="TUJ58" s="5"/>
      <c r="TUK58" s="5"/>
      <c r="TUL58" s="5"/>
      <c r="TUM58" s="5"/>
      <c r="TUN58" s="5"/>
      <c r="TUO58" s="5"/>
      <c r="TUP58" s="5"/>
      <c r="TUQ58" s="5"/>
      <c r="TUR58" s="5"/>
      <c r="TUS58" s="5"/>
      <c r="TUT58" s="5"/>
      <c r="TUU58" s="5"/>
      <c r="TUV58" s="5"/>
      <c r="TUW58" s="5"/>
      <c r="TUX58" s="5"/>
      <c r="TUY58" s="5"/>
      <c r="TUZ58" s="5"/>
      <c r="TVA58" s="5"/>
      <c r="TVB58" s="5"/>
      <c r="TVC58" s="5"/>
      <c r="TVD58" s="5"/>
      <c r="TVE58" s="5"/>
      <c r="TVF58" s="5"/>
      <c r="TVG58" s="5"/>
      <c r="TVH58" s="5"/>
      <c r="TVI58" s="5"/>
      <c r="TVJ58" s="5"/>
      <c r="TVK58" s="5"/>
      <c r="TVL58" s="5"/>
      <c r="TVM58" s="5"/>
      <c r="TVN58" s="5"/>
      <c r="TVO58" s="5"/>
      <c r="TVP58" s="5"/>
      <c r="TVQ58" s="5"/>
      <c r="TVR58" s="5"/>
      <c r="TVS58" s="5"/>
      <c r="TVT58" s="5"/>
      <c r="TVU58" s="5"/>
      <c r="TVV58" s="5"/>
      <c r="TVW58" s="5"/>
      <c r="TVX58" s="5"/>
      <c r="TVY58" s="5"/>
      <c r="TVZ58" s="5"/>
      <c r="TWA58" s="5"/>
      <c r="TWB58" s="5"/>
      <c r="TWC58" s="5"/>
      <c r="TWD58" s="5"/>
      <c r="TWE58" s="5"/>
      <c r="TWF58" s="5"/>
      <c r="TWG58" s="5"/>
      <c r="TWH58" s="5"/>
      <c r="TWI58" s="5"/>
      <c r="TWJ58" s="5"/>
      <c r="TWK58" s="5"/>
      <c r="TWL58" s="5"/>
      <c r="TWM58" s="5"/>
      <c r="TWN58" s="5"/>
      <c r="TWO58" s="5"/>
      <c r="TWP58" s="5"/>
      <c r="TWQ58" s="5"/>
      <c r="TWR58" s="5"/>
      <c r="TWS58" s="5"/>
      <c r="TWT58" s="5"/>
      <c r="TWU58" s="5"/>
      <c r="TWV58" s="5"/>
      <c r="TWW58" s="5"/>
      <c r="TWX58" s="5"/>
      <c r="TWY58" s="5"/>
      <c r="TWZ58" s="5"/>
      <c r="TXA58" s="5"/>
      <c r="TXB58" s="5"/>
      <c r="TXC58" s="5"/>
      <c r="TXD58" s="5"/>
      <c r="TXE58" s="5"/>
      <c r="TXF58" s="5"/>
      <c r="TXG58" s="5"/>
      <c r="TXH58" s="5"/>
      <c r="TXI58" s="5"/>
      <c r="TXJ58" s="5"/>
      <c r="TXK58" s="5"/>
      <c r="TXL58" s="5"/>
      <c r="TXM58" s="5"/>
      <c r="TXN58" s="5"/>
      <c r="TXO58" s="5"/>
      <c r="TXP58" s="5"/>
      <c r="TXQ58" s="5"/>
      <c r="TXR58" s="5"/>
      <c r="TXS58" s="5"/>
      <c r="TXT58" s="5"/>
      <c r="TXU58" s="5"/>
      <c r="TXV58" s="5"/>
      <c r="TXW58" s="5"/>
      <c r="TXX58" s="5"/>
      <c r="TXY58" s="5"/>
      <c r="TXZ58" s="5"/>
      <c r="TYA58" s="5"/>
      <c r="TYB58" s="5"/>
      <c r="TYC58" s="5"/>
      <c r="TYD58" s="5"/>
      <c r="TYE58" s="5"/>
      <c r="TYF58" s="5"/>
      <c r="TYG58" s="5"/>
      <c r="TYH58" s="5"/>
      <c r="TYI58" s="5"/>
      <c r="TYJ58" s="5"/>
      <c r="TYK58" s="5"/>
      <c r="TYL58" s="5"/>
      <c r="TYM58" s="5"/>
      <c r="TYN58" s="5"/>
      <c r="TYO58" s="5"/>
      <c r="TYP58" s="5"/>
      <c r="TYQ58" s="5"/>
      <c r="TYR58" s="5"/>
      <c r="TYS58" s="5"/>
      <c r="TYT58" s="5"/>
      <c r="TYU58" s="5"/>
      <c r="TYV58" s="5"/>
      <c r="TYW58" s="5"/>
      <c r="TYX58" s="5"/>
      <c r="TYY58" s="5"/>
      <c r="TYZ58" s="5"/>
      <c r="TZA58" s="5"/>
      <c r="TZB58" s="5"/>
      <c r="TZC58" s="5"/>
      <c r="TZD58" s="5"/>
      <c r="TZE58" s="5"/>
      <c r="TZF58" s="5"/>
      <c r="TZG58" s="5"/>
      <c r="TZH58" s="5"/>
      <c r="TZI58" s="5"/>
      <c r="TZJ58" s="5"/>
      <c r="TZK58" s="5"/>
      <c r="TZL58" s="5"/>
      <c r="TZM58" s="5"/>
      <c r="TZN58" s="5"/>
      <c r="TZO58" s="5"/>
      <c r="TZP58" s="5"/>
      <c r="TZQ58" s="5"/>
      <c r="TZR58" s="5"/>
      <c r="TZS58" s="5"/>
      <c r="TZT58" s="5"/>
      <c r="TZU58" s="5"/>
      <c r="TZV58" s="5"/>
      <c r="TZW58" s="5"/>
      <c r="TZX58" s="5"/>
      <c r="TZY58" s="5"/>
      <c r="TZZ58" s="5"/>
      <c r="UAA58" s="5"/>
      <c r="UAB58" s="5"/>
      <c r="UAC58" s="5"/>
      <c r="UAD58" s="5"/>
      <c r="UAE58" s="5"/>
      <c r="UAF58" s="5"/>
      <c r="UAG58" s="5"/>
      <c r="UAH58" s="5"/>
      <c r="UAI58" s="5"/>
      <c r="UAJ58" s="5"/>
      <c r="UAK58" s="5"/>
      <c r="UAL58" s="5"/>
      <c r="UAM58" s="5"/>
      <c r="UAN58" s="5"/>
      <c r="UAO58" s="5"/>
      <c r="UAP58" s="5"/>
      <c r="UAQ58" s="5"/>
      <c r="UAR58" s="5"/>
      <c r="UAS58" s="5"/>
      <c r="UAT58" s="5"/>
      <c r="UAU58" s="5"/>
      <c r="UAV58" s="5"/>
      <c r="UAW58" s="5"/>
      <c r="UAX58" s="5"/>
      <c r="UAY58" s="5"/>
      <c r="UAZ58" s="5"/>
      <c r="UBA58" s="5"/>
      <c r="UBB58" s="5"/>
      <c r="UBC58" s="5"/>
      <c r="UBD58" s="5"/>
      <c r="UBE58" s="5"/>
      <c r="UBF58" s="5"/>
      <c r="UBG58" s="5"/>
      <c r="UBH58" s="5"/>
      <c r="UBI58" s="5"/>
      <c r="UBJ58" s="5"/>
      <c r="UBK58" s="5"/>
      <c r="UBL58" s="5"/>
      <c r="UBM58" s="5"/>
      <c r="UBN58" s="5"/>
      <c r="UBO58" s="5"/>
      <c r="UBP58" s="5"/>
      <c r="UBQ58" s="5"/>
      <c r="UBR58" s="5"/>
      <c r="UBS58" s="5"/>
      <c r="UBT58" s="5"/>
      <c r="UBU58" s="5"/>
      <c r="UBV58" s="5"/>
      <c r="UBW58" s="5"/>
      <c r="UBX58" s="5"/>
      <c r="UBY58" s="5"/>
      <c r="UBZ58" s="5"/>
      <c r="UCA58" s="5"/>
      <c r="UCB58" s="5"/>
      <c r="UCC58" s="5"/>
      <c r="UCD58" s="5"/>
      <c r="UCE58" s="5"/>
      <c r="UCF58" s="5"/>
      <c r="UCG58" s="5"/>
      <c r="UCH58" s="5"/>
      <c r="UCI58" s="5"/>
      <c r="UCJ58" s="5"/>
      <c r="UCK58" s="5"/>
      <c r="UCL58" s="5"/>
      <c r="UCM58" s="5"/>
      <c r="UCN58" s="5"/>
      <c r="UCO58" s="5"/>
      <c r="UCP58" s="5"/>
      <c r="UCQ58" s="5"/>
      <c r="UCR58" s="5"/>
      <c r="UCS58" s="5"/>
      <c r="UCT58" s="5"/>
      <c r="UCU58" s="5"/>
      <c r="UCV58" s="5"/>
      <c r="UCW58" s="5"/>
      <c r="UCX58" s="5"/>
      <c r="UCY58" s="5"/>
      <c r="UCZ58" s="5"/>
      <c r="UDA58" s="5"/>
      <c r="UDB58" s="5"/>
      <c r="UDC58" s="5"/>
      <c r="UDD58" s="5"/>
      <c r="UDE58" s="5"/>
      <c r="UDF58" s="5"/>
      <c r="UDG58" s="5"/>
      <c r="UDH58" s="5"/>
      <c r="UDI58" s="5"/>
      <c r="UDJ58" s="5"/>
      <c r="UDK58" s="5"/>
      <c r="UDL58" s="5"/>
      <c r="UDM58" s="5"/>
      <c r="UDN58" s="5"/>
      <c r="UDO58" s="5"/>
      <c r="UDP58" s="5"/>
      <c r="UDQ58" s="5"/>
      <c r="UDR58" s="5"/>
      <c r="UDS58" s="5"/>
      <c r="UDT58" s="5"/>
      <c r="UDU58" s="5"/>
      <c r="UDV58" s="5"/>
      <c r="UDW58" s="5"/>
      <c r="UDX58" s="5"/>
      <c r="UDY58" s="5"/>
      <c r="UDZ58" s="5"/>
      <c r="UEA58" s="5"/>
      <c r="UEB58" s="5"/>
      <c r="UEC58" s="5"/>
      <c r="UED58" s="5"/>
      <c r="UEE58" s="5"/>
      <c r="UEF58" s="5"/>
      <c r="UEG58" s="5"/>
      <c r="UEH58" s="5"/>
      <c r="UEI58" s="5"/>
      <c r="UEJ58" s="5"/>
      <c r="UEK58" s="5"/>
      <c r="UEL58" s="5"/>
      <c r="UEM58" s="5"/>
      <c r="UEN58" s="5"/>
      <c r="UEO58" s="5"/>
      <c r="UEP58" s="5"/>
      <c r="UEQ58" s="5"/>
      <c r="UER58" s="5"/>
      <c r="UES58" s="5"/>
      <c r="UET58" s="5"/>
      <c r="UEU58" s="5"/>
      <c r="UEV58" s="5"/>
      <c r="UEW58" s="5"/>
      <c r="UEX58" s="5"/>
      <c r="UEY58" s="5"/>
      <c r="UEZ58" s="5"/>
      <c r="UFA58" s="5"/>
      <c r="UFB58" s="5"/>
      <c r="UFC58" s="5"/>
      <c r="UFD58" s="5"/>
      <c r="UFE58" s="5"/>
      <c r="UFF58" s="5"/>
      <c r="UFG58" s="5"/>
      <c r="UFH58" s="5"/>
      <c r="UFI58" s="5"/>
      <c r="UFJ58" s="5"/>
      <c r="UFK58" s="5"/>
      <c r="UFL58" s="5"/>
      <c r="UFM58" s="5"/>
      <c r="UFN58" s="5"/>
      <c r="UFO58" s="5"/>
      <c r="UFP58" s="5"/>
      <c r="UFQ58" s="5"/>
      <c r="UFR58" s="5"/>
      <c r="UFS58" s="5"/>
      <c r="UFT58" s="5"/>
      <c r="UFU58" s="5"/>
      <c r="UFV58" s="5"/>
      <c r="UFW58" s="5"/>
      <c r="UFX58" s="5"/>
      <c r="UFY58" s="5"/>
      <c r="UFZ58" s="5"/>
      <c r="UGA58" s="5"/>
      <c r="UGB58" s="5"/>
      <c r="UGC58" s="5"/>
      <c r="UGD58" s="5"/>
      <c r="UGE58" s="5"/>
      <c r="UGF58" s="5"/>
      <c r="UGG58" s="5"/>
      <c r="UGH58" s="5"/>
      <c r="UGI58" s="5"/>
      <c r="UGJ58" s="5"/>
      <c r="UGK58" s="5"/>
      <c r="UGL58" s="5"/>
      <c r="UGM58" s="5"/>
      <c r="UGN58" s="5"/>
      <c r="UGO58" s="5"/>
      <c r="UGP58" s="5"/>
      <c r="UGQ58" s="5"/>
      <c r="UGR58" s="5"/>
      <c r="UGS58" s="5"/>
      <c r="UGT58" s="5"/>
      <c r="UGU58" s="5"/>
      <c r="UGV58" s="5"/>
      <c r="UGW58" s="5"/>
      <c r="UGX58" s="5"/>
      <c r="UGY58" s="5"/>
      <c r="UGZ58" s="5"/>
      <c r="UHA58" s="5"/>
      <c r="UHB58" s="5"/>
      <c r="UHC58" s="5"/>
      <c r="UHD58" s="5"/>
      <c r="UHE58" s="5"/>
      <c r="UHF58" s="5"/>
      <c r="UHG58" s="5"/>
      <c r="UHH58" s="5"/>
      <c r="UHI58" s="5"/>
      <c r="UHJ58" s="5"/>
      <c r="UHK58" s="5"/>
      <c r="UHL58" s="5"/>
      <c r="UHM58" s="5"/>
      <c r="UHN58" s="5"/>
      <c r="UHO58" s="5"/>
      <c r="UHP58" s="5"/>
      <c r="UHQ58" s="5"/>
      <c r="UHR58" s="5"/>
      <c r="UHS58" s="5"/>
      <c r="UHT58" s="5"/>
      <c r="UHU58" s="5"/>
      <c r="UHV58" s="5"/>
      <c r="UHW58" s="5"/>
      <c r="UHX58" s="5"/>
      <c r="UHY58" s="5"/>
      <c r="UHZ58" s="5"/>
      <c r="UIA58" s="5"/>
      <c r="UIB58" s="5"/>
      <c r="UIC58" s="5"/>
      <c r="UID58" s="5"/>
      <c r="UIE58" s="5"/>
      <c r="UIF58" s="5"/>
      <c r="UIG58" s="5"/>
      <c r="UIH58" s="5"/>
      <c r="UII58" s="5"/>
      <c r="UIJ58" s="5"/>
      <c r="UIK58" s="5"/>
      <c r="UIL58" s="5"/>
      <c r="UIM58" s="5"/>
      <c r="UIN58" s="5"/>
      <c r="UIO58" s="5"/>
      <c r="UIP58" s="5"/>
      <c r="UIQ58" s="5"/>
      <c r="UIR58" s="5"/>
      <c r="UIS58" s="5"/>
      <c r="UIT58" s="5"/>
      <c r="UIU58" s="5"/>
      <c r="UIV58" s="5"/>
      <c r="UIW58" s="5"/>
      <c r="UIX58" s="5"/>
      <c r="UIY58" s="5"/>
      <c r="UIZ58" s="5"/>
      <c r="UJA58" s="5"/>
      <c r="UJB58" s="5"/>
      <c r="UJC58" s="5"/>
      <c r="UJD58" s="5"/>
      <c r="UJE58" s="5"/>
      <c r="UJF58" s="5"/>
      <c r="UJG58" s="5"/>
      <c r="UJH58" s="5"/>
      <c r="UJI58" s="5"/>
      <c r="UJJ58" s="5"/>
      <c r="UJK58" s="5"/>
      <c r="UJL58" s="5"/>
      <c r="UJM58" s="5"/>
      <c r="UJN58" s="5"/>
      <c r="UJO58" s="5"/>
      <c r="UJP58" s="5"/>
      <c r="UJQ58" s="5"/>
      <c r="UJR58" s="5"/>
      <c r="UJS58" s="5"/>
      <c r="UJT58" s="5"/>
      <c r="UJU58" s="5"/>
      <c r="UJV58" s="5"/>
      <c r="UJW58" s="5"/>
      <c r="UJX58" s="5"/>
      <c r="UJY58" s="5"/>
      <c r="UJZ58" s="5"/>
      <c r="UKA58" s="5"/>
      <c r="UKB58" s="5"/>
      <c r="UKC58" s="5"/>
      <c r="UKD58" s="5"/>
      <c r="UKE58" s="5"/>
      <c r="UKF58" s="5"/>
      <c r="UKG58" s="5"/>
      <c r="UKH58" s="5"/>
      <c r="UKI58" s="5"/>
      <c r="UKJ58" s="5"/>
      <c r="UKK58" s="5"/>
      <c r="UKL58" s="5"/>
      <c r="UKM58" s="5"/>
      <c r="UKN58" s="5"/>
      <c r="UKO58" s="5"/>
      <c r="UKP58" s="5"/>
      <c r="UKQ58" s="5"/>
      <c r="UKR58" s="5"/>
      <c r="UKS58" s="5"/>
      <c r="UKT58" s="5"/>
      <c r="UKU58" s="5"/>
      <c r="UKV58" s="5"/>
      <c r="UKW58" s="5"/>
      <c r="UKX58" s="5"/>
      <c r="UKY58" s="5"/>
      <c r="UKZ58" s="5"/>
      <c r="ULA58" s="5"/>
      <c r="ULB58" s="5"/>
      <c r="ULC58" s="5"/>
      <c r="ULD58" s="5"/>
      <c r="ULE58" s="5"/>
      <c r="ULF58" s="5"/>
      <c r="ULG58" s="5"/>
      <c r="ULH58" s="5"/>
      <c r="ULI58" s="5"/>
      <c r="ULJ58" s="5"/>
      <c r="ULK58" s="5"/>
      <c r="ULL58" s="5"/>
      <c r="ULM58" s="5"/>
      <c r="ULN58" s="5"/>
      <c r="ULO58" s="5"/>
      <c r="ULP58" s="5"/>
      <c r="ULQ58" s="5"/>
      <c r="ULR58" s="5"/>
      <c r="ULS58" s="5"/>
      <c r="ULT58" s="5"/>
      <c r="ULU58" s="5"/>
      <c r="ULV58" s="5"/>
      <c r="ULW58" s="5"/>
      <c r="ULX58" s="5"/>
      <c r="ULY58" s="5"/>
      <c r="ULZ58" s="5"/>
      <c r="UMA58" s="5"/>
      <c r="UMB58" s="5"/>
      <c r="UMC58" s="5"/>
      <c r="UMD58" s="5"/>
      <c r="UME58" s="5"/>
      <c r="UMF58" s="5"/>
      <c r="UMG58" s="5"/>
      <c r="UMH58" s="5"/>
      <c r="UMI58" s="5"/>
      <c r="UMJ58" s="5"/>
      <c r="UMK58" s="5"/>
      <c r="UML58" s="5"/>
      <c r="UMM58" s="5"/>
      <c r="UMN58" s="5"/>
      <c r="UMO58" s="5"/>
      <c r="UMP58" s="5"/>
      <c r="UMQ58" s="5"/>
      <c r="UMR58" s="5"/>
      <c r="UMS58" s="5"/>
      <c r="UMT58" s="5"/>
      <c r="UMU58" s="5"/>
      <c r="UMV58" s="5"/>
      <c r="UMW58" s="5"/>
      <c r="UMX58" s="5"/>
      <c r="UMY58" s="5"/>
      <c r="UMZ58" s="5"/>
      <c r="UNA58" s="5"/>
      <c r="UNB58" s="5"/>
      <c r="UNC58" s="5"/>
      <c r="UND58" s="5"/>
      <c r="UNE58" s="5"/>
      <c r="UNF58" s="5"/>
      <c r="UNG58" s="5"/>
      <c r="UNH58" s="5"/>
      <c r="UNI58" s="5"/>
      <c r="UNJ58" s="5"/>
      <c r="UNK58" s="5"/>
      <c r="UNL58" s="5"/>
      <c r="UNM58" s="5"/>
      <c r="UNN58" s="5"/>
      <c r="UNO58" s="5"/>
      <c r="UNP58" s="5"/>
      <c r="UNQ58" s="5"/>
      <c r="UNR58" s="5"/>
      <c r="UNS58" s="5"/>
      <c r="UNT58" s="5"/>
      <c r="UNU58" s="5"/>
      <c r="UNV58" s="5"/>
      <c r="UNW58" s="5"/>
      <c r="UNX58" s="5"/>
      <c r="UNY58" s="5"/>
      <c r="UNZ58" s="5"/>
      <c r="UOA58" s="5"/>
      <c r="UOB58" s="5"/>
      <c r="UOC58" s="5"/>
      <c r="UOD58" s="5"/>
      <c r="UOE58" s="5"/>
      <c r="UOF58" s="5"/>
      <c r="UOG58" s="5"/>
      <c r="UOH58" s="5"/>
      <c r="UOI58" s="5"/>
      <c r="UOJ58" s="5"/>
      <c r="UOK58" s="5"/>
      <c r="UOL58" s="5"/>
      <c r="UOM58" s="5"/>
      <c r="UON58" s="5"/>
      <c r="UOO58" s="5"/>
      <c r="UOP58" s="5"/>
      <c r="UOQ58" s="5"/>
      <c r="UOR58" s="5"/>
      <c r="UOS58" s="5"/>
      <c r="UOT58" s="5"/>
      <c r="UOU58" s="5"/>
      <c r="UOV58" s="5"/>
      <c r="UOW58" s="5"/>
      <c r="UOX58" s="5"/>
      <c r="UOY58" s="5"/>
      <c r="UOZ58" s="5"/>
      <c r="UPA58" s="5"/>
      <c r="UPB58" s="5"/>
      <c r="UPC58" s="5"/>
      <c r="UPD58" s="5"/>
      <c r="UPE58" s="5"/>
      <c r="UPF58" s="5"/>
      <c r="UPG58" s="5"/>
      <c r="UPH58" s="5"/>
      <c r="UPI58" s="5"/>
      <c r="UPJ58" s="5"/>
      <c r="UPK58" s="5"/>
      <c r="UPL58" s="5"/>
      <c r="UPM58" s="5"/>
      <c r="UPN58" s="5"/>
      <c r="UPO58" s="5"/>
      <c r="UPP58" s="5"/>
      <c r="UPQ58" s="5"/>
      <c r="UPR58" s="5"/>
      <c r="UPS58" s="5"/>
      <c r="UPT58" s="5"/>
      <c r="UPU58" s="5"/>
      <c r="UPV58" s="5"/>
      <c r="UPW58" s="5"/>
      <c r="UPX58" s="5"/>
      <c r="UPY58" s="5"/>
      <c r="UPZ58" s="5"/>
      <c r="UQA58" s="5"/>
      <c r="UQB58" s="5"/>
      <c r="UQC58" s="5"/>
      <c r="UQD58" s="5"/>
      <c r="UQE58" s="5"/>
      <c r="UQF58" s="5"/>
      <c r="UQG58" s="5"/>
      <c r="UQH58" s="5"/>
      <c r="UQI58" s="5"/>
      <c r="UQJ58" s="5"/>
      <c r="UQK58" s="5"/>
      <c r="UQL58" s="5"/>
      <c r="UQM58" s="5"/>
      <c r="UQN58" s="5"/>
      <c r="UQO58" s="5"/>
      <c r="UQP58" s="5"/>
      <c r="UQQ58" s="5"/>
      <c r="UQR58" s="5"/>
      <c r="UQS58" s="5"/>
      <c r="UQT58" s="5"/>
      <c r="UQU58" s="5"/>
      <c r="UQV58" s="5"/>
      <c r="UQW58" s="5"/>
      <c r="UQX58" s="5"/>
      <c r="UQY58" s="5"/>
      <c r="UQZ58" s="5"/>
      <c r="URA58" s="5"/>
      <c r="URB58" s="5"/>
      <c r="URC58" s="5"/>
      <c r="URD58" s="5"/>
      <c r="URE58" s="5"/>
      <c r="URF58" s="5"/>
      <c r="URG58" s="5"/>
      <c r="URH58" s="5"/>
      <c r="URI58" s="5"/>
      <c r="URJ58" s="5"/>
      <c r="URK58" s="5"/>
      <c r="URL58" s="5"/>
      <c r="URM58" s="5"/>
      <c r="URN58" s="5"/>
      <c r="URO58" s="5"/>
      <c r="URP58" s="5"/>
      <c r="URQ58" s="5"/>
      <c r="URR58" s="5"/>
      <c r="URS58" s="5"/>
      <c r="URT58" s="5"/>
      <c r="URU58" s="5"/>
      <c r="URV58" s="5"/>
      <c r="URW58" s="5"/>
      <c r="URX58" s="5"/>
      <c r="URY58" s="5"/>
      <c r="URZ58" s="5"/>
      <c r="USA58" s="5"/>
      <c r="USB58" s="5"/>
      <c r="USC58" s="5"/>
      <c r="USD58" s="5"/>
      <c r="USE58" s="5"/>
      <c r="USF58" s="5"/>
      <c r="USG58" s="5"/>
      <c r="USH58" s="5"/>
      <c r="USI58" s="5"/>
      <c r="USJ58" s="5"/>
      <c r="USK58" s="5"/>
      <c r="USL58" s="5"/>
      <c r="USM58" s="5"/>
      <c r="USN58" s="5"/>
      <c r="USO58" s="5"/>
      <c r="USP58" s="5"/>
      <c r="USQ58" s="5"/>
      <c r="USR58" s="5"/>
      <c r="USS58" s="5"/>
      <c r="UST58" s="5"/>
      <c r="USU58" s="5"/>
      <c r="USV58" s="5"/>
      <c r="USW58" s="5"/>
      <c r="USX58" s="5"/>
      <c r="USY58" s="5"/>
      <c r="USZ58" s="5"/>
      <c r="UTA58" s="5"/>
      <c r="UTB58" s="5"/>
      <c r="UTC58" s="5"/>
      <c r="UTD58" s="5"/>
      <c r="UTE58" s="5"/>
      <c r="UTF58" s="5"/>
      <c r="UTG58" s="5"/>
      <c r="UTH58" s="5"/>
      <c r="UTI58" s="5"/>
      <c r="UTJ58" s="5"/>
      <c r="UTK58" s="5"/>
      <c r="UTL58" s="5"/>
      <c r="UTM58" s="5"/>
      <c r="UTN58" s="5"/>
      <c r="UTO58" s="5"/>
      <c r="UTP58" s="5"/>
      <c r="UTQ58" s="5"/>
      <c r="UTR58" s="5"/>
      <c r="UTS58" s="5"/>
      <c r="UTT58" s="5"/>
      <c r="UTU58" s="5"/>
      <c r="UTV58" s="5"/>
      <c r="UTW58" s="5"/>
      <c r="UTX58" s="5"/>
      <c r="UTY58" s="5"/>
      <c r="UTZ58" s="5"/>
      <c r="UUA58" s="5"/>
      <c r="UUB58" s="5"/>
      <c r="UUC58" s="5"/>
      <c r="UUD58" s="5"/>
      <c r="UUE58" s="5"/>
      <c r="UUF58" s="5"/>
      <c r="UUG58" s="5"/>
      <c r="UUH58" s="5"/>
      <c r="UUI58" s="5"/>
      <c r="UUJ58" s="5"/>
      <c r="UUK58" s="5"/>
      <c r="UUL58" s="5"/>
      <c r="UUM58" s="5"/>
      <c r="UUN58" s="5"/>
      <c r="UUO58" s="5"/>
      <c r="UUP58" s="5"/>
      <c r="UUQ58" s="5"/>
      <c r="UUR58" s="5"/>
      <c r="UUS58" s="5"/>
      <c r="UUT58" s="5"/>
      <c r="UUU58" s="5"/>
      <c r="UUV58" s="5"/>
      <c r="UUW58" s="5"/>
      <c r="UUX58" s="5"/>
      <c r="UUY58" s="5"/>
      <c r="UUZ58" s="5"/>
      <c r="UVA58" s="5"/>
      <c r="UVB58" s="5"/>
      <c r="UVC58" s="5"/>
      <c r="UVD58" s="5"/>
      <c r="UVE58" s="5"/>
      <c r="UVF58" s="5"/>
      <c r="UVG58" s="5"/>
      <c r="UVH58" s="5"/>
      <c r="UVI58" s="5"/>
      <c r="UVJ58" s="5"/>
      <c r="UVK58" s="5"/>
      <c r="UVL58" s="5"/>
      <c r="UVM58" s="5"/>
      <c r="UVN58" s="5"/>
      <c r="UVO58" s="5"/>
      <c r="UVP58" s="5"/>
      <c r="UVQ58" s="5"/>
      <c r="UVR58" s="5"/>
      <c r="UVS58" s="5"/>
      <c r="UVT58" s="5"/>
      <c r="UVU58" s="5"/>
      <c r="UVV58" s="5"/>
      <c r="UVW58" s="5"/>
      <c r="UVX58" s="5"/>
      <c r="UVY58" s="5"/>
      <c r="UVZ58" s="5"/>
      <c r="UWA58" s="5"/>
      <c r="UWB58" s="5"/>
      <c r="UWC58" s="5"/>
      <c r="UWD58" s="5"/>
      <c r="UWE58" s="5"/>
      <c r="UWF58" s="5"/>
      <c r="UWG58" s="5"/>
      <c r="UWH58" s="5"/>
      <c r="UWI58" s="5"/>
      <c r="UWJ58" s="5"/>
      <c r="UWK58" s="5"/>
      <c r="UWL58" s="5"/>
      <c r="UWM58" s="5"/>
      <c r="UWN58" s="5"/>
      <c r="UWO58" s="5"/>
      <c r="UWP58" s="5"/>
      <c r="UWQ58" s="5"/>
      <c r="UWR58" s="5"/>
      <c r="UWS58" s="5"/>
      <c r="UWT58" s="5"/>
      <c r="UWU58" s="5"/>
      <c r="UWV58" s="5"/>
      <c r="UWW58" s="5"/>
      <c r="UWX58" s="5"/>
      <c r="UWY58" s="5"/>
      <c r="UWZ58" s="5"/>
      <c r="UXA58" s="5"/>
      <c r="UXB58" s="5"/>
      <c r="UXC58" s="5"/>
      <c r="UXD58" s="5"/>
      <c r="UXE58" s="5"/>
      <c r="UXF58" s="5"/>
      <c r="UXG58" s="5"/>
      <c r="UXH58" s="5"/>
      <c r="UXI58" s="5"/>
      <c r="UXJ58" s="5"/>
      <c r="UXK58" s="5"/>
      <c r="UXL58" s="5"/>
      <c r="UXM58" s="5"/>
      <c r="UXN58" s="5"/>
      <c r="UXO58" s="5"/>
      <c r="UXP58" s="5"/>
      <c r="UXQ58" s="5"/>
      <c r="UXR58" s="5"/>
      <c r="UXS58" s="5"/>
      <c r="UXT58" s="5"/>
      <c r="UXU58" s="5"/>
      <c r="UXV58" s="5"/>
      <c r="UXW58" s="5"/>
      <c r="UXX58" s="5"/>
      <c r="UXY58" s="5"/>
      <c r="UXZ58" s="5"/>
      <c r="UYA58" s="5"/>
      <c r="UYB58" s="5"/>
      <c r="UYC58" s="5"/>
      <c r="UYD58" s="5"/>
      <c r="UYE58" s="5"/>
      <c r="UYF58" s="5"/>
      <c r="UYG58" s="5"/>
      <c r="UYH58" s="5"/>
      <c r="UYI58" s="5"/>
      <c r="UYJ58" s="5"/>
      <c r="UYK58" s="5"/>
      <c r="UYL58" s="5"/>
      <c r="UYM58" s="5"/>
      <c r="UYN58" s="5"/>
      <c r="UYO58" s="5"/>
      <c r="UYP58" s="5"/>
      <c r="UYQ58" s="5"/>
      <c r="UYR58" s="5"/>
      <c r="UYS58" s="5"/>
      <c r="UYT58" s="5"/>
      <c r="UYU58" s="5"/>
      <c r="UYV58" s="5"/>
      <c r="UYW58" s="5"/>
      <c r="UYX58" s="5"/>
      <c r="UYY58" s="5"/>
      <c r="UYZ58" s="5"/>
      <c r="UZA58" s="5"/>
      <c r="UZB58" s="5"/>
      <c r="UZC58" s="5"/>
      <c r="UZD58" s="5"/>
      <c r="UZE58" s="5"/>
      <c r="UZF58" s="5"/>
      <c r="UZG58" s="5"/>
      <c r="UZH58" s="5"/>
      <c r="UZI58" s="5"/>
      <c r="UZJ58" s="5"/>
      <c r="UZK58" s="5"/>
      <c r="UZL58" s="5"/>
      <c r="UZM58" s="5"/>
      <c r="UZN58" s="5"/>
      <c r="UZO58" s="5"/>
      <c r="UZP58" s="5"/>
      <c r="UZQ58" s="5"/>
      <c r="UZR58" s="5"/>
      <c r="UZS58" s="5"/>
      <c r="UZT58" s="5"/>
      <c r="UZU58" s="5"/>
      <c r="UZV58" s="5"/>
      <c r="UZW58" s="5"/>
      <c r="UZX58" s="5"/>
      <c r="UZY58" s="5"/>
      <c r="UZZ58" s="5"/>
      <c r="VAA58" s="5"/>
      <c r="VAB58" s="5"/>
      <c r="VAC58" s="5"/>
      <c r="VAD58" s="5"/>
      <c r="VAE58" s="5"/>
      <c r="VAF58" s="5"/>
      <c r="VAG58" s="5"/>
      <c r="VAH58" s="5"/>
      <c r="VAI58" s="5"/>
      <c r="VAJ58" s="5"/>
      <c r="VAK58" s="5"/>
      <c r="VAL58" s="5"/>
      <c r="VAM58" s="5"/>
      <c r="VAN58" s="5"/>
      <c r="VAO58" s="5"/>
      <c r="VAP58" s="5"/>
      <c r="VAQ58" s="5"/>
      <c r="VAR58" s="5"/>
      <c r="VAS58" s="5"/>
      <c r="VAT58" s="5"/>
      <c r="VAU58" s="5"/>
      <c r="VAV58" s="5"/>
      <c r="VAW58" s="5"/>
      <c r="VAX58" s="5"/>
      <c r="VAY58" s="5"/>
      <c r="VAZ58" s="5"/>
      <c r="VBA58" s="5"/>
      <c r="VBB58" s="5"/>
      <c r="VBC58" s="5"/>
      <c r="VBD58" s="5"/>
      <c r="VBE58" s="5"/>
      <c r="VBF58" s="5"/>
      <c r="VBG58" s="5"/>
      <c r="VBH58" s="5"/>
      <c r="VBI58" s="5"/>
      <c r="VBJ58" s="5"/>
      <c r="VBK58" s="5"/>
      <c r="VBL58" s="5"/>
      <c r="VBM58" s="5"/>
      <c r="VBN58" s="5"/>
      <c r="VBO58" s="5"/>
      <c r="VBP58" s="5"/>
      <c r="VBQ58" s="5"/>
      <c r="VBR58" s="5"/>
      <c r="VBS58" s="5"/>
      <c r="VBT58" s="5"/>
      <c r="VBU58" s="5"/>
      <c r="VBV58" s="5"/>
      <c r="VBW58" s="5"/>
      <c r="VBX58" s="5"/>
      <c r="VBY58" s="5"/>
      <c r="VBZ58" s="5"/>
      <c r="VCA58" s="5"/>
      <c r="VCB58" s="5"/>
      <c r="VCC58" s="5"/>
      <c r="VCD58" s="5"/>
      <c r="VCE58" s="5"/>
      <c r="VCF58" s="5"/>
      <c r="VCG58" s="5"/>
      <c r="VCH58" s="5"/>
      <c r="VCI58" s="5"/>
      <c r="VCJ58" s="5"/>
      <c r="VCK58" s="5"/>
      <c r="VCL58" s="5"/>
      <c r="VCM58" s="5"/>
      <c r="VCN58" s="5"/>
      <c r="VCO58" s="5"/>
      <c r="VCP58" s="5"/>
      <c r="VCQ58" s="5"/>
      <c r="VCR58" s="5"/>
      <c r="VCS58" s="5"/>
      <c r="VCT58" s="5"/>
      <c r="VCU58" s="5"/>
      <c r="VCV58" s="5"/>
      <c r="VCW58" s="5"/>
      <c r="VCX58" s="5"/>
      <c r="VCY58" s="5"/>
      <c r="VCZ58" s="5"/>
      <c r="VDA58" s="5"/>
      <c r="VDB58" s="5"/>
      <c r="VDC58" s="5"/>
      <c r="VDD58" s="5"/>
      <c r="VDE58" s="5"/>
      <c r="VDF58" s="5"/>
      <c r="VDG58" s="5"/>
      <c r="VDH58" s="5"/>
      <c r="VDI58" s="5"/>
      <c r="VDJ58" s="5"/>
      <c r="VDK58" s="5"/>
      <c r="VDL58" s="5"/>
      <c r="VDM58" s="5"/>
      <c r="VDN58" s="5"/>
      <c r="VDO58" s="5"/>
      <c r="VDP58" s="5"/>
      <c r="VDQ58" s="5"/>
      <c r="VDR58" s="5"/>
      <c r="VDS58" s="5"/>
      <c r="VDT58" s="5"/>
      <c r="VDU58" s="5"/>
      <c r="VDV58" s="5"/>
      <c r="VDW58" s="5"/>
      <c r="VDX58" s="5"/>
      <c r="VDY58" s="5"/>
      <c r="VDZ58" s="5"/>
      <c r="VEA58" s="5"/>
      <c r="VEB58" s="5"/>
      <c r="VEC58" s="5"/>
      <c r="VED58" s="5"/>
      <c r="VEE58" s="5"/>
      <c r="VEF58" s="5"/>
      <c r="VEG58" s="5"/>
      <c r="VEH58" s="5"/>
      <c r="VEI58" s="5"/>
      <c r="VEJ58" s="5"/>
      <c r="VEK58" s="5"/>
      <c r="VEL58" s="5"/>
      <c r="VEM58" s="5"/>
      <c r="VEN58" s="5"/>
      <c r="VEO58" s="5"/>
      <c r="VEP58" s="5"/>
      <c r="VEQ58" s="5"/>
      <c r="VER58" s="5"/>
      <c r="VES58" s="5"/>
      <c r="VET58" s="5"/>
      <c r="VEU58" s="5"/>
      <c r="VEV58" s="5"/>
      <c r="VEW58" s="5"/>
      <c r="VEX58" s="5"/>
      <c r="VEY58" s="5"/>
      <c r="VEZ58" s="5"/>
      <c r="VFA58" s="5"/>
      <c r="VFB58" s="5"/>
      <c r="VFC58" s="5"/>
      <c r="VFD58" s="5"/>
      <c r="VFE58" s="5"/>
      <c r="VFF58" s="5"/>
      <c r="VFG58" s="5"/>
      <c r="VFH58" s="5"/>
      <c r="VFI58" s="5"/>
      <c r="VFJ58" s="5"/>
      <c r="VFK58" s="5"/>
      <c r="VFL58" s="5"/>
      <c r="VFM58" s="5"/>
      <c r="VFN58" s="5"/>
      <c r="VFO58" s="5"/>
      <c r="VFP58" s="5"/>
      <c r="VFQ58" s="5"/>
      <c r="VFR58" s="5"/>
      <c r="VFS58" s="5"/>
      <c r="VFT58" s="5"/>
      <c r="VFU58" s="5"/>
      <c r="VFV58" s="5"/>
      <c r="VFW58" s="5"/>
      <c r="VFX58" s="5"/>
      <c r="VFY58" s="5"/>
      <c r="VFZ58" s="5"/>
      <c r="VGA58" s="5"/>
      <c r="VGB58" s="5"/>
      <c r="VGC58" s="5"/>
      <c r="VGD58" s="5"/>
      <c r="VGE58" s="5"/>
      <c r="VGF58" s="5"/>
      <c r="VGG58" s="5"/>
      <c r="VGH58" s="5"/>
      <c r="VGI58" s="5"/>
      <c r="VGJ58" s="5"/>
      <c r="VGK58" s="5"/>
      <c r="VGL58" s="5"/>
      <c r="VGM58" s="5"/>
      <c r="VGN58" s="5"/>
      <c r="VGO58" s="5"/>
      <c r="VGP58" s="5"/>
      <c r="VGQ58" s="5"/>
      <c r="VGR58" s="5"/>
      <c r="VGS58" s="5"/>
      <c r="VGT58" s="5"/>
      <c r="VGU58" s="5"/>
      <c r="VGV58" s="5"/>
      <c r="VGW58" s="5"/>
      <c r="VGX58" s="5"/>
      <c r="VGY58" s="5"/>
      <c r="VGZ58" s="5"/>
      <c r="VHA58" s="5"/>
      <c r="VHB58" s="5"/>
      <c r="VHC58" s="5"/>
      <c r="VHD58" s="5"/>
      <c r="VHE58" s="5"/>
      <c r="VHF58" s="5"/>
      <c r="VHG58" s="5"/>
      <c r="VHH58" s="5"/>
      <c r="VHI58" s="5"/>
      <c r="VHJ58" s="5"/>
      <c r="VHK58" s="5"/>
      <c r="VHL58" s="5"/>
      <c r="VHM58" s="5"/>
      <c r="VHN58" s="5"/>
      <c r="VHO58" s="5"/>
      <c r="VHP58" s="5"/>
      <c r="VHQ58" s="5"/>
      <c r="VHR58" s="5"/>
      <c r="VHS58" s="5"/>
      <c r="VHT58" s="5"/>
      <c r="VHU58" s="5"/>
      <c r="VHV58" s="5"/>
      <c r="VHW58" s="5"/>
      <c r="VHX58" s="5"/>
      <c r="VHY58" s="5"/>
      <c r="VHZ58" s="5"/>
      <c r="VIA58" s="5"/>
      <c r="VIB58" s="5"/>
      <c r="VIC58" s="5"/>
      <c r="VID58" s="5"/>
      <c r="VIE58" s="5"/>
      <c r="VIF58" s="5"/>
      <c r="VIG58" s="5"/>
      <c r="VIH58" s="5"/>
      <c r="VII58" s="5"/>
      <c r="VIJ58" s="5"/>
      <c r="VIK58" s="5"/>
      <c r="VIL58" s="5"/>
      <c r="VIM58" s="5"/>
      <c r="VIN58" s="5"/>
      <c r="VIO58" s="5"/>
      <c r="VIP58" s="5"/>
      <c r="VIQ58" s="5"/>
      <c r="VIR58" s="5"/>
      <c r="VIS58" s="5"/>
      <c r="VIT58" s="5"/>
      <c r="VIU58" s="5"/>
      <c r="VIV58" s="5"/>
      <c r="VIW58" s="5"/>
      <c r="VIX58" s="5"/>
      <c r="VIY58" s="5"/>
      <c r="VIZ58" s="5"/>
      <c r="VJA58" s="5"/>
      <c r="VJB58" s="5"/>
      <c r="VJC58" s="5"/>
      <c r="VJD58" s="5"/>
      <c r="VJE58" s="5"/>
      <c r="VJF58" s="5"/>
      <c r="VJG58" s="5"/>
      <c r="VJH58" s="5"/>
      <c r="VJI58" s="5"/>
      <c r="VJJ58" s="5"/>
      <c r="VJK58" s="5"/>
      <c r="VJL58" s="5"/>
      <c r="VJM58" s="5"/>
      <c r="VJN58" s="5"/>
      <c r="VJO58" s="5"/>
      <c r="VJP58" s="5"/>
      <c r="VJQ58" s="5"/>
      <c r="VJR58" s="5"/>
      <c r="VJS58" s="5"/>
      <c r="VJT58" s="5"/>
      <c r="VJU58" s="5"/>
      <c r="VJV58" s="5"/>
      <c r="VJW58" s="5"/>
      <c r="VJX58" s="5"/>
      <c r="VJY58" s="5"/>
      <c r="VJZ58" s="5"/>
      <c r="VKA58" s="5"/>
      <c r="VKB58" s="5"/>
      <c r="VKC58" s="5"/>
      <c r="VKD58" s="5"/>
      <c r="VKE58" s="5"/>
      <c r="VKF58" s="5"/>
      <c r="VKG58" s="5"/>
      <c r="VKH58" s="5"/>
      <c r="VKI58" s="5"/>
      <c r="VKJ58" s="5"/>
      <c r="VKK58" s="5"/>
      <c r="VKL58" s="5"/>
      <c r="VKM58" s="5"/>
      <c r="VKN58" s="5"/>
      <c r="VKO58" s="5"/>
      <c r="VKP58" s="5"/>
      <c r="VKQ58" s="5"/>
      <c r="VKR58" s="5"/>
      <c r="VKS58" s="5"/>
      <c r="VKT58" s="5"/>
      <c r="VKU58" s="5"/>
      <c r="VKV58" s="5"/>
      <c r="VKW58" s="5"/>
      <c r="VKX58" s="5"/>
      <c r="VKY58" s="5"/>
      <c r="VKZ58" s="5"/>
      <c r="VLA58" s="5"/>
      <c r="VLB58" s="5"/>
      <c r="VLC58" s="5"/>
      <c r="VLD58" s="5"/>
      <c r="VLE58" s="5"/>
      <c r="VLF58" s="5"/>
      <c r="VLG58" s="5"/>
      <c r="VLH58" s="5"/>
      <c r="VLI58" s="5"/>
      <c r="VLJ58" s="5"/>
      <c r="VLK58" s="5"/>
      <c r="VLL58" s="5"/>
      <c r="VLM58" s="5"/>
      <c r="VLN58" s="5"/>
      <c r="VLO58" s="5"/>
      <c r="VLP58" s="5"/>
      <c r="VLQ58" s="5"/>
      <c r="VLR58" s="5"/>
      <c r="VLS58" s="5"/>
      <c r="VLT58" s="5"/>
      <c r="VLU58" s="5"/>
      <c r="VLV58" s="5"/>
      <c r="VLW58" s="5"/>
      <c r="VLX58" s="5"/>
      <c r="VLY58" s="5"/>
      <c r="VLZ58" s="5"/>
      <c r="VMA58" s="5"/>
      <c r="VMB58" s="5"/>
      <c r="VMC58" s="5"/>
      <c r="VMD58" s="5"/>
      <c r="VME58" s="5"/>
      <c r="VMF58" s="5"/>
      <c r="VMG58" s="5"/>
      <c r="VMH58" s="5"/>
      <c r="VMI58" s="5"/>
      <c r="VMJ58" s="5"/>
      <c r="VMK58" s="5"/>
      <c r="VML58" s="5"/>
      <c r="VMM58" s="5"/>
      <c r="VMN58" s="5"/>
      <c r="VMO58" s="5"/>
      <c r="VMP58" s="5"/>
      <c r="VMQ58" s="5"/>
      <c r="VMR58" s="5"/>
      <c r="VMS58" s="5"/>
      <c r="VMT58" s="5"/>
      <c r="VMU58" s="5"/>
      <c r="VMV58" s="5"/>
      <c r="VMW58" s="5"/>
      <c r="VMX58" s="5"/>
      <c r="VMY58" s="5"/>
      <c r="VMZ58" s="5"/>
      <c r="VNA58" s="5"/>
      <c r="VNB58" s="5"/>
      <c r="VNC58" s="5"/>
      <c r="VND58" s="5"/>
      <c r="VNE58" s="5"/>
      <c r="VNF58" s="5"/>
      <c r="VNG58" s="5"/>
      <c r="VNH58" s="5"/>
      <c r="VNI58" s="5"/>
      <c r="VNJ58" s="5"/>
      <c r="VNK58" s="5"/>
      <c r="VNL58" s="5"/>
      <c r="VNM58" s="5"/>
      <c r="VNN58" s="5"/>
      <c r="VNO58" s="5"/>
      <c r="VNP58" s="5"/>
      <c r="VNQ58" s="5"/>
      <c r="VNR58" s="5"/>
      <c r="VNS58" s="5"/>
      <c r="VNT58" s="5"/>
      <c r="VNU58" s="5"/>
      <c r="VNV58" s="5"/>
      <c r="VNW58" s="5"/>
      <c r="VNX58" s="5"/>
      <c r="VNY58" s="5"/>
      <c r="VNZ58" s="5"/>
      <c r="VOA58" s="5"/>
      <c r="VOB58" s="5"/>
      <c r="VOC58" s="5"/>
      <c r="VOD58" s="5"/>
      <c r="VOE58" s="5"/>
      <c r="VOF58" s="5"/>
      <c r="VOG58" s="5"/>
      <c r="VOH58" s="5"/>
      <c r="VOI58" s="5"/>
      <c r="VOJ58" s="5"/>
      <c r="VOK58" s="5"/>
      <c r="VOL58" s="5"/>
      <c r="VOM58" s="5"/>
      <c r="VON58" s="5"/>
      <c r="VOO58" s="5"/>
      <c r="VOP58" s="5"/>
      <c r="VOQ58" s="5"/>
      <c r="VOR58" s="5"/>
      <c r="VOS58" s="5"/>
      <c r="VOT58" s="5"/>
      <c r="VOU58" s="5"/>
      <c r="VOV58" s="5"/>
      <c r="VOW58" s="5"/>
      <c r="VOX58" s="5"/>
      <c r="VOY58" s="5"/>
      <c r="VOZ58" s="5"/>
      <c r="VPA58" s="5"/>
      <c r="VPB58" s="5"/>
      <c r="VPC58" s="5"/>
      <c r="VPD58" s="5"/>
      <c r="VPE58" s="5"/>
      <c r="VPF58" s="5"/>
      <c r="VPG58" s="5"/>
      <c r="VPH58" s="5"/>
      <c r="VPI58" s="5"/>
      <c r="VPJ58" s="5"/>
      <c r="VPK58" s="5"/>
      <c r="VPL58" s="5"/>
      <c r="VPM58" s="5"/>
      <c r="VPN58" s="5"/>
      <c r="VPO58" s="5"/>
      <c r="VPP58" s="5"/>
      <c r="VPQ58" s="5"/>
      <c r="VPR58" s="5"/>
      <c r="VPS58" s="5"/>
      <c r="VPT58" s="5"/>
      <c r="VPU58" s="5"/>
      <c r="VPV58" s="5"/>
      <c r="VPW58" s="5"/>
      <c r="VPX58" s="5"/>
      <c r="VPY58" s="5"/>
      <c r="VPZ58" s="5"/>
      <c r="VQA58" s="5"/>
      <c r="VQB58" s="5"/>
      <c r="VQC58" s="5"/>
      <c r="VQD58" s="5"/>
      <c r="VQE58" s="5"/>
      <c r="VQF58" s="5"/>
      <c r="VQG58" s="5"/>
      <c r="VQH58" s="5"/>
      <c r="VQI58" s="5"/>
      <c r="VQJ58" s="5"/>
      <c r="VQK58" s="5"/>
      <c r="VQL58" s="5"/>
      <c r="VQM58" s="5"/>
      <c r="VQN58" s="5"/>
      <c r="VQO58" s="5"/>
      <c r="VQP58" s="5"/>
      <c r="VQQ58" s="5"/>
      <c r="VQR58" s="5"/>
      <c r="VQS58" s="5"/>
      <c r="VQT58" s="5"/>
      <c r="VQU58" s="5"/>
      <c r="VQV58" s="5"/>
      <c r="VQW58" s="5"/>
      <c r="VQX58" s="5"/>
      <c r="VQY58" s="5"/>
      <c r="VQZ58" s="5"/>
      <c r="VRA58" s="5"/>
      <c r="VRB58" s="5"/>
      <c r="VRC58" s="5"/>
      <c r="VRD58" s="5"/>
      <c r="VRE58" s="5"/>
      <c r="VRF58" s="5"/>
      <c r="VRG58" s="5"/>
      <c r="VRH58" s="5"/>
      <c r="VRI58" s="5"/>
      <c r="VRJ58" s="5"/>
      <c r="VRK58" s="5"/>
      <c r="VRL58" s="5"/>
      <c r="VRM58" s="5"/>
      <c r="VRN58" s="5"/>
      <c r="VRO58" s="5"/>
      <c r="VRP58" s="5"/>
      <c r="VRQ58" s="5"/>
      <c r="VRR58" s="5"/>
      <c r="VRS58" s="5"/>
      <c r="VRT58" s="5"/>
      <c r="VRU58" s="5"/>
      <c r="VRV58" s="5"/>
      <c r="VRW58" s="5"/>
      <c r="VRX58" s="5"/>
      <c r="VRY58" s="5"/>
      <c r="VRZ58" s="5"/>
      <c r="VSA58" s="5"/>
      <c r="VSB58" s="5"/>
      <c r="VSC58" s="5"/>
      <c r="VSD58" s="5"/>
      <c r="VSE58" s="5"/>
      <c r="VSF58" s="5"/>
      <c r="VSG58" s="5"/>
      <c r="VSH58" s="5"/>
      <c r="VSI58" s="5"/>
      <c r="VSJ58" s="5"/>
      <c r="VSK58" s="5"/>
      <c r="VSL58" s="5"/>
      <c r="VSM58" s="5"/>
      <c r="VSN58" s="5"/>
      <c r="VSO58" s="5"/>
      <c r="VSP58" s="5"/>
      <c r="VSQ58" s="5"/>
      <c r="VSR58" s="5"/>
      <c r="VSS58" s="5"/>
      <c r="VST58" s="5"/>
      <c r="VSU58" s="5"/>
      <c r="VSV58" s="5"/>
      <c r="VSW58" s="5"/>
      <c r="VSX58" s="5"/>
      <c r="VSY58" s="5"/>
      <c r="VSZ58" s="5"/>
      <c r="VTA58" s="5"/>
      <c r="VTB58" s="5"/>
      <c r="VTC58" s="5"/>
      <c r="VTD58" s="5"/>
      <c r="VTE58" s="5"/>
      <c r="VTF58" s="5"/>
      <c r="VTG58" s="5"/>
      <c r="VTH58" s="5"/>
      <c r="VTI58" s="5"/>
      <c r="VTJ58" s="5"/>
      <c r="VTK58" s="5"/>
      <c r="VTL58" s="5"/>
      <c r="VTM58" s="5"/>
      <c r="VTN58" s="5"/>
      <c r="VTO58" s="5"/>
      <c r="VTP58" s="5"/>
      <c r="VTQ58" s="5"/>
      <c r="VTR58" s="5"/>
      <c r="VTS58" s="5"/>
      <c r="VTT58" s="5"/>
      <c r="VTU58" s="5"/>
      <c r="VTV58" s="5"/>
      <c r="VTW58" s="5"/>
      <c r="VTX58" s="5"/>
      <c r="VTY58" s="5"/>
      <c r="VTZ58" s="5"/>
      <c r="VUA58" s="5"/>
      <c r="VUB58" s="5"/>
      <c r="VUC58" s="5"/>
      <c r="VUD58" s="5"/>
      <c r="VUE58" s="5"/>
      <c r="VUF58" s="5"/>
      <c r="VUG58" s="5"/>
      <c r="VUH58" s="5"/>
      <c r="VUI58" s="5"/>
      <c r="VUJ58" s="5"/>
      <c r="VUK58" s="5"/>
      <c r="VUL58" s="5"/>
      <c r="VUM58" s="5"/>
      <c r="VUN58" s="5"/>
      <c r="VUO58" s="5"/>
      <c r="VUP58" s="5"/>
      <c r="VUQ58" s="5"/>
      <c r="VUR58" s="5"/>
      <c r="VUS58" s="5"/>
      <c r="VUT58" s="5"/>
      <c r="VUU58" s="5"/>
      <c r="VUV58" s="5"/>
      <c r="VUW58" s="5"/>
      <c r="VUX58" s="5"/>
      <c r="VUY58" s="5"/>
      <c r="VUZ58" s="5"/>
      <c r="VVA58" s="5"/>
      <c r="VVB58" s="5"/>
      <c r="VVC58" s="5"/>
      <c r="VVD58" s="5"/>
      <c r="VVE58" s="5"/>
      <c r="VVF58" s="5"/>
      <c r="VVG58" s="5"/>
      <c r="VVH58" s="5"/>
      <c r="VVI58" s="5"/>
      <c r="VVJ58" s="5"/>
      <c r="VVK58" s="5"/>
      <c r="VVL58" s="5"/>
      <c r="VVM58" s="5"/>
      <c r="VVN58" s="5"/>
      <c r="VVO58" s="5"/>
      <c r="VVP58" s="5"/>
      <c r="VVQ58" s="5"/>
      <c r="VVR58" s="5"/>
      <c r="VVS58" s="5"/>
      <c r="VVT58" s="5"/>
      <c r="VVU58" s="5"/>
      <c r="VVV58" s="5"/>
      <c r="VVW58" s="5"/>
      <c r="VVX58" s="5"/>
      <c r="VVY58" s="5"/>
      <c r="VVZ58" s="5"/>
      <c r="VWA58" s="5"/>
      <c r="VWB58" s="5"/>
      <c r="VWC58" s="5"/>
      <c r="VWD58" s="5"/>
      <c r="VWE58" s="5"/>
      <c r="VWF58" s="5"/>
      <c r="VWG58" s="5"/>
      <c r="VWH58" s="5"/>
      <c r="VWI58" s="5"/>
      <c r="VWJ58" s="5"/>
      <c r="VWK58" s="5"/>
      <c r="VWL58" s="5"/>
      <c r="VWM58" s="5"/>
      <c r="VWN58" s="5"/>
      <c r="VWO58" s="5"/>
      <c r="VWP58" s="5"/>
      <c r="VWQ58" s="5"/>
      <c r="VWR58" s="5"/>
      <c r="VWS58" s="5"/>
      <c r="VWT58" s="5"/>
      <c r="VWU58" s="5"/>
      <c r="VWV58" s="5"/>
      <c r="VWW58" s="5"/>
      <c r="VWX58" s="5"/>
      <c r="VWY58" s="5"/>
      <c r="VWZ58" s="5"/>
      <c r="VXA58" s="5"/>
      <c r="VXB58" s="5"/>
      <c r="VXC58" s="5"/>
      <c r="VXD58" s="5"/>
      <c r="VXE58" s="5"/>
      <c r="VXF58" s="5"/>
      <c r="VXG58" s="5"/>
      <c r="VXH58" s="5"/>
      <c r="VXI58" s="5"/>
      <c r="VXJ58" s="5"/>
      <c r="VXK58" s="5"/>
      <c r="VXL58" s="5"/>
      <c r="VXM58" s="5"/>
      <c r="VXN58" s="5"/>
      <c r="VXO58" s="5"/>
      <c r="VXP58" s="5"/>
      <c r="VXQ58" s="5"/>
      <c r="VXR58" s="5"/>
      <c r="VXS58" s="5"/>
      <c r="VXT58" s="5"/>
      <c r="VXU58" s="5"/>
      <c r="VXV58" s="5"/>
      <c r="VXW58" s="5"/>
      <c r="VXX58" s="5"/>
      <c r="VXY58" s="5"/>
      <c r="VXZ58" s="5"/>
      <c r="VYA58" s="5"/>
      <c r="VYB58" s="5"/>
      <c r="VYC58" s="5"/>
      <c r="VYD58" s="5"/>
      <c r="VYE58" s="5"/>
      <c r="VYF58" s="5"/>
      <c r="VYG58" s="5"/>
      <c r="VYH58" s="5"/>
      <c r="VYI58" s="5"/>
      <c r="VYJ58" s="5"/>
      <c r="VYK58" s="5"/>
      <c r="VYL58" s="5"/>
      <c r="VYM58" s="5"/>
      <c r="VYN58" s="5"/>
      <c r="VYO58" s="5"/>
      <c r="VYP58" s="5"/>
      <c r="VYQ58" s="5"/>
      <c r="VYR58" s="5"/>
      <c r="VYS58" s="5"/>
      <c r="VYT58" s="5"/>
      <c r="VYU58" s="5"/>
      <c r="VYV58" s="5"/>
      <c r="VYW58" s="5"/>
      <c r="VYX58" s="5"/>
      <c r="VYY58" s="5"/>
      <c r="VYZ58" s="5"/>
      <c r="VZA58" s="5"/>
      <c r="VZB58" s="5"/>
      <c r="VZC58" s="5"/>
      <c r="VZD58" s="5"/>
      <c r="VZE58" s="5"/>
      <c r="VZF58" s="5"/>
      <c r="VZG58" s="5"/>
      <c r="VZH58" s="5"/>
      <c r="VZI58" s="5"/>
      <c r="VZJ58" s="5"/>
      <c r="VZK58" s="5"/>
      <c r="VZL58" s="5"/>
      <c r="VZM58" s="5"/>
      <c r="VZN58" s="5"/>
      <c r="VZO58" s="5"/>
      <c r="VZP58" s="5"/>
      <c r="VZQ58" s="5"/>
      <c r="VZR58" s="5"/>
      <c r="VZS58" s="5"/>
      <c r="VZT58" s="5"/>
      <c r="VZU58" s="5"/>
      <c r="VZV58" s="5"/>
      <c r="VZW58" s="5"/>
      <c r="VZX58" s="5"/>
      <c r="VZY58" s="5"/>
      <c r="VZZ58" s="5"/>
      <c r="WAA58" s="5"/>
      <c r="WAB58" s="5"/>
      <c r="WAC58" s="5"/>
      <c r="WAD58" s="5"/>
      <c r="WAE58" s="5"/>
      <c r="WAF58" s="5"/>
      <c r="WAG58" s="5"/>
      <c r="WAH58" s="5"/>
      <c r="WAI58" s="5"/>
      <c r="WAJ58" s="5"/>
      <c r="WAK58" s="5"/>
      <c r="WAL58" s="5"/>
      <c r="WAM58" s="5"/>
      <c r="WAN58" s="5"/>
      <c r="WAO58" s="5"/>
      <c r="WAP58" s="5"/>
      <c r="WAQ58" s="5"/>
      <c r="WAR58" s="5"/>
      <c r="WAS58" s="5"/>
      <c r="WAT58" s="5"/>
      <c r="WAU58" s="5"/>
      <c r="WAV58" s="5"/>
      <c r="WAW58" s="5"/>
      <c r="WAX58" s="5"/>
      <c r="WAY58" s="5"/>
      <c r="WAZ58" s="5"/>
      <c r="WBA58" s="5"/>
      <c r="WBB58" s="5"/>
      <c r="WBC58" s="5"/>
      <c r="WBD58" s="5"/>
      <c r="WBE58" s="5"/>
      <c r="WBF58" s="5"/>
      <c r="WBG58" s="5"/>
      <c r="WBH58" s="5"/>
      <c r="WBI58" s="5"/>
      <c r="WBJ58" s="5"/>
      <c r="WBK58" s="5"/>
      <c r="WBL58" s="5"/>
      <c r="WBM58" s="5"/>
      <c r="WBN58" s="5"/>
      <c r="WBO58" s="5"/>
      <c r="WBP58" s="5"/>
      <c r="WBQ58" s="5"/>
      <c r="WBR58" s="5"/>
      <c r="WBS58" s="5"/>
      <c r="WBT58" s="5"/>
      <c r="WBU58" s="5"/>
      <c r="WBV58" s="5"/>
      <c r="WBW58" s="5"/>
      <c r="WBX58" s="5"/>
      <c r="WBY58" s="5"/>
      <c r="WBZ58" s="5"/>
      <c r="WCA58" s="5"/>
      <c r="WCB58" s="5"/>
      <c r="WCC58" s="5"/>
      <c r="WCD58" s="5"/>
      <c r="WCE58" s="5"/>
      <c r="WCF58" s="5"/>
      <c r="WCG58" s="5"/>
      <c r="WCH58" s="5"/>
      <c r="WCI58" s="5"/>
      <c r="WCJ58" s="5"/>
      <c r="WCK58" s="5"/>
      <c r="WCL58" s="5"/>
      <c r="WCM58" s="5"/>
      <c r="WCN58" s="5"/>
      <c r="WCO58" s="5"/>
      <c r="WCP58" s="5"/>
      <c r="WCQ58" s="5"/>
      <c r="WCR58" s="5"/>
      <c r="WCS58" s="5"/>
      <c r="WCT58" s="5"/>
      <c r="WCU58" s="5"/>
      <c r="WCV58" s="5"/>
      <c r="WCW58" s="5"/>
      <c r="WCX58" s="5"/>
      <c r="WCY58" s="5"/>
      <c r="WCZ58" s="5"/>
      <c r="WDA58" s="5"/>
      <c r="WDB58" s="5"/>
      <c r="WDC58" s="5"/>
      <c r="WDD58" s="5"/>
      <c r="WDE58" s="5"/>
      <c r="WDF58" s="5"/>
      <c r="WDG58" s="5"/>
      <c r="WDH58" s="5"/>
      <c r="WDI58" s="5"/>
      <c r="WDJ58" s="5"/>
      <c r="WDK58" s="5"/>
      <c r="WDL58" s="5"/>
      <c r="WDM58" s="5"/>
      <c r="WDN58" s="5"/>
      <c r="WDO58" s="5"/>
      <c r="WDP58" s="5"/>
      <c r="WDQ58" s="5"/>
      <c r="WDR58" s="5"/>
      <c r="WDS58" s="5"/>
      <c r="WDT58" s="5"/>
      <c r="WDU58" s="5"/>
      <c r="WDV58" s="5"/>
      <c r="WDW58" s="5"/>
      <c r="WDX58" s="5"/>
      <c r="WDY58" s="5"/>
      <c r="WDZ58" s="5"/>
      <c r="WEA58" s="5"/>
      <c r="WEB58" s="5"/>
      <c r="WEC58" s="5"/>
      <c r="WED58" s="5"/>
      <c r="WEE58" s="5"/>
      <c r="WEF58" s="5"/>
      <c r="WEG58" s="5"/>
      <c r="WEH58" s="5"/>
      <c r="WEI58" s="5"/>
      <c r="WEJ58" s="5"/>
      <c r="WEK58" s="5"/>
      <c r="WEL58" s="5"/>
      <c r="WEM58" s="5"/>
      <c r="WEN58" s="5"/>
      <c r="WEO58" s="5"/>
      <c r="WEP58" s="5"/>
      <c r="WEQ58" s="5"/>
      <c r="WER58" s="5"/>
      <c r="WES58" s="5"/>
      <c r="WET58" s="5"/>
      <c r="WEU58" s="5"/>
      <c r="WEV58" s="5"/>
      <c r="WEW58" s="5"/>
      <c r="WEX58" s="5"/>
      <c r="WEY58" s="5"/>
      <c r="WEZ58" s="5"/>
      <c r="WFA58" s="5"/>
      <c r="WFB58" s="5"/>
      <c r="WFC58" s="5"/>
      <c r="WFD58" s="5"/>
      <c r="WFE58" s="5"/>
      <c r="WFF58" s="5"/>
      <c r="WFG58" s="5"/>
      <c r="WFH58" s="5"/>
      <c r="WFI58" s="5"/>
      <c r="WFJ58" s="5"/>
      <c r="WFK58" s="5"/>
      <c r="WFL58" s="5"/>
      <c r="WFM58" s="5"/>
      <c r="WFN58" s="5"/>
      <c r="WFO58" s="5"/>
      <c r="WFP58" s="5"/>
      <c r="WFQ58" s="5"/>
      <c r="WFR58" s="5"/>
      <c r="WFS58" s="5"/>
      <c r="WFT58" s="5"/>
      <c r="WFU58" s="5"/>
      <c r="WFV58" s="5"/>
      <c r="WFW58" s="5"/>
      <c r="WFX58" s="5"/>
      <c r="WFY58" s="5"/>
      <c r="WFZ58" s="5"/>
      <c r="WGA58" s="5"/>
      <c r="WGB58" s="5"/>
      <c r="WGC58" s="5"/>
      <c r="WGD58" s="5"/>
      <c r="WGE58" s="5"/>
      <c r="WGF58" s="5"/>
      <c r="WGG58" s="5"/>
      <c r="WGH58" s="5"/>
      <c r="WGI58" s="5"/>
      <c r="WGJ58" s="5"/>
      <c r="WGK58" s="5"/>
      <c r="WGL58" s="5"/>
      <c r="WGM58" s="5"/>
      <c r="WGN58" s="5"/>
      <c r="WGO58" s="5"/>
      <c r="WGP58" s="5"/>
      <c r="WGQ58" s="5"/>
      <c r="WGR58" s="5"/>
      <c r="WGS58" s="5"/>
      <c r="WGT58" s="5"/>
      <c r="WGU58" s="5"/>
      <c r="WGV58" s="5"/>
      <c r="WGW58" s="5"/>
      <c r="WGX58" s="5"/>
      <c r="WGY58" s="5"/>
      <c r="WGZ58" s="5"/>
      <c r="WHA58" s="5"/>
      <c r="WHB58" s="5"/>
      <c r="WHC58" s="5"/>
      <c r="WHD58" s="5"/>
      <c r="WHE58" s="5"/>
      <c r="WHF58" s="5"/>
      <c r="WHG58" s="5"/>
      <c r="WHH58" s="5"/>
      <c r="WHI58" s="5"/>
      <c r="WHJ58" s="5"/>
      <c r="WHK58" s="5"/>
      <c r="WHL58" s="5"/>
      <c r="WHM58" s="5"/>
      <c r="WHN58" s="5"/>
      <c r="WHO58" s="5"/>
      <c r="WHP58" s="5"/>
      <c r="WHQ58" s="5"/>
      <c r="WHR58" s="5"/>
      <c r="WHS58" s="5"/>
      <c r="WHT58" s="5"/>
      <c r="WHU58" s="5"/>
      <c r="WHV58" s="5"/>
      <c r="WHW58" s="5"/>
      <c r="WHX58" s="5"/>
      <c r="WHY58" s="5"/>
      <c r="WHZ58" s="5"/>
      <c r="WIA58" s="5"/>
      <c r="WIB58" s="5"/>
      <c r="WIC58" s="5"/>
      <c r="WID58" s="5"/>
      <c r="WIE58" s="5"/>
      <c r="WIF58" s="5"/>
      <c r="WIG58" s="5"/>
      <c r="WIH58" s="5"/>
      <c r="WII58" s="5"/>
      <c r="WIJ58" s="5"/>
      <c r="WIK58" s="5"/>
      <c r="WIL58" s="5"/>
      <c r="WIM58" s="5"/>
      <c r="WIN58" s="5"/>
      <c r="WIO58" s="5"/>
      <c r="WIP58" s="5"/>
      <c r="WIQ58" s="5"/>
      <c r="WIR58" s="5"/>
      <c r="WIS58" s="5"/>
      <c r="WIT58" s="5"/>
      <c r="WIU58" s="5"/>
      <c r="WIV58" s="5"/>
      <c r="WIW58" s="5"/>
      <c r="WIX58" s="5"/>
      <c r="WIY58" s="5"/>
      <c r="WIZ58" s="5"/>
      <c r="WJA58" s="5"/>
      <c r="WJB58" s="5"/>
      <c r="WJC58" s="5"/>
      <c r="WJD58" s="5"/>
      <c r="WJE58" s="5"/>
      <c r="WJF58" s="5"/>
      <c r="WJG58" s="5"/>
      <c r="WJH58" s="5"/>
      <c r="WJI58" s="5"/>
      <c r="WJJ58" s="5"/>
      <c r="WJK58" s="5"/>
      <c r="WJL58" s="5"/>
      <c r="WJM58" s="5"/>
      <c r="WJN58" s="5"/>
      <c r="WJO58" s="5"/>
      <c r="WJP58" s="5"/>
      <c r="WJQ58" s="5"/>
      <c r="WJR58" s="5"/>
      <c r="WJS58" s="5"/>
      <c r="WJT58" s="5"/>
      <c r="WJU58" s="5"/>
      <c r="WJV58" s="5"/>
      <c r="WJW58" s="5"/>
      <c r="WJX58" s="5"/>
      <c r="WJY58" s="5"/>
      <c r="WJZ58" s="5"/>
      <c r="WKA58" s="5"/>
      <c r="WKB58" s="5"/>
      <c r="WKC58" s="5"/>
      <c r="WKD58" s="5"/>
      <c r="WKE58" s="5"/>
      <c r="WKF58" s="5"/>
      <c r="WKG58" s="5"/>
      <c r="WKH58" s="5"/>
      <c r="WKI58" s="5"/>
      <c r="WKJ58" s="5"/>
      <c r="WKK58" s="5"/>
      <c r="WKL58" s="5"/>
      <c r="WKM58" s="5"/>
      <c r="WKN58" s="5"/>
      <c r="WKO58" s="5"/>
      <c r="WKP58" s="5"/>
      <c r="WKQ58" s="5"/>
      <c r="WKR58" s="5"/>
      <c r="WKS58" s="5"/>
      <c r="WKT58" s="5"/>
      <c r="WKU58" s="5"/>
      <c r="WKV58" s="5"/>
      <c r="WKW58" s="5"/>
      <c r="WKX58" s="5"/>
      <c r="WKY58" s="5"/>
      <c r="WKZ58" s="5"/>
      <c r="WLA58" s="5"/>
      <c r="WLB58" s="5"/>
      <c r="WLC58" s="5"/>
      <c r="WLD58" s="5"/>
      <c r="WLE58" s="5"/>
      <c r="WLF58" s="5"/>
      <c r="WLG58" s="5"/>
      <c r="WLH58" s="5"/>
      <c r="WLI58" s="5"/>
      <c r="WLJ58" s="5"/>
      <c r="WLK58" s="5"/>
      <c r="WLL58" s="5"/>
      <c r="WLM58" s="5"/>
      <c r="WLN58" s="5"/>
      <c r="WLO58" s="5"/>
      <c r="WLP58" s="5"/>
      <c r="WLQ58" s="5"/>
      <c r="WLR58" s="5"/>
      <c r="WLS58" s="5"/>
      <c r="WLT58" s="5"/>
      <c r="WLU58" s="5"/>
      <c r="WLV58" s="5"/>
      <c r="WLW58" s="5"/>
      <c r="WLX58" s="5"/>
      <c r="WLY58" s="5"/>
      <c r="WLZ58" s="5"/>
      <c r="WMA58" s="5"/>
      <c r="WMB58" s="5"/>
      <c r="WMC58" s="5"/>
      <c r="WMD58" s="5"/>
      <c r="WME58" s="5"/>
      <c r="WMF58" s="5"/>
      <c r="WMG58" s="5"/>
      <c r="WMH58" s="5"/>
      <c r="WMI58" s="5"/>
      <c r="WMJ58" s="5"/>
      <c r="WMK58" s="5"/>
      <c r="WML58" s="5"/>
      <c r="WMM58" s="5"/>
      <c r="WMN58" s="5"/>
      <c r="WMO58" s="5"/>
      <c r="WMP58" s="5"/>
      <c r="WMQ58" s="5"/>
      <c r="WMR58" s="5"/>
      <c r="WMS58" s="5"/>
      <c r="WMT58" s="5"/>
      <c r="WMU58" s="5"/>
      <c r="WMV58" s="5"/>
      <c r="WMW58" s="5"/>
      <c r="WMX58" s="5"/>
      <c r="WMY58" s="5"/>
      <c r="WMZ58" s="5"/>
      <c r="WNA58" s="5"/>
      <c r="WNB58" s="5"/>
      <c r="WNC58" s="5"/>
      <c r="WND58" s="5"/>
      <c r="WNE58" s="5"/>
      <c r="WNF58" s="5"/>
      <c r="WNG58" s="5"/>
      <c r="WNH58" s="5"/>
      <c r="WNI58" s="5"/>
      <c r="WNJ58" s="5"/>
      <c r="WNK58" s="5"/>
      <c r="WNL58" s="5"/>
      <c r="WNM58" s="5"/>
      <c r="WNN58" s="5"/>
      <c r="WNO58" s="5"/>
      <c r="WNP58" s="5"/>
      <c r="WNQ58" s="5"/>
      <c r="WNR58" s="5"/>
      <c r="WNS58" s="5"/>
      <c r="WNT58" s="5"/>
      <c r="WNU58" s="5"/>
      <c r="WNV58" s="5"/>
      <c r="WNW58" s="5"/>
      <c r="WNX58" s="5"/>
      <c r="WNY58" s="5"/>
      <c r="WNZ58" s="5"/>
      <c r="WOA58" s="5"/>
      <c r="WOB58" s="5"/>
      <c r="WOC58" s="5"/>
      <c r="WOD58" s="5"/>
      <c r="WOE58" s="5"/>
      <c r="WOF58" s="5"/>
      <c r="WOG58" s="5"/>
      <c r="WOH58" s="5"/>
      <c r="WOI58" s="5"/>
      <c r="WOJ58" s="5"/>
      <c r="WOK58" s="5"/>
      <c r="WOL58" s="5"/>
      <c r="WOM58" s="5"/>
      <c r="WON58" s="5"/>
      <c r="WOO58" s="5"/>
      <c r="WOP58" s="5"/>
      <c r="WOQ58" s="5"/>
      <c r="WOR58" s="5"/>
      <c r="WOS58" s="5"/>
      <c r="WOT58" s="5"/>
      <c r="WOU58" s="5"/>
      <c r="WOV58" s="5"/>
      <c r="WOW58" s="5"/>
      <c r="WOX58" s="5"/>
      <c r="WOY58" s="5"/>
      <c r="WOZ58" s="5"/>
      <c r="WPA58" s="5"/>
      <c r="WPB58" s="5"/>
      <c r="WPC58" s="5"/>
      <c r="WPD58" s="5"/>
      <c r="WPE58" s="5"/>
      <c r="WPF58" s="5"/>
      <c r="WPG58" s="5"/>
      <c r="WPH58" s="5"/>
      <c r="WPI58" s="5"/>
      <c r="WPJ58" s="5"/>
      <c r="WPK58" s="5"/>
      <c r="WPL58" s="5"/>
      <c r="WPM58" s="5"/>
      <c r="WPN58" s="5"/>
      <c r="WPO58" s="5"/>
      <c r="WPP58" s="5"/>
      <c r="WPQ58" s="5"/>
      <c r="WPR58" s="5"/>
      <c r="WPS58" s="5"/>
      <c r="WPT58" s="5"/>
      <c r="WPU58" s="5"/>
      <c r="WPV58" s="5"/>
      <c r="WPW58" s="5"/>
      <c r="WPX58" s="5"/>
      <c r="WPY58" s="5"/>
      <c r="WPZ58" s="5"/>
      <c r="WQA58" s="5"/>
      <c r="WQB58" s="5"/>
      <c r="WQC58" s="5"/>
      <c r="WQD58" s="5"/>
      <c r="WQE58" s="5"/>
      <c r="WQF58" s="5"/>
      <c r="WQG58" s="5"/>
      <c r="WQH58" s="5"/>
      <c r="WQI58" s="5"/>
      <c r="WQJ58" s="5"/>
      <c r="WQK58" s="5"/>
      <c r="WQL58" s="5"/>
      <c r="WQM58" s="5"/>
      <c r="WQN58" s="5"/>
      <c r="WQO58" s="5"/>
      <c r="WQP58" s="5"/>
      <c r="WQQ58" s="5"/>
      <c r="WQR58" s="5"/>
      <c r="WQS58" s="5"/>
      <c r="WQT58" s="5"/>
      <c r="WQU58" s="5"/>
      <c r="WQV58" s="5"/>
      <c r="WQW58" s="5"/>
      <c r="WQX58" s="5"/>
      <c r="WQY58" s="5"/>
      <c r="WQZ58" s="5"/>
      <c r="WRA58" s="5"/>
      <c r="WRB58" s="5"/>
      <c r="WRC58" s="5"/>
      <c r="WRD58" s="5"/>
      <c r="WRE58" s="5"/>
      <c r="WRF58" s="5"/>
      <c r="WRG58" s="5"/>
      <c r="WRH58" s="5"/>
      <c r="WRI58" s="5"/>
      <c r="WRJ58" s="5"/>
      <c r="WRK58" s="5"/>
      <c r="WRL58" s="5"/>
      <c r="WRM58" s="5"/>
      <c r="WRN58" s="5"/>
      <c r="WRO58" s="5"/>
      <c r="WRP58" s="5"/>
      <c r="WRQ58" s="5"/>
      <c r="WRR58" s="5"/>
      <c r="WRS58" s="5"/>
      <c r="WRT58" s="5"/>
      <c r="WRU58" s="5"/>
      <c r="WRV58" s="5"/>
      <c r="WRW58" s="5"/>
      <c r="WRX58" s="5"/>
      <c r="WRY58" s="5"/>
      <c r="WRZ58" s="5"/>
      <c r="WSA58" s="5"/>
      <c r="WSB58" s="5"/>
      <c r="WSC58" s="5"/>
      <c r="WSD58" s="5"/>
      <c r="WSE58" s="5"/>
      <c r="WSF58" s="5"/>
      <c r="WSG58" s="5"/>
      <c r="WSH58" s="5"/>
      <c r="WSI58" s="5"/>
      <c r="WSJ58" s="5"/>
      <c r="WSK58" s="5"/>
      <c r="WSL58" s="5"/>
      <c r="WSM58" s="5"/>
      <c r="WSN58" s="5"/>
      <c r="WSO58" s="5"/>
      <c r="WSP58" s="5"/>
      <c r="WSQ58" s="5"/>
      <c r="WSR58" s="5"/>
      <c r="WSS58" s="5"/>
      <c r="WST58" s="5"/>
      <c r="WSU58" s="5"/>
      <c r="WSV58" s="5"/>
      <c r="WSW58" s="5"/>
      <c r="WSX58" s="5"/>
      <c r="WSY58" s="5"/>
      <c r="WSZ58" s="5"/>
      <c r="WTA58" s="5"/>
      <c r="WTB58" s="5"/>
      <c r="WTC58" s="5"/>
      <c r="WTD58" s="5"/>
      <c r="WTE58" s="5"/>
      <c r="WTF58" s="5"/>
      <c r="WTG58" s="5"/>
      <c r="WTH58" s="5"/>
      <c r="WTI58" s="5"/>
      <c r="WTJ58" s="5"/>
      <c r="WTK58" s="5"/>
      <c r="WTL58" s="5"/>
      <c r="WTM58" s="5"/>
      <c r="WTN58" s="5"/>
      <c r="WTO58" s="5"/>
      <c r="WTP58" s="5"/>
      <c r="WTQ58" s="5"/>
      <c r="WTR58" s="5"/>
      <c r="WTS58" s="5"/>
      <c r="WTT58" s="5"/>
      <c r="WTU58" s="5"/>
      <c r="WTV58" s="5"/>
      <c r="WTW58" s="5"/>
      <c r="WTX58" s="5"/>
      <c r="WTY58" s="5"/>
      <c r="WTZ58" s="5"/>
      <c r="WUA58" s="5"/>
      <c r="WUB58" s="5"/>
      <c r="WUC58" s="5"/>
      <c r="WUD58" s="5"/>
      <c r="WUE58" s="5"/>
      <c r="WUF58" s="5"/>
      <c r="WUG58" s="5"/>
      <c r="WUH58" s="5"/>
      <c r="WUI58" s="5"/>
      <c r="WUJ58" s="5"/>
      <c r="WUK58" s="5"/>
      <c r="WUL58" s="5"/>
      <c r="WUM58" s="5"/>
      <c r="WUN58" s="5"/>
      <c r="WUO58" s="5"/>
      <c r="WUP58" s="5"/>
      <c r="WUQ58" s="5"/>
      <c r="WUR58" s="5"/>
      <c r="WUS58" s="5"/>
      <c r="WUT58" s="5"/>
      <c r="WUU58" s="5"/>
      <c r="WUV58" s="5"/>
      <c r="WUW58" s="5"/>
      <c r="WUX58" s="5"/>
      <c r="WUY58" s="5"/>
      <c r="WUZ58" s="5"/>
      <c r="WVA58" s="5"/>
      <c r="WVB58" s="5"/>
      <c r="WVC58" s="5"/>
      <c r="WVD58" s="5"/>
      <c r="WVE58" s="5"/>
      <c r="WVF58" s="5"/>
      <c r="WVG58" s="5"/>
      <c r="WVH58" s="5"/>
      <c r="WVI58" s="5"/>
      <c r="WVJ58" s="5"/>
      <c r="WVK58" s="5"/>
      <c r="WVL58" s="5"/>
      <c r="WVM58" s="5"/>
      <c r="WVN58" s="5"/>
      <c r="WVO58" s="5"/>
      <c r="WVP58" s="5"/>
      <c r="WVQ58" s="5"/>
      <c r="WVR58" s="5"/>
      <c r="WVS58" s="5"/>
      <c r="WVT58" s="5"/>
      <c r="WVU58" s="5"/>
      <c r="WVV58" s="5"/>
      <c r="WVW58" s="5"/>
      <c r="WVX58" s="5"/>
      <c r="WVY58" s="5"/>
      <c r="WVZ58" s="5"/>
      <c r="WWA58" s="5"/>
      <c r="WWB58" s="5"/>
      <c r="WWC58" s="5"/>
      <c r="WWD58" s="5"/>
      <c r="WWE58" s="5"/>
      <c r="WWF58" s="5"/>
      <c r="WWG58" s="5"/>
      <c r="WWH58" s="5"/>
      <c r="WWI58" s="5"/>
      <c r="WWJ58" s="5"/>
      <c r="WWK58" s="5"/>
      <c r="WWL58" s="5"/>
      <c r="WWM58" s="5"/>
      <c r="WWN58" s="5"/>
      <c r="WWO58" s="5"/>
      <c r="WWP58" s="5"/>
      <c r="WWQ58" s="5"/>
      <c r="WWR58" s="5"/>
      <c r="WWS58" s="5"/>
      <c r="WWT58" s="5"/>
      <c r="WWU58" s="5"/>
      <c r="WWV58" s="5"/>
      <c r="WWW58" s="5"/>
      <c r="WWX58" s="5"/>
      <c r="WWY58" s="5"/>
      <c r="WWZ58" s="5"/>
      <c r="WXA58" s="5"/>
      <c r="WXB58" s="5"/>
      <c r="WXC58" s="5"/>
      <c r="WXD58" s="5"/>
      <c r="WXE58" s="5"/>
      <c r="WXF58" s="5"/>
      <c r="WXG58" s="5"/>
      <c r="WXH58" s="5"/>
      <c r="WXI58" s="5"/>
      <c r="WXJ58" s="5"/>
      <c r="WXK58" s="5"/>
      <c r="WXL58" s="5"/>
      <c r="WXM58" s="5"/>
      <c r="WXN58" s="5"/>
      <c r="WXO58" s="5"/>
      <c r="WXP58" s="5"/>
      <c r="WXQ58" s="5"/>
      <c r="WXR58" s="5"/>
      <c r="WXS58" s="5"/>
      <c r="WXT58" s="5"/>
      <c r="WXU58" s="5"/>
      <c r="WXV58" s="5"/>
      <c r="WXW58" s="5"/>
      <c r="WXX58" s="5"/>
      <c r="WXY58" s="5"/>
      <c r="WXZ58" s="5"/>
      <c r="WYA58" s="5"/>
      <c r="WYB58" s="5"/>
      <c r="WYC58" s="5"/>
      <c r="WYD58" s="5"/>
      <c r="WYE58" s="5"/>
      <c r="WYF58" s="5"/>
      <c r="WYG58" s="5"/>
      <c r="WYH58" s="5"/>
      <c r="WYI58" s="5"/>
      <c r="WYJ58" s="5"/>
      <c r="WYK58" s="5"/>
      <c r="WYL58" s="5"/>
      <c r="WYM58" s="5"/>
      <c r="WYN58" s="5"/>
      <c r="WYO58" s="5"/>
      <c r="WYP58" s="5"/>
      <c r="WYQ58" s="5"/>
      <c r="WYR58" s="5"/>
      <c r="WYS58" s="5"/>
      <c r="WYT58" s="5"/>
      <c r="WYU58" s="5"/>
      <c r="WYV58" s="5"/>
      <c r="WYW58" s="5"/>
      <c r="WYX58" s="5"/>
      <c r="WYY58" s="5"/>
      <c r="WYZ58" s="5"/>
      <c r="WZA58" s="5"/>
      <c r="WZB58" s="5"/>
      <c r="WZC58" s="5"/>
      <c r="WZD58" s="5"/>
      <c r="WZE58" s="5"/>
      <c r="WZF58" s="5"/>
      <c r="WZG58" s="5"/>
      <c r="WZH58" s="5"/>
      <c r="WZI58" s="5"/>
      <c r="WZJ58" s="5"/>
      <c r="WZK58" s="5"/>
      <c r="WZL58" s="5"/>
      <c r="WZM58" s="5"/>
      <c r="WZN58" s="5"/>
      <c r="WZO58" s="5"/>
      <c r="WZP58" s="5"/>
      <c r="WZQ58" s="5"/>
      <c r="WZR58" s="5"/>
      <c r="WZS58" s="5"/>
      <c r="WZT58" s="5"/>
      <c r="WZU58" s="5"/>
      <c r="WZV58" s="5"/>
      <c r="WZW58" s="5"/>
      <c r="WZX58" s="5"/>
      <c r="WZY58" s="5"/>
      <c r="WZZ58" s="5"/>
      <c r="XAA58" s="5"/>
      <c r="XAB58" s="5"/>
      <c r="XAC58" s="5"/>
      <c r="XAD58" s="5"/>
      <c r="XAE58" s="5"/>
      <c r="XAF58" s="5"/>
      <c r="XAG58" s="5"/>
      <c r="XAH58" s="5"/>
      <c r="XAI58" s="5"/>
      <c r="XAJ58" s="5"/>
      <c r="XAK58" s="5"/>
      <c r="XAL58" s="5"/>
      <c r="XAM58" s="5"/>
      <c r="XAN58" s="5"/>
      <c r="XAO58" s="5"/>
      <c r="XAP58" s="5"/>
      <c r="XAQ58" s="5"/>
      <c r="XAR58" s="5"/>
      <c r="XAS58" s="5"/>
      <c r="XAT58" s="5"/>
      <c r="XAU58" s="5"/>
      <c r="XAV58" s="5"/>
      <c r="XAW58" s="5"/>
      <c r="XAX58" s="5"/>
      <c r="XAY58" s="5"/>
      <c r="XAZ58" s="5"/>
      <c r="XBA58" s="5"/>
      <c r="XBB58" s="5"/>
      <c r="XBC58" s="5"/>
      <c r="XBD58" s="5"/>
      <c r="XBE58" s="5"/>
      <c r="XBF58" s="5"/>
      <c r="XBG58" s="5"/>
      <c r="XBH58" s="5"/>
      <c r="XBI58" s="5"/>
      <c r="XBJ58" s="5"/>
      <c r="XBK58" s="5"/>
      <c r="XBL58" s="5"/>
      <c r="XBM58" s="5"/>
      <c r="XBN58" s="5"/>
      <c r="XBO58" s="5"/>
      <c r="XBP58" s="5"/>
      <c r="XBQ58" s="5"/>
      <c r="XBR58" s="5"/>
      <c r="XBS58" s="5"/>
      <c r="XBT58" s="5"/>
      <c r="XBU58" s="5"/>
      <c r="XBV58" s="5"/>
      <c r="XBW58" s="5"/>
      <c r="XBX58" s="5"/>
      <c r="XBY58" s="5"/>
      <c r="XBZ58" s="5"/>
      <c r="XCA58" s="5"/>
      <c r="XCB58" s="5"/>
      <c r="XCC58" s="5"/>
      <c r="XCD58" s="5"/>
      <c r="XCE58" s="5"/>
      <c r="XCF58" s="5"/>
      <c r="XCG58" s="5"/>
      <c r="XCH58" s="5"/>
      <c r="XCI58" s="5"/>
      <c r="XCJ58" s="5"/>
      <c r="XCK58" s="5"/>
      <c r="XCL58" s="5"/>
      <c r="XCM58" s="5"/>
      <c r="XCN58" s="5"/>
      <c r="XCO58" s="5"/>
      <c r="XCP58" s="5"/>
      <c r="XCQ58" s="5"/>
      <c r="XCR58" s="5"/>
      <c r="XCS58" s="5"/>
      <c r="XCT58" s="5"/>
      <c r="XCU58" s="5"/>
      <c r="XCV58" s="5"/>
      <c r="XCW58" s="5"/>
      <c r="XCX58" s="5"/>
      <c r="XCY58" s="5"/>
      <c r="XCZ58" s="5"/>
      <c r="XDA58" s="5"/>
      <c r="XDB58" s="5"/>
      <c r="XDC58" s="5"/>
      <c r="XDD58" s="5"/>
      <c r="XDE58" s="5"/>
      <c r="XDF58" s="5"/>
      <c r="XDG58" s="5"/>
      <c r="XDH58" s="5"/>
      <c r="XDI58" s="5"/>
      <c r="XDJ58" s="5"/>
      <c r="XDK58" s="5"/>
      <c r="XDL58" s="5"/>
      <c r="XDM58" s="5"/>
      <c r="XDN58" s="5"/>
      <c r="XDO58" s="5"/>
      <c r="XDP58" s="5"/>
      <c r="XDQ58" s="5"/>
      <c r="XDR58" s="5"/>
      <c r="XDS58" s="5"/>
      <c r="XDT58" s="5"/>
      <c r="XDU58" s="5"/>
      <c r="XDV58" s="5"/>
      <c r="XDW58" s="5"/>
      <c r="XDX58" s="5"/>
      <c r="XDY58" s="5"/>
      <c r="XDZ58" s="5"/>
      <c r="XEA58" s="5"/>
      <c r="XEB58" s="5"/>
      <c r="XEC58" s="5"/>
      <c r="XED58" s="5"/>
      <c r="XEE58" s="5"/>
      <c r="XEF58" s="5"/>
      <c r="XEG58" s="5"/>
      <c r="XEH58" s="5"/>
      <c r="XEI58" s="5"/>
      <c r="XEJ58" s="5"/>
      <c r="XEK58" s="5"/>
      <c r="XEL58" s="5"/>
      <c r="XEM58" s="5"/>
      <c r="XEN58" s="5"/>
      <c r="XEO58" s="5"/>
      <c r="XEP58" s="5"/>
      <c r="XEQ58" s="5"/>
      <c r="XER58" s="5"/>
      <c r="XES58" s="5"/>
      <c r="XET58" s="5"/>
      <c r="XEU58" s="5"/>
      <c r="XEV58" s="5"/>
      <c r="XEW58" s="5"/>
      <c r="XEX58" s="5"/>
      <c r="XEY58" s="5"/>
      <c r="XEZ58" s="5"/>
      <c r="XFA58" s="5"/>
      <c r="XFB58" s="5"/>
      <c r="XFC58" s="5"/>
      <c r="XFD58" s="5"/>
    </row>
    <row r="59" spans="1:16384" x14ac:dyDescent="0.25">
      <c r="A59" s="38" t="s">
        <v>772</v>
      </c>
      <c r="B59" s="47" t="s">
        <v>386</v>
      </c>
      <c r="C59" s="38" t="s">
        <v>379</v>
      </c>
      <c r="D59" s="38" t="s">
        <v>379</v>
      </c>
      <c r="E59" s="38">
        <v>1150</v>
      </c>
      <c r="F59" s="38">
        <v>2</v>
      </c>
      <c r="G59" s="38">
        <v>4</v>
      </c>
      <c r="H59" s="38">
        <v>3.5</v>
      </c>
      <c r="I59" s="38">
        <v>3.5</v>
      </c>
      <c r="J59" s="38">
        <v>64</v>
      </c>
      <c r="K59" s="38">
        <v>256</v>
      </c>
      <c r="L59" s="38">
        <v>3072</v>
      </c>
      <c r="M59" s="38" t="s">
        <v>749</v>
      </c>
      <c r="N59" s="47"/>
      <c r="O59" s="47">
        <f t="shared" si="1"/>
        <v>1.1034314575050761</v>
      </c>
      <c r="P59" s="47">
        <f t="shared" si="2"/>
        <v>1.46</v>
      </c>
      <c r="Q59" s="47">
        <f t="shared" si="8"/>
        <v>1.1764960000000002</v>
      </c>
      <c r="R59" s="47"/>
      <c r="S59" s="48">
        <f t="shared" si="3"/>
        <v>0.97220000000000006</v>
      </c>
      <c r="T59" s="48">
        <f t="shared" si="4"/>
        <v>1.9444000000000001</v>
      </c>
      <c r="U59" s="48">
        <f t="shared" si="5"/>
        <v>2.8388240000000002</v>
      </c>
      <c r="V59" s="48">
        <f t="shared" si="6"/>
        <v>2.8388240000000002</v>
      </c>
      <c r="W59" s="48">
        <f t="shared" si="7"/>
        <v>2.8388240000000002</v>
      </c>
    </row>
    <row r="60" spans="1:16384" x14ac:dyDescent="0.25">
      <c r="A60" s="38" t="s">
        <v>772</v>
      </c>
      <c r="B60" s="47" t="s">
        <v>384</v>
      </c>
      <c r="C60" s="38" t="s">
        <v>379</v>
      </c>
      <c r="D60" s="38" t="s">
        <v>379</v>
      </c>
      <c r="E60" s="38">
        <v>1150</v>
      </c>
      <c r="F60" s="38">
        <v>2</v>
      </c>
      <c r="G60" s="38">
        <v>4</v>
      </c>
      <c r="H60" s="38">
        <v>3.4</v>
      </c>
      <c r="I60" s="38">
        <v>3.4</v>
      </c>
      <c r="J60" s="38">
        <v>64</v>
      </c>
      <c r="K60" s="38">
        <v>256</v>
      </c>
      <c r="L60" s="38">
        <v>3072</v>
      </c>
      <c r="M60" s="38" t="s">
        <v>749</v>
      </c>
      <c r="N60" s="47"/>
      <c r="O60" s="47">
        <f t="shared" si="1"/>
        <v>1.1034314575050761</v>
      </c>
      <c r="P60" s="47">
        <f t="shared" si="2"/>
        <v>1.46</v>
      </c>
      <c r="Q60" s="47">
        <f t="shared" si="8"/>
        <v>1.1764960000000002</v>
      </c>
      <c r="R60" s="47"/>
      <c r="S60" s="48">
        <f t="shared" si="3"/>
        <v>0.94440000000000002</v>
      </c>
      <c r="T60" s="48">
        <f t="shared" si="4"/>
        <v>1.8888</v>
      </c>
      <c r="U60" s="48">
        <f t="shared" si="5"/>
        <v>2.7576480000000001</v>
      </c>
      <c r="V60" s="48">
        <f t="shared" si="6"/>
        <v>2.7576480000000001</v>
      </c>
      <c r="W60" s="48">
        <f t="shared" si="7"/>
        <v>2.7576480000000001</v>
      </c>
    </row>
    <row r="61" spans="1:16384" x14ac:dyDescent="0.25">
      <c r="A61" s="38" t="s">
        <v>772</v>
      </c>
      <c r="B61" s="47" t="s">
        <v>1171</v>
      </c>
      <c r="C61" s="38" t="s">
        <v>379</v>
      </c>
      <c r="D61" s="38" t="s">
        <v>379</v>
      </c>
      <c r="E61" s="38">
        <v>1150</v>
      </c>
      <c r="F61" s="38">
        <v>2</v>
      </c>
      <c r="G61" s="38">
        <v>2</v>
      </c>
      <c r="H61" s="38">
        <v>3.6</v>
      </c>
      <c r="I61" s="38">
        <v>3.6</v>
      </c>
      <c r="J61" s="38">
        <v>64</v>
      </c>
      <c r="K61" s="38">
        <v>256</v>
      </c>
      <c r="L61" s="38">
        <v>3072</v>
      </c>
      <c r="M61" s="38"/>
      <c r="N61" s="47"/>
      <c r="O61" s="47">
        <f t="shared" si="1"/>
        <v>1.1034314575050761</v>
      </c>
      <c r="P61" s="47">
        <f>IF(M61="O",IF(UPPER(A61)="INTEL",1.46,1.5),1)</f>
        <v>1</v>
      </c>
      <c r="Q61" s="47">
        <f t="shared" si="8"/>
        <v>1.1764960000000002</v>
      </c>
      <c r="R61" s="47"/>
      <c r="S61" s="48">
        <f t="shared" si="3"/>
        <v>1</v>
      </c>
      <c r="T61" s="48">
        <f>IF(F61=1,IF(M61="O",S61*P61,S61),S61*2)</f>
        <v>2</v>
      </c>
      <c r="U61" s="48">
        <f>IF(G61&lt;4,W61,IF(F61=2,2*S61*P61,IF(F61=3,2*S61+S61*P61,S61*4)))</f>
        <v>2</v>
      </c>
      <c r="V61" s="48">
        <f>IF(G61&lt;8,W61,IF(F61=4,4*S61*P61,IF(F61=6,4*S61+2*S61*P61,8*S61)))</f>
        <v>2</v>
      </c>
      <c r="W61" s="48">
        <f>F61*P61*S61</f>
        <v>2</v>
      </c>
    </row>
    <row r="62" spans="1:16384" x14ac:dyDescent="0.25">
      <c r="A62" s="38" t="s">
        <v>772</v>
      </c>
      <c r="B62" s="47" t="s">
        <v>416</v>
      </c>
      <c r="C62" s="38" t="s">
        <v>379</v>
      </c>
      <c r="D62" s="38" t="s">
        <v>379</v>
      </c>
      <c r="E62" s="38">
        <v>1150</v>
      </c>
      <c r="F62" s="38">
        <v>2</v>
      </c>
      <c r="G62" s="38">
        <v>2</v>
      </c>
      <c r="H62" s="38">
        <v>3.5</v>
      </c>
      <c r="I62" s="38">
        <v>3.5</v>
      </c>
      <c r="J62" s="38">
        <v>64</v>
      </c>
      <c r="K62" s="38">
        <v>256</v>
      </c>
      <c r="L62" s="38">
        <v>3072</v>
      </c>
      <c r="M62" s="38"/>
      <c r="N62" s="47"/>
      <c r="O62" s="47">
        <f t="shared" si="1"/>
        <v>1.1034314575050761</v>
      </c>
      <c r="P62" s="47">
        <f t="shared" si="2"/>
        <v>1</v>
      </c>
      <c r="Q62" s="47">
        <f t="shared" si="8"/>
        <v>1.1764960000000002</v>
      </c>
      <c r="R62" s="47"/>
      <c r="S62" s="48">
        <f t="shared" si="3"/>
        <v>0.97220000000000006</v>
      </c>
      <c r="T62" s="48">
        <f t="shared" si="4"/>
        <v>1.9444000000000001</v>
      </c>
      <c r="U62" s="48">
        <f t="shared" si="5"/>
        <v>1.9444000000000001</v>
      </c>
      <c r="V62" s="48">
        <f t="shared" si="6"/>
        <v>1.9444000000000001</v>
      </c>
      <c r="W62" s="48">
        <f t="shared" si="7"/>
        <v>1.9444000000000001</v>
      </c>
    </row>
    <row r="63" spans="1:16384" x14ac:dyDescent="0.25">
      <c r="A63" s="38" t="s">
        <v>772</v>
      </c>
      <c r="B63" s="47" t="s">
        <v>415</v>
      </c>
      <c r="C63" s="38" t="s">
        <v>379</v>
      </c>
      <c r="D63" s="38" t="s">
        <v>379</v>
      </c>
      <c r="E63" s="38">
        <v>1150</v>
      </c>
      <c r="F63" s="38">
        <v>2</v>
      </c>
      <c r="G63" s="38">
        <v>2</v>
      </c>
      <c r="H63" s="38">
        <v>3.4</v>
      </c>
      <c r="I63" s="38">
        <v>3.4</v>
      </c>
      <c r="J63" s="38">
        <v>64</v>
      </c>
      <c r="K63" s="38">
        <v>256</v>
      </c>
      <c r="L63" s="38">
        <v>3072</v>
      </c>
      <c r="M63" s="38"/>
      <c r="N63" s="47"/>
      <c r="O63" s="47">
        <f t="shared" si="1"/>
        <v>1.1034314575050761</v>
      </c>
      <c r="P63" s="47">
        <f t="shared" si="2"/>
        <v>1</v>
      </c>
      <c r="Q63" s="47">
        <f t="shared" si="8"/>
        <v>1.1764960000000002</v>
      </c>
      <c r="R63" s="47"/>
      <c r="S63" s="48">
        <f t="shared" si="3"/>
        <v>0.94440000000000002</v>
      </c>
      <c r="T63" s="48">
        <f t="shared" si="4"/>
        <v>1.8888</v>
      </c>
      <c r="U63" s="48">
        <f t="shared" si="5"/>
        <v>1.8888</v>
      </c>
      <c r="V63" s="48">
        <f t="shared" si="6"/>
        <v>1.8888</v>
      </c>
      <c r="W63" s="48">
        <f t="shared" si="7"/>
        <v>1.8888</v>
      </c>
    </row>
    <row r="64" spans="1:16384" x14ac:dyDescent="0.25">
      <c r="A64" s="38" t="s">
        <v>772</v>
      </c>
      <c r="B64" s="47" t="s">
        <v>414</v>
      </c>
      <c r="C64" s="38" t="s">
        <v>379</v>
      </c>
      <c r="D64" s="38" t="s">
        <v>379</v>
      </c>
      <c r="E64" s="38">
        <v>1150</v>
      </c>
      <c r="F64" s="38">
        <v>2</v>
      </c>
      <c r="G64" s="38">
        <v>2</v>
      </c>
      <c r="H64" s="38">
        <v>3.3</v>
      </c>
      <c r="I64" s="38">
        <v>3.3</v>
      </c>
      <c r="J64" s="38">
        <v>64</v>
      </c>
      <c r="K64" s="38">
        <v>256</v>
      </c>
      <c r="L64" s="38">
        <v>3072</v>
      </c>
      <c r="M64" s="38"/>
      <c r="N64" s="47"/>
      <c r="O64" s="47">
        <f t="shared" si="1"/>
        <v>1.1034314575050761</v>
      </c>
      <c r="P64" s="47">
        <f t="shared" si="2"/>
        <v>1</v>
      </c>
      <c r="Q64" s="47">
        <f t="shared" si="8"/>
        <v>1.1764960000000002</v>
      </c>
      <c r="R64" s="47"/>
      <c r="S64" s="48">
        <f t="shared" si="3"/>
        <v>0.91660000000000008</v>
      </c>
      <c r="T64" s="48">
        <f t="shared" si="4"/>
        <v>1.8332000000000002</v>
      </c>
      <c r="U64" s="48">
        <f t="shared" si="5"/>
        <v>1.8332000000000002</v>
      </c>
      <c r="V64" s="48">
        <f t="shared" si="6"/>
        <v>1.8332000000000002</v>
      </c>
      <c r="W64" s="48">
        <f t="shared" si="7"/>
        <v>1.8332000000000002</v>
      </c>
    </row>
    <row r="65" spans="1:23" x14ac:dyDescent="0.25">
      <c r="A65" s="38" t="s">
        <v>772</v>
      </c>
      <c r="B65" s="47" t="s">
        <v>413</v>
      </c>
      <c r="C65" s="38" t="s">
        <v>379</v>
      </c>
      <c r="D65" s="38" t="s">
        <v>379</v>
      </c>
      <c r="E65" s="38">
        <v>1150</v>
      </c>
      <c r="F65" s="38">
        <v>2</v>
      </c>
      <c r="G65" s="38">
        <v>2</v>
      </c>
      <c r="H65" s="38">
        <v>3.3</v>
      </c>
      <c r="I65" s="38">
        <v>3.3</v>
      </c>
      <c r="J65" s="38">
        <v>64</v>
      </c>
      <c r="K65" s="38">
        <v>256</v>
      </c>
      <c r="L65" s="38">
        <v>3072</v>
      </c>
      <c r="M65" s="38"/>
      <c r="N65" s="47"/>
      <c r="O65" s="47">
        <f t="shared" si="1"/>
        <v>1.1034314575050761</v>
      </c>
      <c r="P65" s="47">
        <f t="shared" si="2"/>
        <v>1</v>
      </c>
      <c r="Q65" s="47">
        <f t="shared" si="8"/>
        <v>1.1764960000000002</v>
      </c>
      <c r="R65" s="47"/>
      <c r="S65" s="48">
        <f t="shared" si="3"/>
        <v>0.91660000000000008</v>
      </c>
      <c r="T65" s="48">
        <f t="shared" si="4"/>
        <v>1.8332000000000002</v>
      </c>
      <c r="U65" s="48">
        <f t="shared" si="5"/>
        <v>1.8332000000000002</v>
      </c>
      <c r="V65" s="48">
        <f t="shared" si="6"/>
        <v>1.8332000000000002</v>
      </c>
      <c r="W65" s="48">
        <f t="shared" si="7"/>
        <v>1.8332000000000002</v>
      </c>
    </row>
    <row r="66" spans="1:23" x14ac:dyDescent="0.25">
      <c r="A66" s="38" t="s">
        <v>772</v>
      </c>
      <c r="B66" s="47" t="s">
        <v>412</v>
      </c>
      <c r="C66" s="38" t="s">
        <v>379</v>
      </c>
      <c r="D66" s="38" t="s">
        <v>379</v>
      </c>
      <c r="E66" s="38">
        <v>1150</v>
      </c>
      <c r="F66" s="38">
        <v>2</v>
      </c>
      <c r="G66" s="38">
        <v>2</v>
      </c>
      <c r="H66" s="38">
        <v>3.3</v>
      </c>
      <c r="I66" s="38">
        <v>3.3</v>
      </c>
      <c r="J66" s="38">
        <v>64</v>
      </c>
      <c r="K66" s="38">
        <v>256</v>
      </c>
      <c r="L66" s="38">
        <v>3072</v>
      </c>
      <c r="M66" s="38"/>
      <c r="N66" s="47"/>
      <c r="O66" s="47">
        <f t="shared" si="1"/>
        <v>1.1034314575050761</v>
      </c>
      <c r="P66" s="47">
        <f t="shared" si="2"/>
        <v>1</v>
      </c>
      <c r="Q66" s="47">
        <f t="shared" si="8"/>
        <v>1.1764960000000002</v>
      </c>
      <c r="R66" s="47"/>
      <c r="S66" s="48">
        <f t="shared" si="3"/>
        <v>0.91660000000000008</v>
      </c>
      <c r="T66" s="48">
        <f t="shared" si="4"/>
        <v>1.8332000000000002</v>
      </c>
      <c r="U66" s="48">
        <f t="shared" si="5"/>
        <v>1.8332000000000002</v>
      </c>
      <c r="V66" s="48">
        <f t="shared" si="6"/>
        <v>1.8332000000000002</v>
      </c>
      <c r="W66" s="48">
        <f t="shared" si="7"/>
        <v>1.8332000000000002</v>
      </c>
    </row>
    <row r="67" spans="1:23" x14ac:dyDescent="0.25">
      <c r="A67" s="38" t="s">
        <v>772</v>
      </c>
      <c r="B67" s="47" t="s">
        <v>411</v>
      </c>
      <c r="C67" s="38" t="s">
        <v>379</v>
      </c>
      <c r="D67" s="38" t="s">
        <v>379</v>
      </c>
      <c r="E67" s="38">
        <v>1150</v>
      </c>
      <c r="F67" s="38">
        <v>2</v>
      </c>
      <c r="G67" s="38">
        <v>2</v>
      </c>
      <c r="H67" s="38">
        <v>3.3</v>
      </c>
      <c r="I67" s="38">
        <v>3.3</v>
      </c>
      <c r="J67" s="38">
        <v>64</v>
      </c>
      <c r="K67" s="38">
        <v>256</v>
      </c>
      <c r="L67" s="38">
        <v>3072</v>
      </c>
      <c r="M67" s="38"/>
      <c r="N67" s="47"/>
      <c r="O67" s="47">
        <f t="shared" ref="O67:O130" si="9">(2*8*(1-POWER(0.5,(L67/2048)))/100)+1</f>
        <v>1.1034314575050761</v>
      </c>
      <c r="P67" s="47">
        <f t="shared" si="2"/>
        <v>1</v>
      </c>
      <c r="Q67" s="47">
        <f t="shared" si="8"/>
        <v>1.1764960000000002</v>
      </c>
      <c r="R67" s="47"/>
      <c r="S67" s="48">
        <f t="shared" ref="S67:S130" si="10">FLOOR(H67*O67*Q67/($H$58*$O$58*$Q$58),0.0001)</f>
        <v>0.91660000000000008</v>
      </c>
      <c r="T67" s="48">
        <f t="shared" si="4"/>
        <v>1.8332000000000002</v>
      </c>
      <c r="U67" s="48">
        <f t="shared" si="5"/>
        <v>1.8332000000000002</v>
      </c>
      <c r="V67" s="48">
        <f t="shared" si="6"/>
        <v>1.8332000000000002</v>
      </c>
      <c r="W67" s="48">
        <f t="shared" si="7"/>
        <v>1.8332000000000002</v>
      </c>
    </row>
    <row r="68" spans="1:23" x14ac:dyDescent="0.25">
      <c r="A68" s="38" t="s">
        <v>772</v>
      </c>
      <c r="B68" s="47" t="s">
        <v>3005</v>
      </c>
      <c r="C68" s="38" t="s">
        <v>379</v>
      </c>
      <c r="D68" s="38" t="s">
        <v>379</v>
      </c>
      <c r="E68" s="38">
        <v>1150</v>
      </c>
      <c r="F68" s="38">
        <v>2</v>
      </c>
      <c r="G68" s="38">
        <v>2</v>
      </c>
      <c r="H68" s="38">
        <v>3.2</v>
      </c>
      <c r="I68" s="38">
        <v>3.2</v>
      </c>
      <c r="J68" s="38">
        <v>64</v>
      </c>
      <c r="K68" s="38">
        <v>256</v>
      </c>
      <c r="L68" s="38">
        <v>3072</v>
      </c>
      <c r="M68" s="38"/>
      <c r="N68" s="47"/>
      <c r="O68" s="47">
        <f t="shared" si="9"/>
        <v>1.1034314575050761</v>
      </c>
      <c r="P68" s="47">
        <f t="shared" si="2"/>
        <v>1</v>
      </c>
      <c r="Q68" s="47">
        <f t="shared" si="8"/>
        <v>1.1764960000000002</v>
      </c>
      <c r="R68" s="47"/>
      <c r="S68" s="48">
        <f t="shared" si="10"/>
        <v>0.88880000000000003</v>
      </c>
      <c r="T68" s="48">
        <f t="shared" si="4"/>
        <v>1.7776000000000001</v>
      </c>
      <c r="U68" s="48">
        <f t="shared" si="5"/>
        <v>1.7776000000000001</v>
      </c>
      <c r="V68" s="48">
        <f t="shared" si="6"/>
        <v>1.7776000000000001</v>
      </c>
      <c r="W68" s="48">
        <f t="shared" si="7"/>
        <v>1.7776000000000001</v>
      </c>
    </row>
    <row r="69" spans="1:23" x14ac:dyDescent="0.25">
      <c r="A69" s="38" t="s">
        <v>772</v>
      </c>
      <c r="B69" s="47" t="s">
        <v>409</v>
      </c>
      <c r="C69" s="38" t="s">
        <v>379</v>
      </c>
      <c r="D69" s="38" t="s">
        <v>379</v>
      </c>
      <c r="E69" s="38">
        <v>1150</v>
      </c>
      <c r="F69" s="38">
        <v>2</v>
      </c>
      <c r="G69" s="38">
        <v>2</v>
      </c>
      <c r="H69" s="38">
        <v>3.2</v>
      </c>
      <c r="I69" s="38">
        <v>3.2</v>
      </c>
      <c r="J69" s="38">
        <v>64</v>
      </c>
      <c r="K69" s="38">
        <v>256</v>
      </c>
      <c r="L69" s="38">
        <v>3072</v>
      </c>
      <c r="M69" s="38"/>
      <c r="N69" s="47"/>
      <c r="O69" s="47">
        <f t="shared" si="9"/>
        <v>1.1034314575050761</v>
      </c>
      <c r="P69" s="47">
        <f t="shared" ref="P69:P132" si="11">IF(M69="O",IF(UPPER(A69)="INTEL",1.46,1.5),1)</f>
        <v>1</v>
      </c>
      <c r="Q69" s="47">
        <f t="shared" si="8"/>
        <v>1.1764960000000002</v>
      </c>
      <c r="R69" s="47"/>
      <c r="S69" s="48">
        <f t="shared" si="10"/>
        <v>0.88880000000000003</v>
      </c>
      <c r="T69" s="48">
        <f t="shared" ref="T69:T132" si="12">IF(F69=1,IF(M69="O",S69*P69,S69),S69*2)</f>
        <v>1.7776000000000001</v>
      </c>
      <c r="U69" s="48">
        <f t="shared" ref="U69:U132" si="13">IF(G69&lt;4,W69,IF(F69=2,2*S69*P69,IF(F69=3,2*S69+S69*P69,S69*4)))</f>
        <v>1.7776000000000001</v>
      </c>
      <c r="V69" s="48">
        <f t="shared" ref="V69:V132" si="14">IF(G69&lt;8,W69,IF(F69=4,4*S69*P69,IF(F69=6,4*S69+2*S69*P69,8*S69)))</f>
        <v>1.7776000000000001</v>
      </c>
      <c r="W69" s="48">
        <f t="shared" ref="W69:W132" si="15">F69*P69*S69</f>
        <v>1.7776000000000001</v>
      </c>
    </row>
    <row r="70" spans="1:23" x14ac:dyDescent="0.25">
      <c r="A70" s="38" t="s">
        <v>772</v>
      </c>
      <c r="B70" s="47" t="s">
        <v>408</v>
      </c>
      <c r="C70" s="38" t="s">
        <v>379</v>
      </c>
      <c r="D70" s="38" t="s">
        <v>379</v>
      </c>
      <c r="E70" s="38">
        <v>1150</v>
      </c>
      <c r="F70" s="38">
        <v>2</v>
      </c>
      <c r="G70" s="38">
        <v>2</v>
      </c>
      <c r="H70" s="38">
        <v>3.1</v>
      </c>
      <c r="I70" s="38">
        <v>3.1</v>
      </c>
      <c r="J70" s="38">
        <v>64</v>
      </c>
      <c r="K70" s="38">
        <v>256</v>
      </c>
      <c r="L70" s="38">
        <v>3072</v>
      </c>
      <c r="M70" s="38"/>
      <c r="N70" s="47"/>
      <c r="O70" s="47">
        <f t="shared" si="9"/>
        <v>1.1034314575050761</v>
      </c>
      <c r="P70" s="47">
        <f t="shared" si="11"/>
        <v>1</v>
      </c>
      <c r="Q70" s="47">
        <f t="shared" si="8"/>
        <v>1.1764960000000002</v>
      </c>
      <c r="R70" s="47"/>
      <c r="S70" s="48">
        <f t="shared" si="10"/>
        <v>0.86110000000000009</v>
      </c>
      <c r="T70" s="48">
        <f t="shared" si="12"/>
        <v>1.7222000000000002</v>
      </c>
      <c r="U70" s="48">
        <f t="shared" si="13"/>
        <v>1.7222000000000002</v>
      </c>
      <c r="V70" s="48">
        <f t="shared" si="14"/>
        <v>1.7222000000000002</v>
      </c>
      <c r="W70" s="48">
        <f t="shared" si="15"/>
        <v>1.7222000000000002</v>
      </c>
    </row>
    <row r="71" spans="1:23" x14ac:dyDescent="0.25">
      <c r="A71" s="38" t="s">
        <v>772</v>
      </c>
      <c r="B71" s="47" t="s">
        <v>407</v>
      </c>
      <c r="C71" s="38" t="s">
        <v>379</v>
      </c>
      <c r="D71" s="38" t="s">
        <v>379</v>
      </c>
      <c r="E71" s="38">
        <v>1150</v>
      </c>
      <c r="F71" s="38">
        <v>2</v>
      </c>
      <c r="G71" s="38">
        <v>2</v>
      </c>
      <c r="H71" s="38">
        <v>3</v>
      </c>
      <c r="I71" s="38">
        <v>3</v>
      </c>
      <c r="J71" s="38">
        <v>64</v>
      </c>
      <c r="K71" s="38">
        <v>256</v>
      </c>
      <c r="L71" s="38">
        <v>3072</v>
      </c>
      <c r="M71" s="38"/>
      <c r="N71" s="47"/>
      <c r="O71" s="47">
        <f t="shared" si="9"/>
        <v>1.1034314575050761</v>
      </c>
      <c r="P71" s="47">
        <f t="shared" si="11"/>
        <v>1</v>
      </c>
      <c r="Q71" s="47">
        <f t="shared" si="8"/>
        <v>1.1764960000000002</v>
      </c>
      <c r="R71" s="47"/>
      <c r="S71" s="48">
        <f t="shared" si="10"/>
        <v>0.83330000000000004</v>
      </c>
      <c r="T71" s="48">
        <f t="shared" si="12"/>
        <v>1.6666000000000001</v>
      </c>
      <c r="U71" s="48">
        <f t="shared" si="13"/>
        <v>1.6666000000000001</v>
      </c>
      <c r="V71" s="48">
        <f t="shared" si="14"/>
        <v>1.6666000000000001</v>
      </c>
      <c r="W71" s="48">
        <f t="shared" si="15"/>
        <v>1.6666000000000001</v>
      </c>
    </row>
    <row r="72" spans="1:23" x14ac:dyDescent="0.25">
      <c r="A72" s="38" t="s">
        <v>772</v>
      </c>
      <c r="B72" s="47" t="s">
        <v>383</v>
      </c>
      <c r="C72" s="38" t="s">
        <v>379</v>
      </c>
      <c r="D72" s="38" t="s">
        <v>379</v>
      </c>
      <c r="E72" s="38">
        <v>1150</v>
      </c>
      <c r="F72" s="38">
        <v>2</v>
      </c>
      <c r="G72" s="38">
        <v>2</v>
      </c>
      <c r="H72" s="38">
        <v>2.9</v>
      </c>
      <c r="I72" s="38">
        <v>2.9</v>
      </c>
      <c r="J72" s="38">
        <v>64</v>
      </c>
      <c r="K72" s="38">
        <v>256</v>
      </c>
      <c r="L72" s="38">
        <v>3072</v>
      </c>
      <c r="M72" s="38"/>
      <c r="N72" s="47"/>
      <c r="O72" s="47">
        <f t="shared" si="9"/>
        <v>1.1034314575050761</v>
      </c>
      <c r="P72" s="47">
        <f t="shared" si="11"/>
        <v>1</v>
      </c>
      <c r="Q72" s="47">
        <f t="shared" si="8"/>
        <v>1.1764960000000002</v>
      </c>
      <c r="R72" s="47"/>
      <c r="S72" s="48">
        <f t="shared" si="10"/>
        <v>0.80549999999999999</v>
      </c>
      <c r="T72" s="48">
        <f t="shared" si="12"/>
        <v>1.611</v>
      </c>
      <c r="U72" s="48">
        <f t="shared" si="13"/>
        <v>1.611</v>
      </c>
      <c r="V72" s="48">
        <f t="shared" si="14"/>
        <v>1.611</v>
      </c>
      <c r="W72" s="48">
        <f t="shared" si="15"/>
        <v>1.611</v>
      </c>
    </row>
    <row r="73" spans="1:23" x14ac:dyDescent="0.25">
      <c r="A73" s="38" t="s">
        <v>772</v>
      </c>
      <c r="B73" s="47" t="s">
        <v>382</v>
      </c>
      <c r="C73" s="38" t="s">
        <v>379</v>
      </c>
      <c r="D73" s="38" t="s">
        <v>379</v>
      </c>
      <c r="E73" s="38">
        <v>1150</v>
      </c>
      <c r="F73" s="38">
        <v>2</v>
      </c>
      <c r="G73" s="38">
        <v>2</v>
      </c>
      <c r="H73" s="38">
        <v>2.8</v>
      </c>
      <c r="I73" s="38">
        <v>2.8</v>
      </c>
      <c r="J73" s="38">
        <v>64</v>
      </c>
      <c r="K73" s="38">
        <v>256</v>
      </c>
      <c r="L73" s="38">
        <v>3072</v>
      </c>
      <c r="M73" s="38"/>
      <c r="N73" s="47"/>
      <c r="O73" s="47">
        <f t="shared" si="9"/>
        <v>1.1034314575050761</v>
      </c>
      <c r="P73" s="47">
        <f t="shared" si="11"/>
        <v>1</v>
      </c>
      <c r="Q73" s="47">
        <f t="shared" si="8"/>
        <v>1.1764960000000002</v>
      </c>
      <c r="R73" s="47"/>
      <c r="S73" s="48">
        <f t="shared" si="10"/>
        <v>0.77770000000000006</v>
      </c>
      <c r="T73" s="48">
        <f t="shared" si="12"/>
        <v>1.5554000000000001</v>
      </c>
      <c r="U73" s="48">
        <f t="shared" si="13"/>
        <v>1.5554000000000001</v>
      </c>
      <c r="V73" s="48">
        <f t="shared" si="14"/>
        <v>1.5554000000000001</v>
      </c>
      <c r="W73" s="48">
        <f t="shared" si="15"/>
        <v>1.5554000000000001</v>
      </c>
    </row>
    <row r="74" spans="1:23" x14ac:dyDescent="0.25">
      <c r="A74" s="38" t="s">
        <v>772</v>
      </c>
      <c r="B74" s="47" t="s">
        <v>381</v>
      </c>
      <c r="C74" s="38" t="s">
        <v>379</v>
      </c>
      <c r="D74" s="38" t="s">
        <v>379</v>
      </c>
      <c r="E74" s="38">
        <v>1150</v>
      </c>
      <c r="F74" s="38">
        <v>2</v>
      </c>
      <c r="G74" s="38">
        <v>2</v>
      </c>
      <c r="H74" s="38">
        <v>2.8</v>
      </c>
      <c r="I74" s="38">
        <v>2.8</v>
      </c>
      <c r="J74" s="38">
        <v>64</v>
      </c>
      <c r="K74" s="38">
        <v>256</v>
      </c>
      <c r="L74" s="38">
        <v>3072</v>
      </c>
      <c r="M74" s="38"/>
      <c r="N74" s="47"/>
      <c r="O74" s="47">
        <f t="shared" si="9"/>
        <v>1.1034314575050761</v>
      </c>
      <c r="P74" s="47">
        <f t="shared" si="11"/>
        <v>1</v>
      </c>
      <c r="Q74" s="47">
        <f t="shared" si="8"/>
        <v>1.1764960000000002</v>
      </c>
      <c r="R74" s="47"/>
      <c r="S74" s="48">
        <f t="shared" si="10"/>
        <v>0.77770000000000006</v>
      </c>
      <c r="T74" s="48">
        <f t="shared" si="12"/>
        <v>1.5554000000000001</v>
      </c>
      <c r="U74" s="48">
        <f t="shared" si="13"/>
        <v>1.5554000000000001</v>
      </c>
      <c r="V74" s="48">
        <f t="shared" si="14"/>
        <v>1.5554000000000001</v>
      </c>
      <c r="W74" s="48">
        <f t="shared" si="15"/>
        <v>1.5554000000000001</v>
      </c>
    </row>
    <row r="75" spans="1:23" x14ac:dyDescent="0.25">
      <c r="A75" s="38" t="s">
        <v>772</v>
      </c>
      <c r="B75" s="47" t="s">
        <v>378</v>
      </c>
      <c r="C75" s="38" t="s">
        <v>379</v>
      </c>
      <c r="D75" s="38" t="s">
        <v>379</v>
      </c>
      <c r="E75" s="38">
        <v>1150</v>
      </c>
      <c r="F75" s="38">
        <v>2</v>
      </c>
      <c r="G75" s="38">
        <v>2</v>
      </c>
      <c r="H75" s="38">
        <v>2.7</v>
      </c>
      <c r="I75" s="38">
        <v>2.7</v>
      </c>
      <c r="J75" s="38">
        <v>64</v>
      </c>
      <c r="K75" s="38">
        <v>256</v>
      </c>
      <c r="L75" s="38">
        <v>3072</v>
      </c>
      <c r="M75" s="38"/>
      <c r="N75" s="47"/>
      <c r="O75" s="47">
        <f t="shared" si="9"/>
        <v>1.1034314575050761</v>
      </c>
      <c r="P75" s="47">
        <f t="shared" si="11"/>
        <v>1</v>
      </c>
      <c r="Q75" s="47">
        <f>Q76*1.112</f>
        <v>1.1764960000000002</v>
      </c>
      <c r="R75" s="47"/>
      <c r="S75" s="48">
        <f t="shared" si="10"/>
        <v>0.75</v>
      </c>
      <c r="T75" s="48">
        <f t="shared" si="12"/>
        <v>1.5</v>
      </c>
      <c r="U75" s="48">
        <f t="shared" si="13"/>
        <v>1.5</v>
      </c>
      <c r="V75" s="48">
        <f t="shared" si="14"/>
        <v>1.5</v>
      </c>
      <c r="W75" s="48">
        <f t="shared" si="15"/>
        <v>1.5</v>
      </c>
    </row>
    <row r="76" spans="1:23" x14ac:dyDescent="0.25">
      <c r="A76" s="38" t="s">
        <v>772</v>
      </c>
      <c r="B76" s="47" t="s">
        <v>481</v>
      </c>
      <c r="C76" s="38" t="s">
        <v>483</v>
      </c>
      <c r="D76" s="38" t="s">
        <v>479</v>
      </c>
      <c r="E76" s="38">
        <v>2011</v>
      </c>
      <c r="F76" s="38">
        <v>6</v>
      </c>
      <c r="G76" s="38">
        <v>12</v>
      </c>
      <c r="H76" s="38">
        <v>3.6</v>
      </c>
      <c r="I76" s="38">
        <v>4</v>
      </c>
      <c r="J76" s="38">
        <v>64</v>
      </c>
      <c r="K76" s="38">
        <v>256</v>
      </c>
      <c r="L76" s="38">
        <v>15360</v>
      </c>
      <c r="M76" s="38" t="s">
        <v>749</v>
      </c>
      <c r="N76" s="47"/>
      <c r="O76" s="47">
        <f t="shared" si="9"/>
        <v>1.1591161165235169</v>
      </c>
      <c r="P76" s="47">
        <f t="shared" si="11"/>
        <v>1.46</v>
      </c>
      <c r="Q76" s="47">
        <f>Q77</f>
        <v>1.0580000000000001</v>
      </c>
      <c r="R76" s="47"/>
      <c r="S76" s="48">
        <f t="shared" si="10"/>
        <v>0.9446</v>
      </c>
      <c r="T76" s="48">
        <f t="shared" si="12"/>
        <v>1.8892</v>
      </c>
      <c r="U76" s="48">
        <f t="shared" si="13"/>
        <v>3.7784</v>
      </c>
      <c r="V76" s="48">
        <f t="shared" si="14"/>
        <v>6.536632</v>
      </c>
      <c r="W76" s="48">
        <f t="shared" si="15"/>
        <v>8.2746960000000005</v>
      </c>
    </row>
    <row r="77" spans="1:23" x14ac:dyDescent="0.25">
      <c r="A77" s="38" t="s">
        <v>772</v>
      </c>
      <c r="B77" s="47" t="s">
        <v>480</v>
      </c>
      <c r="C77" s="38" t="s">
        <v>483</v>
      </c>
      <c r="D77" s="38" t="s">
        <v>479</v>
      </c>
      <c r="E77" s="38">
        <v>2011</v>
      </c>
      <c r="F77" s="38">
        <v>6</v>
      </c>
      <c r="G77" s="38">
        <v>12</v>
      </c>
      <c r="H77" s="38">
        <v>3.4</v>
      </c>
      <c r="I77" s="38">
        <v>3.9</v>
      </c>
      <c r="J77" s="38">
        <v>64</v>
      </c>
      <c r="K77" s="38">
        <v>256</v>
      </c>
      <c r="L77" s="38">
        <v>12288</v>
      </c>
      <c r="M77" s="38" t="s">
        <v>749</v>
      </c>
      <c r="N77" s="47"/>
      <c r="O77" s="47">
        <f t="shared" si="9"/>
        <v>1.1575</v>
      </c>
      <c r="P77" s="47">
        <f t="shared" si="11"/>
        <v>1.46</v>
      </c>
      <c r="Q77" s="47">
        <f t="shared" ref="Q77:Q108" si="16">Q78</f>
        <v>1.0580000000000001</v>
      </c>
      <c r="R77" s="47"/>
      <c r="S77" s="48">
        <f t="shared" si="10"/>
        <v>0.89090000000000003</v>
      </c>
      <c r="T77" s="48">
        <f t="shared" si="12"/>
        <v>1.7818000000000001</v>
      </c>
      <c r="U77" s="48">
        <f t="shared" si="13"/>
        <v>3.5636000000000001</v>
      </c>
      <c r="V77" s="48">
        <f t="shared" si="14"/>
        <v>6.1650279999999995</v>
      </c>
      <c r="W77" s="48">
        <f t="shared" si="15"/>
        <v>7.804284</v>
      </c>
    </row>
    <row r="78" spans="1:23" x14ac:dyDescent="0.25">
      <c r="A78" s="38" t="s">
        <v>772</v>
      </c>
      <c r="B78" s="47" t="s">
        <v>478</v>
      </c>
      <c r="C78" s="38" t="s">
        <v>483</v>
      </c>
      <c r="D78" s="38" t="s">
        <v>479</v>
      </c>
      <c r="E78" s="38">
        <v>2011</v>
      </c>
      <c r="F78" s="38">
        <v>4</v>
      </c>
      <c r="G78" s="38">
        <v>8</v>
      </c>
      <c r="H78" s="38">
        <v>3.7</v>
      </c>
      <c r="I78" s="38">
        <v>3.9</v>
      </c>
      <c r="J78" s="38">
        <v>64</v>
      </c>
      <c r="K78" s="38">
        <v>256</v>
      </c>
      <c r="L78" s="38">
        <v>10240</v>
      </c>
      <c r="M78" s="38" t="s">
        <v>749</v>
      </c>
      <c r="N78" s="47"/>
      <c r="O78" s="47">
        <f t="shared" si="9"/>
        <v>1.155</v>
      </c>
      <c r="P78" s="47">
        <f t="shared" si="11"/>
        <v>1.46</v>
      </c>
      <c r="Q78" s="47">
        <f t="shared" si="16"/>
        <v>1.0580000000000001</v>
      </c>
      <c r="R78" s="47"/>
      <c r="S78" s="48">
        <f t="shared" si="10"/>
        <v>0.96740000000000004</v>
      </c>
      <c r="T78" s="48">
        <f t="shared" si="12"/>
        <v>1.9348000000000001</v>
      </c>
      <c r="U78" s="48">
        <f t="shared" si="13"/>
        <v>3.8696000000000002</v>
      </c>
      <c r="V78" s="48">
        <f t="shared" si="14"/>
        <v>5.649616</v>
      </c>
      <c r="W78" s="48">
        <f t="shared" si="15"/>
        <v>5.649616</v>
      </c>
    </row>
    <row r="79" spans="1:23" x14ac:dyDescent="0.25">
      <c r="A79" s="38" t="s">
        <v>772</v>
      </c>
      <c r="B79" s="47" t="s">
        <v>461</v>
      </c>
      <c r="C79" s="38" t="s">
        <v>483</v>
      </c>
      <c r="D79" s="38" t="s">
        <v>443</v>
      </c>
      <c r="E79" s="38">
        <v>1155</v>
      </c>
      <c r="F79" s="38">
        <v>4</v>
      </c>
      <c r="G79" s="38">
        <v>8</v>
      </c>
      <c r="H79" s="38">
        <v>3.5</v>
      </c>
      <c r="I79" s="38">
        <v>3.9</v>
      </c>
      <c r="J79" s="38">
        <v>64</v>
      </c>
      <c r="K79" s="38">
        <v>256</v>
      </c>
      <c r="L79" s="38">
        <v>8192</v>
      </c>
      <c r="M79" s="38" t="s">
        <v>749</v>
      </c>
      <c r="N79" s="47"/>
      <c r="O79" s="47">
        <f t="shared" si="9"/>
        <v>1.1499999999999999</v>
      </c>
      <c r="P79" s="47">
        <f t="shared" si="11"/>
        <v>1.46</v>
      </c>
      <c r="Q79" s="47">
        <f t="shared" si="16"/>
        <v>1.0580000000000001</v>
      </c>
      <c r="R79" s="47"/>
      <c r="S79" s="48">
        <f t="shared" si="10"/>
        <v>0.91110000000000002</v>
      </c>
      <c r="T79" s="48">
        <f t="shared" si="12"/>
        <v>1.8222</v>
      </c>
      <c r="U79" s="48">
        <f t="shared" si="13"/>
        <v>3.6444000000000001</v>
      </c>
      <c r="V79" s="48">
        <f t="shared" si="14"/>
        <v>5.320824</v>
      </c>
      <c r="W79" s="48">
        <f t="shared" si="15"/>
        <v>5.320824</v>
      </c>
    </row>
    <row r="80" spans="1:23" x14ac:dyDescent="0.25">
      <c r="A80" s="38" t="s">
        <v>772</v>
      </c>
      <c r="B80" s="47" t="s">
        <v>460</v>
      </c>
      <c r="C80" s="38" t="s">
        <v>483</v>
      </c>
      <c r="D80" s="38" t="s">
        <v>443</v>
      </c>
      <c r="E80" s="38">
        <v>1155</v>
      </c>
      <c r="F80" s="38">
        <v>4</v>
      </c>
      <c r="G80" s="38">
        <v>8</v>
      </c>
      <c r="H80" s="38">
        <v>3.4</v>
      </c>
      <c r="I80" s="38">
        <v>3.9</v>
      </c>
      <c r="J80" s="38">
        <v>64</v>
      </c>
      <c r="K80" s="38">
        <v>256</v>
      </c>
      <c r="L80" s="38">
        <v>8192</v>
      </c>
      <c r="M80" s="38" t="s">
        <v>749</v>
      </c>
      <c r="N80" s="47"/>
      <c r="O80" s="47">
        <f t="shared" si="9"/>
        <v>1.1499999999999999</v>
      </c>
      <c r="P80" s="47">
        <f t="shared" si="11"/>
        <v>1.46</v>
      </c>
      <c r="Q80" s="47">
        <f t="shared" si="16"/>
        <v>1.0580000000000001</v>
      </c>
      <c r="R80" s="47"/>
      <c r="S80" s="48">
        <f t="shared" si="10"/>
        <v>0.8851</v>
      </c>
      <c r="T80" s="48">
        <f t="shared" si="12"/>
        <v>1.7702</v>
      </c>
      <c r="U80" s="48">
        <f t="shared" si="13"/>
        <v>3.5404</v>
      </c>
      <c r="V80" s="48">
        <f t="shared" si="14"/>
        <v>5.168984</v>
      </c>
      <c r="W80" s="48">
        <f t="shared" si="15"/>
        <v>5.168984</v>
      </c>
    </row>
    <row r="81" spans="1:23" x14ac:dyDescent="0.25">
      <c r="A81" s="38" t="s">
        <v>772</v>
      </c>
      <c r="B81" s="47" t="s">
        <v>477</v>
      </c>
      <c r="C81" s="38" t="s">
        <v>483</v>
      </c>
      <c r="D81" s="38" t="s">
        <v>443</v>
      </c>
      <c r="E81" s="38">
        <v>1155</v>
      </c>
      <c r="F81" s="38">
        <v>4</v>
      </c>
      <c r="G81" s="38">
        <v>8</v>
      </c>
      <c r="H81" s="38">
        <v>3.7</v>
      </c>
      <c r="I81" s="38">
        <v>4.0999999999999996</v>
      </c>
      <c r="J81" s="38">
        <v>64</v>
      </c>
      <c r="K81" s="38">
        <v>256</v>
      </c>
      <c r="L81" s="38">
        <v>8192</v>
      </c>
      <c r="M81" s="38" t="s">
        <v>749</v>
      </c>
      <c r="N81" s="47"/>
      <c r="O81" s="47">
        <f t="shared" si="9"/>
        <v>1.1499999999999999</v>
      </c>
      <c r="P81" s="47">
        <f t="shared" si="11"/>
        <v>1.46</v>
      </c>
      <c r="Q81" s="47">
        <f t="shared" si="16"/>
        <v>1.0580000000000001</v>
      </c>
      <c r="R81" s="47"/>
      <c r="S81" s="48">
        <f t="shared" si="10"/>
        <v>0.96320000000000006</v>
      </c>
      <c r="T81" s="48">
        <f t="shared" si="12"/>
        <v>1.9264000000000001</v>
      </c>
      <c r="U81" s="48">
        <f t="shared" si="13"/>
        <v>3.8528000000000002</v>
      </c>
      <c r="V81" s="48">
        <f t="shared" si="14"/>
        <v>5.6250879999999999</v>
      </c>
      <c r="W81" s="48">
        <f t="shared" si="15"/>
        <v>5.6250879999999999</v>
      </c>
    </row>
    <row r="82" spans="1:23" x14ac:dyDescent="0.25">
      <c r="A82" s="38" t="s">
        <v>772</v>
      </c>
      <c r="B82" s="47" t="s">
        <v>476</v>
      </c>
      <c r="C82" s="38" t="s">
        <v>483</v>
      </c>
      <c r="D82" s="38" t="s">
        <v>443</v>
      </c>
      <c r="E82" s="38">
        <v>1155</v>
      </c>
      <c r="F82" s="38">
        <v>4</v>
      </c>
      <c r="G82" s="38">
        <v>8</v>
      </c>
      <c r="H82" s="38">
        <v>3.6</v>
      </c>
      <c r="I82" s="38">
        <v>4</v>
      </c>
      <c r="J82" s="38">
        <v>64</v>
      </c>
      <c r="K82" s="38">
        <v>256</v>
      </c>
      <c r="L82" s="38">
        <v>8192</v>
      </c>
      <c r="M82" s="38" t="s">
        <v>749</v>
      </c>
      <c r="N82" s="47"/>
      <c r="O82" s="47">
        <f t="shared" si="9"/>
        <v>1.1499999999999999</v>
      </c>
      <c r="P82" s="47">
        <f t="shared" si="11"/>
        <v>1.46</v>
      </c>
      <c r="Q82" s="47">
        <f t="shared" si="16"/>
        <v>1.0580000000000001</v>
      </c>
      <c r="R82" s="47"/>
      <c r="S82" s="48">
        <f t="shared" si="10"/>
        <v>0.93720000000000003</v>
      </c>
      <c r="T82" s="48">
        <f t="shared" si="12"/>
        <v>1.8744000000000001</v>
      </c>
      <c r="U82" s="48">
        <f t="shared" si="13"/>
        <v>3.7488000000000001</v>
      </c>
      <c r="V82" s="48">
        <f t="shared" si="14"/>
        <v>5.4732479999999999</v>
      </c>
      <c r="W82" s="48">
        <f t="shared" si="15"/>
        <v>5.4732479999999999</v>
      </c>
    </row>
    <row r="83" spans="1:23" x14ac:dyDescent="0.25">
      <c r="A83" s="38" t="s">
        <v>772</v>
      </c>
      <c r="B83" s="47" t="s">
        <v>475</v>
      </c>
      <c r="C83" s="38" t="s">
        <v>483</v>
      </c>
      <c r="D83" s="38" t="s">
        <v>443</v>
      </c>
      <c r="E83" s="38">
        <v>1155</v>
      </c>
      <c r="F83" s="38">
        <v>4</v>
      </c>
      <c r="G83" s="38">
        <v>8</v>
      </c>
      <c r="H83" s="38">
        <v>3.5</v>
      </c>
      <c r="I83" s="38">
        <v>3.9</v>
      </c>
      <c r="J83" s="38">
        <v>64</v>
      </c>
      <c r="K83" s="38">
        <v>256</v>
      </c>
      <c r="L83" s="38">
        <v>8192</v>
      </c>
      <c r="M83" s="38" t="s">
        <v>749</v>
      </c>
      <c r="N83" s="47"/>
      <c r="O83" s="47">
        <f t="shared" si="9"/>
        <v>1.1499999999999999</v>
      </c>
      <c r="P83" s="47">
        <f t="shared" si="11"/>
        <v>1.46</v>
      </c>
      <c r="Q83" s="47">
        <f t="shared" si="16"/>
        <v>1.0580000000000001</v>
      </c>
      <c r="R83" s="47"/>
      <c r="S83" s="48">
        <f t="shared" si="10"/>
        <v>0.91110000000000002</v>
      </c>
      <c r="T83" s="48">
        <f t="shared" si="12"/>
        <v>1.8222</v>
      </c>
      <c r="U83" s="48">
        <f t="shared" si="13"/>
        <v>3.6444000000000001</v>
      </c>
      <c r="V83" s="48">
        <f t="shared" si="14"/>
        <v>5.320824</v>
      </c>
      <c r="W83" s="48">
        <f t="shared" si="15"/>
        <v>5.320824</v>
      </c>
    </row>
    <row r="84" spans="1:23" x14ac:dyDescent="0.25">
      <c r="A84" s="38" t="s">
        <v>772</v>
      </c>
      <c r="B84" s="47" t="s">
        <v>474</v>
      </c>
      <c r="C84" s="38" t="s">
        <v>483</v>
      </c>
      <c r="D84" s="38" t="s">
        <v>443</v>
      </c>
      <c r="E84" s="38">
        <v>1155</v>
      </c>
      <c r="F84" s="38">
        <v>4</v>
      </c>
      <c r="G84" s="38">
        <v>8</v>
      </c>
      <c r="H84" s="38">
        <v>3.5</v>
      </c>
      <c r="I84" s="38">
        <v>3.9</v>
      </c>
      <c r="J84" s="38">
        <v>64</v>
      </c>
      <c r="K84" s="38">
        <v>256</v>
      </c>
      <c r="L84" s="38">
        <v>8192</v>
      </c>
      <c r="M84" s="38" t="s">
        <v>749</v>
      </c>
      <c r="N84" s="47"/>
      <c r="O84" s="47">
        <f t="shared" si="9"/>
        <v>1.1499999999999999</v>
      </c>
      <c r="P84" s="47">
        <f t="shared" si="11"/>
        <v>1.46</v>
      </c>
      <c r="Q84" s="47">
        <f t="shared" si="16"/>
        <v>1.0580000000000001</v>
      </c>
      <c r="R84" s="47"/>
      <c r="S84" s="48">
        <f t="shared" si="10"/>
        <v>0.91110000000000002</v>
      </c>
      <c r="T84" s="48">
        <f t="shared" si="12"/>
        <v>1.8222</v>
      </c>
      <c r="U84" s="48">
        <f t="shared" si="13"/>
        <v>3.6444000000000001</v>
      </c>
      <c r="V84" s="48">
        <f t="shared" si="14"/>
        <v>5.320824</v>
      </c>
      <c r="W84" s="48">
        <f t="shared" si="15"/>
        <v>5.320824</v>
      </c>
    </row>
    <row r="85" spans="1:23" x14ac:dyDescent="0.25">
      <c r="A85" s="38" t="s">
        <v>772</v>
      </c>
      <c r="B85" s="47" t="s">
        <v>473</v>
      </c>
      <c r="C85" s="38" t="s">
        <v>483</v>
      </c>
      <c r="D85" s="38" t="s">
        <v>443</v>
      </c>
      <c r="E85" s="38">
        <v>1155</v>
      </c>
      <c r="F85" s="38">
        <v>4</v>
      </c>
      <c r="G85" s="38">
        <v>8</v>
      </c>
      <c r="H85" s="38">
        <v>3.4</v>
      </c>
      <c r="I85" s="38">
        <v>3.8</v>
      </c>
      <c r="J85" s="38">
        <v>64</v>
      </c>
      <c r="K85" s="38">
        <v>256</v>
      </c>
      <c r="L85" s="38">
        <v>8192</v>
      </c>
      <c r="M85" s="38" t="s">
        <v>749</v>
      </c>
      <c r="N85" s="47"/>
      <c r="O85" s="47">
        <f t="shared" si="9"/>
        <v>1.1499999999999999</v>
      </c>
      <c r="P85" s="47">
        <f t="shared" si="11"/>
        <v>1.46</v>
      </c>
      <c r="Q85" s="47">
        <f t="shared" si="16"/>
        <v>1.0580000000000001</v>
      </c>
      <c r="R85" s="47"/>
      <c r="S85" s="48">
        <f t="shared" si="10"/>
        <v>0.8851</v>
      </c>
      <c r="T85" s="48">
        <f t="shared" si="12"/>
        <v>1.7702</v>
      </c>
      <c r="U85" s="48">
        <f t="shared" si="13"/>
        <v>3.5404</v>
      </c>
      <c r="V85" s="48">
        <f t="shared" si="14"/>
        <v>5.168984</v>
      </c>
      <c r="W85" s="48">
        <f t="shared" si="15"/>
        <v>5.168984</v>
      </c>
    </row>
    <row r="86" spans="1:23" x14ac:dyDescent="0.25">
      <c r="A86" s="38" t="s">
        <v>772</v>
      </c>
      <c r="B86" s="47" t="s">
        <v>472</v>
      </c>
      <c r="C86" s="38" t="s">
        <v>483</v>
      </c>
      <c r="D86" s="38" t="s">
        <v>443</v>
      </c>
      <c r="E86" s="38">
        <v>1155</v>
      </c>
      <c r="F86" s="38">
        <v>4</v>
      </c>
      <c r="G86" s="38">
        <v>8</v>
      </c>
      <c r="H86" s="38">
        <v>3.4</v>
      </c>
      <c r="I86" s="38">
        <v>3.8</v>
      </c>
      <c r="J86" s="38">
        <v>64</v>
      </c>
      <c r="K86" s="38">
        <v>256</v>
      </c>
      <c r="L86" s="38">
        <v>8192</v>
      </c>
      <c r="M86" s="38" t="s">
        <v>749</v>
      </c>
      <c r="N86" s="47"/>
      <c r="O86" s="47">
        <f t="shared" si="9"/>
        <v>1.1499999999999999</v>
      </c>
      <c r="P86" s="47">
        <f t="shared" si="11"/>
        <v>1.46</v>
      </c>
      <c r="Q86" s="47">
        <f t="shared" si="16"/>
        <v>1.0580000000000001</v>
      </c>
      <c r="R86" s="47"/>
      <c r="S86" s="48">
        <f t="shared" si="10"/>
        <v>0.8851</v>
      </c>
      <c r="T86" s="48">
        <f t="shared" si="12"/>
        <v>1.7702</v>
      </c>
      <c r="U86" s="48">
        <f t="shared" si="13"/>
        <v>3.5404</v>
      </c>
      <c r="V86" s="48">
        <f t="shared" si="14"/>
        <v>5.168984</v>
      </c>
      <c r="W86" s="48">
        <f t="shared" si="15"/>
        <v>5.168984</v>
      </c>
    </row>
    <row r="87" spans="1:23" x14ac:dyDescent="0.25">
      <c r="A87" s="38" t="s">
        <v>772</v>
      </c>
      <c r="B87" s="47" t="s">
        <v>471</v>
      </c>
      <c r="C87" s="38" t="s">
        <v>483</v>
      </c>
      <c r="D87" s="38" t="s">
        <v>443</v>
      </c>
      <c r="E87" s="38">
        <v>1155</v>
      </c>
      <c r="F87" s="38">
        <v>4</v>
      </c>
      <c r="G87" s="38">
        <v>8</v>
      </c>
      <c r="H87" s="38">
        <v>3.3</v>
      </c>
      <c r="I87" s="38">
        <v>3.7</v>
      </c>
      <c r="J87" s="38">
        <v>64</v>
      </c>
      <c r="K87" s="38">
        <v>256</v>
      </c>
      <c r="L87" s="38">
        <v>8192</v>
      </c>
      <c r="M87" s="38" t="s">
        <v>749</v>
      </c>
      <c r="N87" s="47"/>
      <c r="O87" s="47">
        <f t="shared" si="9"/>
        <v>1.1499999999999999</v>
      </c>
      <c r="P87" s="47">
        <f t="shared" si="11"/>
        <v>1.46</v>
      </c>
      <c r="Q87" s="47">
        <f t="shared" si="16"/>
        <v>1.0580000000000001</v>
      </c>
      <c r="R87" s="47"/>
      <c r="S87" s="48">
        <f t="shared" si="10"/>
        <v>0.85910000000000009</v>
      </c>
      <c r="T87" s="48">
        <f t="shared" si="12"/>
        <v>1.7182000000000002</v>
      </c>
      <c r="U87" s="48">
        <f t="shared" si="13"/>
        <v>3.4364000000000003</v>
      </c>
      <c r="V87" s="48">
        <f t="shared" si="14"/>
        <v>5.017144</v>
      </c>
      <c r="W87" s="48">
        <f t="shared" si="15"/>
        <v>5.017144</v>
      </c>
    </row>
    <row r="88" spans="1:23" x14ac:dyDescent="0.25">
      <c r="A88" s="38" t="s">
        <v>772</v>
      </c>
      <c r="B88" s="47" t="s">
        <v>469</v>
      </c>
      <c r="C88" s="38" t="s">
        <v>483</v>
      </c>
      <c r="D88" s="38" t="s">
        <v>443</v>
      </c>
      <c r="E88" s="38">
        <v>1155</v>
      </c>
      <c r="F88" s="38">
        <v>4</v>
      </c>
      <c r="G88" s="38">
        <v>8</v>
      </c>
      <c r="H88" s="38">
        <v>3.2</v>
      </c>
      <c r="I88" s="38">
        <v>3.6</v>
      </c>
      <c r="J88" s="38">
        <v>64</v>
      </c>
      <c r="K88" s="38">
        <v>256</v>
      </c>
      <c r="L88" s="38">
        <v>8192</v>
      </c>
      <c r="M88" s="38" t="s">
        <v>749</v>
      </c>
      <c r="N88" s="47"/>
      <c r="O88" s="47">
        <f t="shared" si="9"/>
        <v>1.1499999999999999</v>
      </c>
      <c r="P88" s="47">
        <f t="shared" si="11"/>
        <v>1.46</v>
      </c>
      <c r="Q88" s="47">
        <f t="shared" si="16"/>
        <v>1.0580000000000001</v>
      </c>
      <c r="R88" s="47"/>
      <c r="S88" s="48">
        <f t="shared" si="10"/>
        <v>0.83300000000000007</v>
      </c>
      <c r="T88" s="48">
        <f t="shared" si="12"/>
        <v>1.6660000000000001</v>
      </c>
      <c r="U88" s="48">
        <f t="shared" si="13"/>
        <v>3.3320000000000003</v>
      </c>
      <c r="V88" s="48">
        <f t="shared" si="14"/>
        <v>4.8647200000000002</v>
      </c>
      <c r="W88" s="48">
        <f t="shared" si="15"/>
        <v>4.8647200000000002</v>
      </c>
    </row>
    <row r="89" spans="1:23" x14ac:dyDescent="0.25">
      <c r="A89" s="38" t="s">
        <v>772</v>
      </c>
      <c r="B89" s="47" t="s">
        <v>468</v>
      </c>
      <c r="C89" s="38" t="s">
        <v>483</v>
      </c>
      <c r="D89" s="38" t="s">
        <v>443</v>
      </c>
      <c r="E89" s="38">
        <v>1155</v>
      </c>
      <c r="F89" s="38">
        <v>4</v>
      </c>
      <c r="G89" s="38">
        <v>8</v>
      </c>
      <c r="H89" s="38">
        <v>3.1</v>
      </c>
      <c r="I89" s="38">
        <v>3.5</v>
      </c>
      <c r="J89" s="38">
        <v>64</v>
      </c>
      <c r="K89" s="38">
        <v>256</v>
      </c>
      <c r="L89" s="38">
        <v>8192</v>
      </c>
      <c r="M89" s="38" t="s">
        <v>749</v>
      </c>
      <c r="N89" s="47"/>
      <c r="O89" s="47">
        <f t="shared" si="9"/>
        <v>1.1499999999999999</v>
      </c>
      <c r="P89" s="47">
        <f t="shared" si="11"/>
        <v>1.46</v>
      </c>
      <c r="Q89" s="47">
        <f t="shared" si="16"/>
        <v>1.0580000000000001</v>
      </c>
      <c r="R89" s="47"/>
      <c r="S89" s="48">
        <f t="shared" si="10"/>
        <v>0.80700000000000005</v>
      </c>
      <c r="T89" s="48">
        <f t="shared" si="12"/>
        <v>1.6140000000000001</v>
      </c>
      <c r="U89" s="48">
        <f t="shared" si="13"/>
        <v>3.2280000000000002</v>
      </c>
      <c r="V89" s="48">
        <f t="shared" si="14"/>
        <v>4.7128800000000002</v>
      </c>
      <c r="W89" s="48">
        <f t="shared" si="15"/>
        <v>4.7128800000000002</v>
      </c>
    </row>
    <row r="90" spans="1:23" x14ac:dyDescent="0.25">
      <c r="A90" s="38" t="s">
        <v>772</v>
      </c>
      <c r="B90" s="47" t="s">
        <v>459</v>
      </c>
      <c r="C90" s="38" t="s">
        <v>483</v>
      </c>
      <c r="D90" s="38" t="s">
        <v>443</v>
      </c>
      <c r="E90" s="38">
        <v>1155</v>
      </c>
      <c r="F90" s="38">
        <v>4</v>
      </c>
      <c r="G90" s="38">
        <v>4</v>
      </c>
      <c r="H90" s="38">
        <v>3.4</v>
      </c>
      <c r="I90" s="38">
        <v>3.8</v>
      </c>
      <c r="J90" s="38">
        <v>64</v>
      </c>
      <c r="K90" s="38">
        <v>256</v>
      </c>
      <c r="L90" s="38">
        <v>6144</v>
      </c>
      <c r="M90" s="38"/>
      <c r="N90" s="47"/>
      <c r="O90" s="47">
        <f t="shared" si="9"/>
        <v>1.1400000000000001</v>
      </c>
      <c r="P90" s="47">
        <f t="shared" si="11"/>
        <v>1</v>
      </c>
      <c r="Q90" s="47">
        <f t="shared" si="16"/>
        <v>1.0580000000000001</v>
      </c>
      <c r="R90" s="47"/>
      <c r="S90" s="48">
        <f t="shared" si="10"/>
        <v>0.87740000000000007</v>
      </c>
      <c r="T90" s="48">
        <f t="shared" si="12"/>
        <v>1.7548000000000001</v>
      </c>
      <c r="U90" s="48">
        <f t="shared" si="13"/>
        <v>3.5096000000000003</v>
      </c>
      <c r="V90" s="48">
        <f t="shared" si="14"/>
        <v>3.5096000000000003</v>
      </c>
      <c r="W90" s="48">
        <f t="shared" si="15"/>
        <v>3.5096000000000003</v>
      </c>
    </row>
    <row r="91" spans="1:23" x14ac:dyDescent="0.25">
      <c r="A91" s="38" t="s">
        <v>772</v>
      </c>
      <c r="B91" s="47" t="s">
        <v>458</v>
      </c>
      <c r="C91" s="38" t="s">
        <v>483</v>
      </c>
      <c r="D91" s="38" t="s">
        <v>443</v>
      </c>
      <c r="E91" s="38">
        <v>1155</v>
      </c>
      <c r="F91" s="38">
        <v>4</v>
      </c>
      <c r="G91" s="38">
        <v>4</v>
      </c>
      <c r="H91" s="38">
        <v>3.4</v>
      </c>
      <c r="I91" s="38">
        <v>3.8</v>
      </c>
      <c r="J91" s="38">
        <v>64</v>
      </c>
      <c r="K91" s="38">
        <v>256</v>
      </c>
      <c r="L91" s="38">
        <v>6144</v>
      </c>
      <c r="M91" s="38"/>
      <c r="N91" s="47"/>
      <c r="O91" s="47">
        <f t="shared" si="9"/>
        <v>1.1400000000000001</v>
      </c>
      <c r="P91" s="47">
        <f t="shared" si="11"/>
        <v>1</v>
      </c>
      <c r="Q91" s="47">
        <f t="shared" si="16"/>
        <v>1.0580000000000001</v>
      </c>
      <c r="R91" s="47"/>
      <c r="S91" s="48">
        <f t="shared" si="10"/>
        <v>0.87740000000000007</v>
      </c>
      <c r="T91" s="48">
        <f t="shared" si="12"/>
        <v>1.7548000000000001</v>
      </c>
      <c r="U91" s="48">
        <f t="shared" si="13"/>
        <v>3.5096000000000003</v>
      </c>
      <c r="V91" s="48">
        <f t="shared" si="14"/>
        <v>3.5096000000000003</v>
      </c>
      <c r="W91" s="48">
        <f t="shared" si="15"/>
        <v>3.5096000000000003</v>
      </c>
    </row>
    <row r="92" spans="1:23" x14ac:dyDescent="0.25">
      <c r="A92" s="38" t="s">
        <v>772</v>
      </c>
      <c r="B92" s="47" t="s">
        <v>457</v>
      </c>
      <c r="C92" s="38" t="s">
        <v>483</v>
      </c>
      <c r="D92" s="38" t="s">
        <v>443</v>
      </c>
      <c r="E92" s="38">
        <v>1155</v>
      </c>
      <c r="F92" s="38">
        <v>4</v>
      </c>
      <c r="G92" s="38">
        <v>4</v>
      </c>
      <c r="H92" s="38">
        <v>3.3</v>
      </c>
      <c r="I92" s="38">
        <v>3.7</v>
      </c>
      <c r="J92" s="38">
        <v>64</v>
      </c>
      <c r="K92" s="38">
        <v>256</v>
      </c>
      <c r="L92" s="38">
        <v>6144</v>
      </c>
      <c r="M92" s="38"/>
      <c r="N92" s="47"/>
      <c r="O92" s="47">
        <f t="shared" si="9"/>
        <v>1.1400000000000001</v>
      </c>
      <c r="P92" s="47">
        <f t="shared" si="11"/>
        <v>1</v>
      </c>
      <c r="Q92" s="47">
        <f t="shared" si="16"/>
        <v>1.0580000000000001</v>
      </c>
      <c r="R92" s="47"/>
      <c r="S92" s="48">
        <f t="shared" si="10"/>
        <v>0.85160000000000002</v>
      </c>
      <c r="T92" s="48">
        <f t="shared" si="12"/>
        <v>1.7032</v>
      </c>
      <c r="U92" s="48">
        <f t="shared" si="13"/>
        <v>3.4064000000000001</v>
      </c>
      <c r="V92" s="48">
        <f t="shared" si="14"/>
        <v>3.4064000000000001</v>
      </c>
      <c r="W92" s="48">
        <f t="shared" si="15"/>
        <v>3.4064000000000001</v>
      </c>
    </row>
    <row r="93" spans="1:23" x14ac:dyDescent="0.25">
      <c r="A93" s="38" t="s">
        <v>772</v>
      </c>
      <c r="B93" s="47" t="s">
        <v>456</v>
      </c>
      <c r="C93" s="38" t="s">
        <v>483</v>
      </c>
      <c r="D93" s="38" t="s">
        <v>443</v>
      </c>
      <c r="E93" s="38">
        <v>1155</v>
      </c>
      <c r="F93" s="38">
        <v>4</v>
      </c>
      <c r="G93" s="38">
        <v>4</v>
      </c>
      <c r="H93" s="38">
        <v>3.2</v>
      </c>
      <c r="I93" s="38">
        <v>3.6</v>
      </c>
      <c r="J93" s="38">
        <v>64</v>
      </c>
      <c r="K93" s="38">
        <v>256</v>
      </c>
      <c r="L93" s="38">
        <v>6144</v>
      </c>
      <c r="M93" s="38"/>
      <c r="N93" s="47"/>
      <c r="O93" s="47">
        <f t="shared" si="9"/>
        <v>1.1400000000000001</v>
      </c>
      <c r="P93" s="47">
        <f t="shared" si="11"/>
        <v>1</v>
      </c>
      <c r="Q93" s="47">
        <f t="shared" si="16"/>
        <v>1.0580000000000001</v>
      </c>
      <c r="R93" s="47"/>
      <c r="S93" s="48">
        <f t="shared" si="10"/>
        <v>0.82580000000000009</v>
      </c>
      <c r="T93" s="48">
        <f t="shared" si="12"/>
        <v>1.6516000000000002</v>
      </c>
      <c r="U93" s="48">
        <f t="shared" si="13"/>
        <v>3.3032000000000004</v>
      </c>
      <c r="V93" s="48">
        <f t="shared" si="14"/>
        <v>3.3032000000000004</v>
      </c>
      <c r="W93" s="48">
        <f t="shared" si="15"/>
        <v>3.3032000000000004</v>
      </c>
    </row>
    <row r="94" spans="1:23" x14ac:dyDescent="0.25">
      <c r="A94" s="38" t="s">
        <v>772</v>
      </c>
      <c r="B94" s="47" t="s">
        <v>455</v>
      </c>
      <c r="C94" s="38" t="s">
        <v>483</v>
      </c>
      <c r="D94" s="38" t="s">
        <v>443</v>
      </c>
      <c r="E94" s="38">
        <v>1155</v>
      </c>
      <c r="F94" s="38">
        <v>4</v>
      </c>
      <c r="G94" s="38">
        <v>4</v>
      </c>
      <c r="H94" s="38">
        <v>3.1</v>
      </c>
      <c r="I94" s="38">
        <v>3.5</v>
      </c>
      <c r="J94" s="38">
        <v>64</v>
      </c>
      <c r="K94" s="38">
        <v>256</v>
      </c>
      <c r="L94" s="38">
        <v>6144</v>
      </c>
      <c r="M94" s="38"/>
      <c r="N94" s="47"/>
      <c r="O94" s="47">
        <f t="shared" si="9"/>
        <v>1.1400000000000001</v>
      </c>
      <c r="P94" s="47">
        <f t="shared" si="11"/>
        <v>1</v>
      </c>
      <c r="Q94" s="47">
        <f t="shared" si="16"/>
        <v>1.0580000000000001</v>
      </c>
      <c r="R94" s="47"/>
      <c r="S94" s="48">
        <f t="shared" si="10"/>
        <v>0.8</v>
      </c>
      <c r="T94" s="48">
        <f t="shared" si="12"/>
        <v>1.6</v>
      </c>
      <c r="U94" s="48">
        <f t="shared" si="13"/>
        <v>3.2</v>
      </c>
      <c r="V94" s="48">
        <f t="shared" si="14"/>
        <v>3.2</v>
      </c>
      <c r="W94" s="48">
        <f t="shared" si="15"/>
        <v>3.2</v>
      </c>
    </row>
    <row r="95" spans="1:23" x14ac:dyDescent="0.25">
      <c r="A95" s="38" t="s">
        <v>772</v>
      </c>
      <c r="B95" s="47" t="s">
        <v>454</v>
      </c>
      <c r="C95" s="38" t="s">
        <v>483</v>
      </c>
      <c r="D95" s="38" t="s">
        <v>443</v>
      </c>
      <c r="E95" s="38">
        <v>1155</v>
      </c>
      <c r="F95" s="38">
        <v>4</v>
      </c>
      <c r="G95" s="38">
        <v>4</v>
      </c>
      <c r="H95" s="38">
        <v>3.1</v>
      </c>
      <c r="I95" s="38">
        <v>3.3</v>
      </c>
      <c r="J95" s="38">
        <v>64</v>
      </c>
      <c r="K95" s="38">
        <v>256</v>
      </c>
      <c r="L95" s="38">
        <v>6144</v>
      </c>
      <c r="M95" s="38"/>
      <c r="N95" s="47"/>
      <c r="O95" s="47">
        <f t="shared" si="9"/>
        <v>1.1400000000000001</v>
      </c>
      <c r="P95" s="47">
        <f t="shared" si="11"/>
        <v>1</v>
      </c>
      <c r="Q95" s="47">
        <f t="shared" si="16"/>
        <v>1.0580000000000001</v>
      </c>
      <c r="R95" s="47"/>
      <c r="S95" s="48">
        <f t="shared" si="10"/>
        <v>0.8</v>
      </c>
      <c r="T95" s="48">
        <f t="shared" si="12"/>
        <v>1.6</v>
      </c>
      <c r="U95" s="48">
        <f t="shared" si="13"/>
        <v>3.2</v>
      </c>
      <c r="V95" s="48">
        <f t="shared" si="14"/>
        <v>3.2</v>
      </c>
      <c r="W95" s="48">
        <f t="shared" si="15"/>
        <v>3.2</v>
      </c>
    </row>
    <row r="96" spans="1:23" x14ac:dyDescent="0.25">
      <c r="A96" s="38" t="s">
        <v>772</v>
      </c>
      <c r="B96" s="47" t="s">
        <v>453</v>
      </c>
      <c r="C96" s="38" t="s">
        <v>483</v>
      </c>
      <c r="D96" s="38" t="s">
        <v>443</v>
      </c>
      <c r="E96" s="38">
        <v>1155</v>
      </c>
      <c r="F96" s="38">
        <v>4</v>
      </c>
      <c r="G96" s="38">
        <v>4</v>
      </c>
      <c r="H96" s="38">
        <v>3</v>
      </c>
      <c r="I96" s="38">
        <v>3.2</v>
      </c>
      <c r="J96" s="38">
        <v>64</v>
      </c>
      <c r="K96" s="38">
        <v>256</v>
      </c>
      <c r="L96" s="38">
        <v>6144</v>
      </c>
      <c r="M96" s="38"/>
      <c r="N96" s="47"/>
      <c r="O96" s="47">
        <f t="shared" si="9"/>
        <v>1.1400000000000001</v>
      </c>
      <c r="P96" s="47">
        <f t="shared" si="11"/>
        <v>1</v>
      </c>
      <c r="Q96" s="47">
        <f t="shared" si="16"/>
        <v>1.0580000000000001</v>
      </c>
      <c r="R96" s="47"/>
      <c r="S96" s="48">
        <f t="shared" si="10"/>
        <v>0.7742</v>
      </c>
      <c r="T96" s="48">
        <f t="shared" si="12"/>
        <v>1.5484</v>
      </c>
      <c r="U96" s="48">
        <f t="shared" si="13"/>
        <v>3.0968</v>
      </c>
      <c r="V96" s="48">
        <f t="shared" si="14"/>
        <v>3.0968</v>
      </c>
      <c r="W96" s="48">
        <f t="shared" si="15"/>
        <v>3.0968</v>
      </c>
    </row>
    <row r="97" spans="1:23" x14ac:dyDescent="0.25">
      <c r="A97" s="38" t="s">
        <v>772</v>
      </c>
      <c r="B97" s="47" t="s">
        <v>452</v>
      </c>
      <c r="C97" s="38" t="s">
        <v>483</v>
      </c>
      <c r="D97" s="38" t="s">
        <v>443</v>
      </c>
      <c r="E97" s="38">
        <v>1155</v>
      </c>
      <c r="F97" s="38">
        <v>2</v>
      </c>
      <c r="G97" s="38">
        <v>4</v>
      </c>
      <c r="H97" s="38">
        <v>3.4</v>
      </c>
      <c r="I97" s="38">
        <v>3.4</v>
      </c>
      <c r="J97" s="38">
        <v>64</v>
      </c>
      <c r="K97" s="38">
        <v>256</v>
      </c>
      <c r="L97" s="38">
        <v>3072</v>
      </c>
      <c r="M97" s="38" t="s">
        <v>749</v>
      </c>
      <c r="N97" s="47"/>
      <c r="O97" s="47">
        <f t="shared" si="9"/>
        <v>1.1034314575050761</v>
      </c>
      <c r="P97" s="47">
        <f t="shared" si="11"/>
        <v>1.46</v>
      </c>
      <c r="Q97" s="47">
        <f t="shared" si="16"/>
        <v>1.0580000000000001</v>
      </c>
      <c r="R97" s="47"/>
      <c r="S97" s="48">
        <f t="shared" si="10"/>
        <v>0.84930000000000005</v>
      </c>
      <c r="T97" s="48">
        <f t="shared" si="12"/>
        <v>1.6986000000000001</v>
      </c>
      <c r="U97" s="48">
        <f t="shared" si="13"/>
        <v>2.479956</v>
      </c>
      <c r="V97" s="48">
        <f t="shared" si="14"/>
        <v>2.479956</v>
      </c>
      <c r="W97" s="48">
        <f t="shared" si="15"/>
        <v>2.479956</v>
      </c>
    </row>
    <row r="98" spans="1:23" x14ac:dyDescent="0.25">
      <c r="A98" s="38" t="s">
        <v>772</v>
      </c>
      <c r="B98" s="47" t="s">
        <v>450</v>
      </c>
      <c r="C98" s="38" t="s">
        <v>483</v>
      </c>
      <c r="D98" s="38" t="s">
        <v>443</v>
      </c>
      <c r="E98" s="38">
        <v>1155</v>
      </c>
      <c r="F98" s="38">
        <v>2</v>
      </c>
      <c r="G98" s="38">
        <v>4</v>
      </c>
      <c r="H98" s="38">
        <v>3.3</v>
      </c>
      <c r="I98" s="38">
        <v>3.3</v>
      </c>
      <c r="J98" s="38">
        <v>64</v>
      </c>
      <c r="K98" s="38">
        <v>256</v>
      </c>
      <c r="L98" s="38">
        <v>3072</v>
      </c>
      <c r="M98" s="38" t="s">
        <v>749</v>
      </c>
      <c r="N98" s="47"/>
      <c r="O98" s="47">
        <f t="shared" si="9"/>
        <v>1.1034314575050761</v>
      </c>
      <c r="P98" s="47">
        <f t="shared" si="11"/>
        <v>1.46</v>
      </c>
      <c r="Q98" s="47">
        <f t="shared" si="16"/>
        <v>1.0580000000000001</v>
      </c>
      <c r="R98" s="47"/>
      <c r="S98" s="48">
        <f t="shared" si="10"/>
        <v>0.82430000000000003</v>
      </c>
      <c r="T98" s="48">
        <f t="shared" si="12"/>
        <v>1.6486000000000001</v>
      </c>
      <c r="U98" s="48">
        <f t="shared" si="13"/>
        <v>2.4069560000000001</v>
      </c>
      <c r="V98" s="48">
        <f t="shared" si="14"/>
        <v>2.4069560000000001</v>
      </c>
      <c r="W98" s="48">
        <f t="shared" si="15"/>
        <v>2.4069560000000001</v>
      </c>
    </row>
    <row r="99" spans="1:23" x14ac:dyDescent="0.25">
      <c r="A99" s="38" t="s">
        <v>772</v>
      </c>
      <c r="B99" s="47" t="s">
        <v>449</v>
      </c>
      <c r="C99" s="38" t="s">
        <v>483</v>
      </c>
      <c r="D99" s="38" t="s">
        <v>443</v>
      </c>
      <c r="E99" s="38">
        <v>1155</v>
      </c>
      <c r="F99" s="38">
        <v>2</v>
      </c>
      <c r="G99" s="38">
        <v>4</v>
      </c>
      <c r="H99" s="38">
        <v>3.3</v>
      </c>
      <c r="I99" s="38">
        <v>3.3</v>
      </c>
      <c r="J99" s="38">
        <v>64</v>
      </c>
      <c r="K99" s="38">
        <v>256</v>
      </c>
      <c r="L99" s="38">
        <v>3072</v>
      </c>
      <c r="M99" s="38" t="s">
        <v>749</v>
      </c>
      <c r="N99" s="47"/>
      <c r="O99" s="47">
        <f t="shared" si="9"/>
        <v>1.1034314575050761</v>
      </c>
      <c r="P99" s="47">
        <f t="shared" si="11"/>
        <v>1.46</v>
      </c>
      <c r="Q99" s="47">
        <f t="shared" si="16"/>
        <v>1.0580000000000001</v>
      </c>
      <c r="R99" s="47"/>
      <c r="S99" s="48">
        <f t="shared" si="10"/>
        <v>0.82430000000000003</v>
      </c>
      <c r="T99" s="48">
        <f t="shared" si="12"/>
        <v>1.6486000000000001</v>
      </c>
      <c r="U99" s="48">
        <f t="shared" si="13"/>
        <v>2.4069560000000001</v>
      </c>
      <c r="V99" s="48">
        <f t="shared" si="14"/>
        <v>2.4069560000000001</v>
      </c>
      <c r="W99" s="48">
        <f t="shared" si="15"/>
        <v>2.4069560000000001</v>
      </c>
    </row>
    <row r="100" spans="1:23" x14ac:dyDescent="0.25">
      <c r="A100" s="38" t="s">
        <v>772</v>
      </c>
      <c r="B100" s="47" t="s">
        <v>447</v>
      </c>
      <c r="C100" s="38" t="s">
        <v>483</v>
      </c>
      <c r="D100" s="38" t="s">
        <v>443</v>
      </c>
      <c r="E100" s="38">
        <v>1155</v>
      </c>
      <c r="F100" s="38">
        <v>2</v>
      </c>
      <c r="G100" s="38">
        <v>4</v>
      </c>
      <c r="H100" s="38">
        <v>3.2</v>
      </c>
      <c r="I100" s="38">
        <v>3.2</v>
      </c>
      <c r="J100" s="38">
        <v>64</v>
      </c>
      <c r="K100" s="38">
        <v>256</v>
      </c>
      <c r="L100" s="38">
        <v>3072</v>
      </c>
      <c r="M100" s="38" t="s">
        <v>749</v>
      </c>
      <c r="N100" s="47"/>
      <c r="O100" s="47">
        <f t="shared" si="9"/>
        <v>1.1034314575050761</v>
      </c>
      <c r="P100" s="47">
        <f t="shared" si="11"/>
        <v>1.46</v>
      </c>
      <c r="Q100" s="47">
        <f t="shared" si="16"/>
        <v>1.0580000000000001</v>
      </c>
      <c r="R100" s="47"/>
      <c r="S100" s="48">
        <f t="shared" si="10"/>
        <v>0.79930000000000001</v>
      </c>
      <c r="T100" s="48">
        <f t="shared" si="12"/>
        <v>1.5986</v>
      </c>
      <c r="U100" s="48">
        <f t="shared" si="13"/>
        <v>2.3339560000000001</v>
      </c>
      <c r="V100" s="48">
        <f t="shared" si="14"/>
        <v>2.3339560000000001</v>
      </c>
      <c r="W100" s="48">
        <f t="shared" si="15"/>
        <v>2.3339560000000001</v>
      </c>
    </row>
    <row r="101" spans="1:23" x14ac:dyDescent="0.25">
      <c r="A101" s="38" t="s">
        <v>772</v>
      </c>
      <c r="B101" s="47" t="s">
        <v>467</v>
      </c>
      <c r="C101" s="38" t="s">
        <v>483</v>
      </c>
      <c r="D101" s="38" t="s">
        <v>443</v>
      </c>
      <c r="E101" s="38">
        <v>1155</v>
      </c>
      <c r="F101" s="38">
        <v>2</v>
      </c>
      <c r="G101" s="38">
        <v>2</v>
      </c>
      <c r="H101" s="38">
        <v>3.3</v>
      </c>
      <c r="I101" s="38">
        <v>3.3</v>
      </c>
      <c r="J101" s="38">
        <v>64</v>
      </c>
      <c r="K101" s="38">
        <v>256</v>
      </c>
      <c r="L101" s="38">
        <v>3072</v>
      </c>
      <c r="M101" s="38"/>
      <c r="N101" s="47"/>
      <c r="O101" s="47">
        <f t="shared" si="9"/>
        <v>1.1034314575050761</v>
      </c>
      <c r="P101" s="47">
        <f t="shared" si="11"/>
        <v>1</v>
      </c>
      <c r="Q101" s="47">
        <f t="shared" si="16"/>
        <v>1.0580000000000001</v>
      </c>
      <c r="R101" s="47"/>
      <c r="S101" s="48">
        <f t="shared" si="10"/>
        <v>0.82430000000000003</v>
      </c>
      <c r="T101" s="48">
        <f t="shared" si="12"/>
        <v>1.6486000000000001</v>
      </c>
      <c r="U101" s="48">
        <f t="shared" si="13"/>
        <v>1.6486000000000001</v>
      </c>
      <c r="V101" s="48">
        <f t="shared" si="14"/>
        <v>1.6486000000000001</v>
      </c>
      <c r="W101" s="48">
        <f t="shared" si="15"/>
        <v>1.6486000000000001</v>
      </c>
    </row>
    <row r="102" spans="1:23" x14ac:dyDescent="0.25">
      <c r="A102" s="38" t="s">
        <v>772</v>
      </c>
      <c r="B102" s="47" t="s">
        <v>466</v>
      </c>
      <c r="C102" s="38" t="s">
        <v>483</v>
      </c>
      <c r="D102" s="38" t="s">
        <v>443</v>
      </c>
      <c r="E102" s="38">
        <v>1155</v>
      </c>
      <c r="F102" s="38">
        <v>2</v>
      </c>
      <c r="G102" s="38">
        <v>2</v>
      </c>
      <c r="H102" s="38">
        <v>3.2</v>
      </c>
      <c r="I102" s="38">
        <v>3.2</v>
      </c>
      <c r="J102" s="38">
        <v>64</v>
      </c>
      <c r="K102" s="38">
        <v>256</v>
      </c>
      <c r="L102" s="38">
        <v>3072</v>
      </c>
      <c r="M102" s="38"/>
      <c r="N102" s="47"/>
      <c r="O102" s="47">
        <f t="shared" si="9"/>
        <v>1.1034314575050761</v>
      </c>
      <c r="P102" s="47">
        <f t="shared" si="11"/>
        <v>1</v>
      </c>
      <c r="Q102" s="47">
        <f t="shared" si="16"/>
        <v>1.0580000000000001</v>
      </c>
      <c r="R102" s="47"/>
      <c r="S102" s="48">
        <f t="shared" si="10"/>
        <v>0.79930000000000001</v>
      </c>
      <c r="T102" s="48">
        <f t="shared" si="12"/>
        <v>1.5986</v>
      </c>
      <c r="U102" s="48">
        <f t="shared" si="13"/>
        <v>1.5986</v>
      </c>
      <c r="V102" s="48">
        <f t="shared" si="14"/>
        <v>1.5986</v>
      </c>
      <c r="W102" s="48">
        <f t="shared" si="15"/>
        <v>1.5986</v>
      </c>
    </row>
    <row r="103" spans="1:23" x14ac:dyDescent="0.25">
      <c r="A103" s="38" t="s">
        <v>772</v>
      </c>
      <c r="B103" s="47" t="s">
        <v>465</v>
      </c>
      <c r="C103" s="38" t="s">
        <v>483</v>
      </c>
      <c r="D103" s="38" t="s">
        <v>443</v>
      </c>
      <c r="E103" s="38">
        <v>1155</v>
      </c>
      <c r="F103" s="38">
        <v>2</v>
      </c>
      <c r="G103" s="38">
        <v>2</v>
      </c>
      <c r="H103" s="38">
        <v>3</v>
      </c>
      <c r="I103" s="38">
        <v>3</v>
      </c>
      <c r="J103" s="38">
        <v>64</v>
      </c>
      <c r="K103" s="38">
        <v>256</v>
      </c>
      <c r="L103" s="38">
        <v>3072</v>
      </c>
      <c r="M103" s="38"/>
      <c r="N103" s="47"/>
      <c r="O103" s="47">
        <f t="shared" si="9"/>
        <v>1.1034314575050761</v>
      </c>
      <c r="P103" s="47">
        <f t="shared" si="11"/>
        <v>1</v>
      </c>
      <c r="Q103" s="47">
        <f t="shared" si="16"/>
        <v>1.0580000000000001</v>
      </c>
      <c r="R103" s="47"/>
      <c r="S103" s="48">
        <f t="shared" si="10"/>
        <v>0.74940000000000007</v>
      </c>
      <c r="T103" s="48">
        <f t="shared" si="12"/>
        <v>1.4988000000000001</v>
      </c>
      <c r="U103" s="48">
        <f t="shared" si="13"/>
        <v>1.4988000000000001</v>
      </c>
      <c r="V103" s="48">
        <f t="shared" si="14"/>
        <v>1.4988000000000001</v>
      </c>
      <c r="W103" s="48">
        <f t="shared" si="15"/>
        <v>1.4988000000000001</v>
      </c>
    </row>
    <row r="104" spans="1:23" x14ac:dyDescent="0.25">
      <c r="A104" s="38" t="s">
        <v>772</v>
      </c>
      <c r="B104" s="47" t="s">
        <v>464</v>
      </c>
      <c r="C104" s="38" t="s">
        <v>483</v>
      </c>
      <c r="D104" s="38" t="s">
        <v>443</v>
      </c>
      <c r="E104" s="38">
        <v>1155</v>
      </c>
      <c r="F104" s="38">
        <v>2</v>
      </c>
      <c r="G104" s="38">
        <v>2</v>
      </c>
      <c r="H104" s="38">
        <v>3</v>
      </c>
      <c r="I104" s="38">
        <v>3</v>
      </c>
      <c r="J104" s="38">
        <v>64</v>
      </c>
      <c r="K104" s="38">
        <v>256</v>
      </c>
      <c r="L104" s="38">
        <v>3072</v>
      </c>
      <c r="M104" s="38"/>
      <c r="N104" s="47"/>
      <c r="O104" s="47">
        <f t="shared" si="9"/>
        <v>1.1034314575050761</v>
      </c>
      <c r="P104" s="47">
        <f t="shared" si="11"/>
        <v>1</v>
      </c>
      <c r="Q104" s="47">
        <f t="shared" si="16"/>
        <v>1.0580000000000001</v>
      </c>
      <c r="R104" s="47"/>
      <c r="S104" s="48">
        <f t="shared" si="10"/>
        <v>0.74940000000000007</v>
      </c>
      <c r="T104" s="48">
        <f t="shared" si="12"/>
        <v>1.4988000000000001</v>
      </c>
      <c r="U104" s="48">
        <f t="shared" si="13"/>
        <v>1.4988000000000001</v>
      </c>
      <c r="V104" s="48">
        <f t="shared" si="14"/>
        <v>1.4988000000000001</v>
      </c>
      <c r="W104" s="48">
        <f t="shared" si="15"/>
        <v>1.4988000000000001</v>
      </c>
    </row>
    <row r="105" spans="1:23" x14ac:dyDescent="0.25">
      <c r="A105" s="38" t="s">
        <v>772</v>
      </c>
      <c r="B105" s="47" t="s">
        <v>463</v>
      </c>
      <c r="C105" s="38" t="s">
        <v>483</v>
      </c>
      <c r="D105" s="38" t="s">
        <v>443</v>
      </c>
      <c r="E105" s="38">
        <v>1155</v>
      </c>
      <c r="F105" s="38">
        <v>2</v>
      </c>
      <c r="G105" s="38">
        <v>2</v>
      </c>
      <c r="H105" s="38">
        <v>2.9</v>
      </c>
      <c r="I105" s="38">
        <v>2.9</v>
      </c>
      <c r="J105" s="38">
        <v>64</v>
      </c>
      <c r="K105" s="38">
        <v>256</v>
      </c>
      <c r="L105" s="38">
        <v>3072</v>
      </c>
      <c r="M105" s="38"/>
      <c r="N105" s="47"/>
      <c r="O105" s="47">
        <f t="shared" si="9"/>
        <v>1.1034314575050761</v>
      </c>
      <c r="P105" s="47">
        <f t="shared" si="11"/>
        <v>1</v>
      </c>
      <c r="Q105" s="47">
        <f t="shared" si="16"/>
        <v>1.0580000000000001</v>
      </c>
      <c r="R105" s="47"/>
      <c r="S105" s="48">
        <f t="shared" si="10"/>
        <v>0.72440000000000004</v>
      </c>
      <c r="T105" s="48">
        <f t="shared" si="12"/>
        <v>1.4488000000000001</v>
      </c>
      <c r="U105" s="48">
        <f t="shared" si="13"/>
        <v>1.4488000000000001</v>
      </c>
      <c r="V105" s="48">
        <f t="shared" si="14"/>
        <v>1.4488000000000001</v>
      </c>
      <c r="W105" s="48">
        <f t="shared" si="15"/>
        <v>1.4488000000000001</v>
      </c>
    </row>
    <row r="106" spans="1:23" x14ac:dyDescent="0.25">
      <c r="A106" s="38" t="s">
        <v>772</v>
      </c>
      <c r="B106" s="47" t="s">
        <v>462</v>
      </c>
      <c r="C106" s="38" t="s">
        <v>483</v>
      </c>
      <c r="D106" s="38" t="s">
        <v>443</v>
      </c>
      <c r="E106" s="38">
        <v>1155</v>
      </c>
      <c r="F106" s="38">
        <v>2</v>
      </c>
      <c r="G106" s="38">
        <v>2</v>
      </c>
      <c r="H106" s="38">
        <v>2.8</v>
      </c>
      <c r="I106" s="38">
        <v>2.8</v>
      </c>
      <c r="J106" s="38">
        <v>64</v>
      </c>
      <c r="K106" s="38">
        <v>256</v>
      </c>
      <c r="L106" s="38">
        <v>3072</v>
      </c>
      <c r="M106" s="38"/>
      <c r="N106" s="47"/>
      <c r="O106" s="47">
        <f t="shared" si="9"/>
        <v>1.1034314575050761</v>
      </c>
      <c r="P106" s="47">
        <f t="shared" si="11"/>
        <v>1</v>
      </c>
      <c r="Q106" s="47">
        <f t="shared" si="16"/>
        <v>1.0580000000000001</v>
      </c>
      <c r="R106" s="47"/>
      <c r="S106" s="48">
        <f t="shared" si="10"/>
        <v>0.69940000000000002</v>
      </c>
      <c r="T106" s="48">
        <f t="shared" si="12"/>
        <v>1.3988</v>
      </c>
      <c r="U106" s="48">
        <f t="shared" si="13"/>
        <v>1.3988</v>
      </c>
      <c r="V106" s="48">
        <f t="shared" si="14"/>
        <v>1.3988</v>
      </c>
      <c r="W106" s="48">
        <f t="shared" si="15"/>
        <v>1.3988</v>
      </c>
    </row>
    <row r="107" spans="1:23" x14ac:dyDescent="0.25">
      <c r="A107" s="38" t="s">
        <v>772</v>
      </c>
      <c r="B107" s="47" t="s">
        <v>446</v>
      </c>
      <c r="C107" s="38" t="s">
        <v>483</v>
      </c>
      <c r="D107" s="38" t="s">
        <v>443</v>
      </c>
      <c r="E107" s="38">
        <v>1155</v>
      </c>
      <c r="F107" s="38">
        <v>2</v>
      </c>
      <c r="G107" s="38">
        <v>2</v>
      </c>
      <c r="H107" s="38">
        <v>2.8</v>
      </c>
      <c r="I107" s="38">
        <v>2.8</v>
      </c>
      <c r="J107" s="38">
        <v>64</v>
      </c>
      <c r="K107" s="38">
        <v>256</v>
      </c>
      <c r="L107" s="38">
        <v>2048</v>
      </c>
      <c r="M107" s="38"/>
      <c r="N107" s="47"/>
      <c r="O107" s="47">
        <f t="shared" si="9"/>
        <v>1.08</v>
      </c>
      <c r="P107" s="47">
        <f t="shared" si="11"/>
        <v>1</v>
      </c>
      <c r="Q107" s="47">
        <f t="shared" si="16"/>
        <v>1.0580000000000001</v>
      </c>
      <c r="R107" s="47"/>
      <c r="S107" s="48">
        <f t="shared" si="10"/>
        <v>0.6845</v>
      </c>
      <c r="T107" s="48">
        <f t="shared" si="12"/>
        <v>1.369</v>
      </c>
      <c r="U107" s="48">
        <f t="shared" si="13"/>
        <v>1.369</v>
      </c>
      <c r="V107" s="48">
        <f t="shared" si="14"/>
        <v>1.369</v>
      </c>
      <c r="W107" s="48">
        <f t="shared" si="15"/>
        <v>1.369</v>
      </c>
    </row>
    <row r="108" spans="1:23" x14ac:dyDescent="0.25">
      <c r="A108" s="38" t="s">
        <v>772</v>
      </c>
      <c r="B108" s="47" t="s">
        <v>445</v>
      </c>
      <c r="C108" s="38" t="s">
        <v>483</v>
      </c>
      <c r="D108" s="38" t="s">
        <v>443</v>
      </c>
      <c r="E108" s="38">
        <v>1155</v>
      </c>
      <c r="F108" s="38">
        <v>2</v>
      </c>
      <c r="G108" s="38">
        <v>2</v>
      </c>
      <c r="H108" s="38">
        <v>2.7</v>
      </c>
      <c r="I108" s="38">
        <v>2.7</v>
      </c>
      <c r="J108" s="38">
        <v>64</v>
      </c>
      <c r="K108" s="38">
        <v>256</v>
      </c>
      <c r="L108" s="38">
        <v>2048</v>
      </c>
      <c r="M108" s="38"/>
      <c r="N108" s="47"/>
      <c r="O108" s="47">
        <f t="shared" si="9"/>
        <v>1.08</v>
      </c>
      <c r="P108" s="47">
        <f t="shared" si="11"/>
        <v>1</v>
      </c>
      <c r="Q108" s="47">
        <f t="shared" si="16"/>
        <v>1.0580000000000001</v>
      </c>
      <c r="R108" s="47"/>
      <c r="S108" s="48">
        <f t="shared" si="10"/>
        <v>0.66010000000000002</v>
      </c>
      <c r="T108" s="48">
        <f t="shared" si="12"/>
        <v>1.3202</v>
      </c>
      <c r="U108" s="48">
        <f t="shared" si="13"/>
        <v>1.3202</v>
      </c>
      <c r="V108" s="48">
        <f t="shared" si="14"/>
        <v>1.3202</v>
      </c>
      <c r="W108" s="48">
        <f t="shared" si="15"/>
        <v>1.3202</v>
      </c>
    </row>
    <row r="109" spans="1:23" x14ac:dyDescent="0.25">
      <c r="A109" s="38" t="s">
        <v>772</v>
      </c>
      <c r="B109" s="47" t="s">
        <v>442</v>
      </c>
      <c r="C109" s="38" t="s">
        <v>483</v>
      </c>
      <c r="D109" s="38" t="s">
        <v>443</v>
      </c>
      <c r="E109" s="38">
        <v>1155</v>
      </c>
      <c r="F109" s="38">
        <v>2</v>
      </c>
      <c r="G109" s="38">
        <v>2</v>
      </c>
      <c r="H109" s="38">
        <v>2.6</v>
      </c>
      <c r="I109" s="38">
        <v>2.6</v>
      </c>
      <c r="J109" s="38">
        <v>64</v>
      </c>
      <c r="K109" s="38">
        <v>256</v>
      </c>
      <c r="L109" s="38">
        <v>2048</v>
      </c>
      <c r="M109" s="38"/>
      <c r="N109" s="47"/>
      <c r="O109" s="47">
        <f t="shared" si="9"/>
        <v>1.08</v>
      </c>
      <c r="P109" s="47">
        <f t="shared" si="11"/>
        <v>1</v>
      </c>
      <c r="Q109" s="47">
        <f>Q110*1.058</f>
        <v>1.0580000000000001</v>
      </c>
      <c r="R109" s="47"/>
      <c r="S109" s="48">
        <f t="shared" si="10"/>
        <v>0.63560000000000005</v>
      </c>
      <c r="T109" s="48">
        <f t="shared" si="12"/>
        <v>1.2712000000000001</v>
      </c>
      <c r="U109" s="48">
        <f t="shared" si="13"/>
        <v>1.2712000000000001</v>
      </c>
      <c r="V109" s="48">
        <f t="shared" si="14"/>
        <v>1.2712000000000001</v>
      </c>
      <c r="W109" s="48">
        <f t="shared" si="15"/>
        <v>1.2712000000000001</v>
      </c>
    </row>
    <row r="110" spans="1:23" x14ac:dyDescent="0.25">
      <c r="A110" s="38" t="s">
        <v>772</v>
      </c>
      <c r="B110" s="47" t="s">
        <v>527</v>
      </c>
      <c r="C110" s="38" t="s">
        <v>483</v>
      </c>
      <c r="D110" s="38" t="s">
        <v>524</v>
      </c>
      <c r="E110" s="38">
        <v>2011</v>
      </c>
      <c r="F110" s="38">
        <v>6</v>
      </c>
      <c r="G110" s="38">
        <v>12</v>
      </c>
      <c r="H110" s="38">
        <v>3.5</v>
      </c>
      <c r="I110" s="38">
        <v>4</v>
      </c>
      <c r="J110" s="38">
        <v>64</v>
      </c>
      <c r="K110" s="38">
        <v>256</v>
      </c>
      <c r="L110" s="38">
        <v>15360</v>
      </c>
      <c r="M110" s="38" t="s">
        <v>749</v>
      </c>
      <c r="N110" s="47"/>
      <c r="O110" s="47">
        <f t="shared" si="9"/>
        <v>1.1591161165235169</v>
      </c>
      <c r="P110" s="47">
        <f t="shared" si="11"/>
        <v>1.46</v>
      </c>
      <c r="Q110" s="47">
        <f t="shared" ref="Q110:Q148" si="17">Q111</f>
        <v>1</v>
      </c>
      <c r="R110" s="47"/>
      <c r="S110" s="48">
        <f t="shared" si="10"/>
        <v>0.86799999999999999</v>
      </c>
      <c r="T110" s="48">
        <f t="shared" si="12"/>
        <v>1.736</v>
      </c>
      <c r="U110" s="48">
        <f t="shared" si="13"/>
        <v>3.472</v>
      </c>
      <c r="V110" s="48">
        <f t="shared" si="14"/>
        <v>6.0065600000000003</v>
      </c>
      <c r="W110" s="48">
        <f t="shared" si="15"/>
        <v>7.6036799999999998</v>
      </c>
    </row>
    <row r="111" spans="1:23" x14ac:dyDescent="0.25">
      <c r="A111" s="38" t="s">
        <v>772</v>
      </c>
      <c r="B111" s="47" t="s">
        <v>526</v>
      </c>
      <c r="C111" s="38" t="s">
        <v>483</v>
      </c>
      <c r="D111" s="38" t="s">
        <v>524</v>
      </c>
      <c r="E111" s="38">
        <v>2011</v>
      </c>
      <c r="F111" s="38">
        <v>6</v>
      </c>
      <c r="G111" s="38">
        <v>12</v>
      </c>
      <c r="H111" s="38">
        <v>3.3</v>
      </c>
      <c r="I111" s="38">
        <v>3.9</v>
      </c>
      <c r="J111" s="38">
        <v>64</v>
      </c>
      <c r="K111" s="38">
        <v>256</v>
      </c>
      <c r="L111" s="38">
        <v>15360</v>
      </c>
      <c r="M111" s="38" t="s">
        <v>749</v>
      </c>
      <c r="N111" s="47"/>
      <c r="O111" s="47">
        <f t="shared" si="9"/>
        <v>1.1591161165235169</v>
      </c>
      <c r="P111" s="47">
        <f t="shared" si="11"/>
        <v>1.46</v>
      </c>
      <c r="Q111" s="47">
        <f t="shared" si="17"/>
        <v>1</v>
      </c>
      <c r="R111" s="47"/>
      <c r="S111" s="48">
        <f t="shared" si="10"/>
        <v>0.81840000000000002</v>
      </c>
      <c r="T111" s="48">
        <f t="shared" si="12"/>
        <v>1.6368</v>
      </c>
      <c r="U111" s="48">
        <f t="shared" si="13"/>
        <v>3.2736000000000001</v>
      </c>
      <c r="V111" s="48">
        <f t="shared" si="14"/>
        <v>5.6633279999999999</v>
      </c>
      <c r="W111" s="48">
        <f t="shared" si="15"/>
        <v>7.1691839999999996</v>
      </c>
    </row>
    <row r="112" spans="1:23" x14ac:dyDescent="0.25">
      <c r="A112" s="38" t="s">
        <v>772</v>
      </c>
      <c r="B112" s="47" t="s">
        <v>525</v>
      </c>
      <c r="C112" s="38" t="s">
        <v>483</v>
      </c>
      <c r="D112" s="38" t="s">
        <v>524</v>
      </c>
      <c r="E112" s="38">
        <v>2011</v>
      </c>
      <c r="F112" s="38">
        <v>6</v>
      </c>
      <c r="G112" s="38">
        <v>12</v>
      </c>
      <c r="H112" s="38">
        <v>3.2</v>
      </c>
      <c r="I112" s="38">
        <v>3.8</v>
      </c>
      <c r="J112" s="38">
        <v>64</v>
      </c>
      <c r="K112" s="38">
        <v>256</v>
      </c>
      <c r="L112" s="38">
        <v>12288</v>
      </c>
      <c r="M112" s="38" t="s">
        <v>749</v>
      </c>
      <c r="N112" s="47"/>
      <c r="O112" s="47">
        <f t="shared" si="9"/>
        <v>1.1575</v>
      </c>
      <c r="P112" s="47">
        <f t="shared" si="11"/>
        <v>1.46</v>
      </c>
      <c r="Q112" s="47">
        <f t="shared" si="17"/>
        <v>1</v>
      </c>
      <c r="R112" s="47"/>
      <c r="S112" s="48">
        <f t="shared" si="10"/>
        <v>0.79250000000000009</v>
      </c>
      <c r="T112" s="48">
        <f t="shared" si="12"/>
        <v>1.5850000000000002</v>
      </c>
      <c r="U112" s="48">
        <f t="shared" si="13"/>
        <v>3.1700000000000004</v>
      </c>
      <c r="V112" s="48">
        <f t="shared" si="14"/>
        <v>5.4841000000000006</v>
      </c>
      <c r="W112" s="48">
        <f t="shared" si="15"/>
        <v>6.9423000000000004</v>
      </c>
    </row>
    <row r="113" spans="1:23" x14ac:dyDescent="0.25">
      <c r="A113" s="38" t="s">
        <v>772</v>
      </c>
      <c r="B113" s="47" t="s">
        <v>523</v>
      </c>
      <c r="C113" s="38" t="s">
        <v>483</v>
      </c>
      <c r="D113" s="38" t="s">
        <v>524</v>
      </c>
      <c r="E113" s="38">
        <v>2011</v>
      </c>
      <c r="F113" s="38">
        <v>4</v>
      </c>
      <c r="G113" s="38">
        <v>8</v>
      </c>
      <c r="H113" s="38">
        <v>3.6</v>
      </c>
      <c r="I113" s="38">
        <v>3.8</v>
      </c>
      <c r="J113" s="38">
        <v>64</v>
      </c>
      <c r="K113" s="38">
        <v>256</v>
      </c>
      <c r="L113" s="38">
        <v>10240</v>
      </c>
      <c r="M113" s="38" t="s">
        <v>749</v>
      </c>
      <c r="N113" s="47"/>
      <c r="O113" s="47">
        <f t="shared" si="9"/>
        <v>1.155</v>
      </c>
      <c r="P113" s="47">
        <f t="shared" si="11"/>
        <v>1.46</v>
      </c>
      <c r="Q113" s="47">
        <f t="shared" si="17"/>
        <v>1</v>
      </c>
      <c r="R113" s="47"/>
      <c r="S113" s="48">
        <f t="shared" si="10"/>
        <v>0.88970000000000005</v>
      </c>
      <c r="T113" s="48">
        <f t="shared" si="12"/>
        <v>1.7794000000000001</v>
      </c>
      <c r="U113" s="48">
        <f t="shared" si="13"/>
        <v>3.5588000000000002</v>
      </c>
      <c r="V113" s="48">
        <f t="shared" si="14"/>
        <v>5.1958479999999998</v>
      </c>
      <c r="W113" s="48">
        <f t="shared" si="15"/>
        <v>5.1958479999999998</v>
      </c>
    </row>
    <row r="114" spans="1:23" x14ac:dyDescent="0.25">
      <c r="A114" s="38" t="s">
        <v>772</v>
      </c>
      <c r="B114" s="47" t="s">
        <v>500</v>
      </c>
      <c r="C114" s="38" t="s">
        <v>483</v>
      </c>
      <c r="D114" s="38" t="s">
        <v>483</v>
      </c>
      <c r="E114" s="38">
        <v>1155</v>
      </c>
      <c r="F114" s="38">
        <v>4</v>
      </c>
      <c r="G114" s="38">
        <v>8</v>
      </c>
      <c r="H114" s="38">
        <v>3.5</v>
      </c>
      <c r="I114" s="38">
        <v>3.9</v>
      </c>
      <c r="J114" s="38">
        <v>64</v>
      </c>
      <c r="K114" s="38">
        <v>256</v>
      </c>
      <c r="L114" s="38">
        <v>8192</v>
      </c>
      <c r="M114" s="38" t="s">
        <v>749</v>
      </c>
      <c r="N114" s="47"/>
      <c r="O114" s="47">
        <f t="shared" si="9"/>
        <v>1.1499999999999999</v>
      </c>
      <c r="P114" s="47">
        <f t="shared" si="11"/>
        <v>1.46</v>
      </c>
      <c r="Q114" s="47">
        <f t="shared" si="17"/>
        <v>1</v>
      </c>
      <c r="R114" s="47"/>
      <c r="S114" s="48">
        <f t="shared" si="10"/>
        <v>0.86120000000000008</v>
      </c>
      <c r="T114" s="48">
        <f t="shared" si="12"/>
        <v>1.7224000000000002</v>
      </c>
      <c r="U114" s="48">
        <f t="shared" si="13"/>
        <v>3.4448000000000003</v>
      </c>
      <c r="V114" s="48">
        <f t="shared" si="14"/>
        <v>5.0294080000000001</v>
      </c>
      <c r="W114" s="48">
        <f t="shared" si="15"/>
        <v>5.0294080000000001</v>
      </c>
    </row>
    <row r="115" spans="1:23" x14ac:dyDescent="0.25">
      <c r="A115" s="38" t="s">
        <v>772</v>
      </c>
      <c r="B115" s="47" t="s">
        <v>499</v>
      </c>
      <c r="C115" s="38" t="s">
        <v>483</v>
      </c>
      <c r="D115" s="38" t="s">
        <v>483</v>
      </c>
      <c r="E115" s="38">
        <v>1155</v>
      </c>
      <c r="F115" s="38">
        <v>4</v>
      </c>
      <c r="G115" s="38">
        <v>8</v>
      </c>
      <c r="H115" s="38">
        <v>3.4</v>
      </c>
      <c r="I115" s="38">
        <v>3.8</v>
      </c>
      <c r="J115" s="38">
        <v>64</v>
      </c>
      <c r="K115" s="38">
        <v>256</v>
      </c>
      <c r="L115" s="38">
        <v>8192</v>
      </c>
      <c r="M115" s="38" t="s">
        <v>749</v>
      </c>
      <c r="N115" s="47"/>
      <c r="O115" s="47">
        <f t="shared" si="9"/>
        <v>1.1499999999999999</v>
      </c>
      <c r="P115" s="47">
        <f t="shared" si="11"/>
        <v>1.46</v>
      </c>
      <c r="Q115" s="47">
        <f t="shared" si="17"/>
        <v>1</v>
      </c>
      <c r="R115" s="47"/>
      <c r="S115" s="48">
        <f t="shared" si="10"/>
        <v>0.83660000000000001</v>
      </c>
      <c r="T115" s="48">
        <f t="shared" si="12"/>
        <v>1.6732</v>
      </c>
      <c r="U115" s="48">
        <f t="shared" si="13"/>
        <v>3.3464</v>
      </c>
      <c r="V115" s="48">
        <f t="shared" si="14"/>
        <v>4.8857439999999999</v>
      </c>
      <c r="W115" s="48">
        <f t="shared" si="15"/>
        <v>4.8857439999999999</v>
      </c>
    </row>
    <row r="116" spans="1:23" x14ac:dyDescent="0.25">
      <c r="A116" s="38" t="s">
        <v>772</v>
      </c>
      <c r="B116" s="47" t="s">
        <v>498</v>
      </c>
      <c r="C116" s="38" t="s">
        <v>483</v>
      </c>
      <c r="D116" s="38" t="s">
        <v>483</v>
      </c>
      <c r="E116" s="38">
        <v>1155</v>
      </c>
      <c r="F116" s="38">
        <v>4</v>
      </c>
      <c r="G116" s="38">
        <v>8</v>
      </c>
      <c r="H116" s="38">
        <v>3.4</v>
      </c>
      <c r="I116" s="38">
        <v>3.8</v>
      </c>
      <c r="J116" s="38">
        <v>64</v>
      </c>
      <c r="K116" s="38">
        <v>256</v>
      </c>
      <c r="L116" s="38">
        <v>8192</v>
      </c>
      <c r="M116" s="38" t="s">
        <v>749</v>
      </c>
      <c r="N116" s="47"/>
      <c r="O116" s="47">
        <f t="shared" si="9"/>
        <v>1.1499999999999999</v>
      </c>
      <c r="P116" s="47">
        <f t="shared" si="11"/>
        <v>1.46</v>
      </c>
      <c r="Q116" s="47">
        <f t="shared" si="17"/>
        <v>1</v>
      </c>
      <c r="R116" s="47"/>
      <c r="S116" s="48">
        <f t="shared" si="10"/>
        <v>0.83660000000000001</v>
      </c>
      <c r="T116" s="48">
        <f t="shared" si="12"/>
        <v>1.6732</v>
      </c>
      <c r="U116" s="48">
        <f t="shared" si="13"/>
        <v>3.3464</v>
      </c>
      <c r="V116" s="48">
        <f t="shared" si="14"/>
        <v>4.8857439999999999</v>
      </c>
      <c r="W116" s="48">
        <f t="shared" si="15"/>
        <v>4.8857439999999999</v>
      </c>
    </row>
    <row r="117" spans="1:23" x14ac:dyDescent="0.25">
      <c r="A117" s="38" t="s">
        <v>772</v>
      </c>
      <c r="B117" s="47" t="s">
        <v>522</v>
      </c>
      <c r="C117" s="38" t="s">
        <v>483</v>
      </c>
      <c r="D117" s="38" t="s">
        <v>483</v>
      </c>
      <c r="E117" s="38">
        <v>1155</v>
      </c>
      <c r="F117" s="38">
        <v>4</v>
      </c>
      <c r="G117" s="38">
        <v>8</v>
      </c>
      <c r="H117" s="38">
        <v>3.6</v>
      </c>
      <c r="I117" s="38">
        <v>4</v>
      </c>
      <c r="J117" s="38">
        <v>64</v>
      </c>
      <c r="K117" s="38">
        <v>256</v>
      </c>
      <c r="L117" s="38">
        <v>8192</v>
      </c>
      <c r="M117" s="38" t="s">
        <v>749</v>
      </c>
      <c r="N117" s="47"/>
      <c r="O117" s="47">
        <f t="shared" si="9"/>
        <v>1.1499999999999999</v>
      </c>
      <c r="P117" s="47">
        <f t="shared" si="11"/>
        <v>1.46</v>
      </c>
      <c r="Q117" s="47">
        <f t="shared" si="17"/>
        <v>1</v>
      </c>
      <c r="R117" s="47"/>
      <c r="S117" s="48">
        <f t="shared" si="10"/>
        <v>0.88580000000000003</v>
      </c>
      <c r="T117" s="48">
        <f t="shared" si="12"/>
        <v>1.7716000000000001</v>
      </c>
      <c r="U117" s="48">
        <f t="shared" si="13"/>
        <v>3.5432000000000001</v>
      </c>
      <c r="V117" s="48">
        <f t="shared" si="14"/>
        <v>5.1730720000000003</v>
      </c>
      <c r="W117" s="48">
        <f t="shared" si="15"/>
        <v>5.1730720000000003</v>
      </c>
    </row>
    <row r="118" spans="1:23" x14ac:dyDescent="0.25">
      <c r="A118" s="38" t="s">
        <v>772</v>
      </c>
      <c r="B118" s="47" t="s">
        <v>521</v>
      </c>
      <c r="C118" s="38" t="s">
        <v>483</v>
      </c>
      <c r="D118" s="38" t="s">
        <v>483</v>
      </c>
      <c r="E118" s="38">
        <v>1155</v>
      </c>
      <c r="F118" s="38">
        <v>4</v>
      </c>
      <c r="G118" s="38">
        <v>8</v>
      </c>
      <c r="H118" s="38">
        <v>3.5</v>
      </c>
      <c r="I118" s="38">
        <v>3.9</v>
      </c>
      <c r="J118" s="38">
        <v>64</v>
      </c>
      <c r="K118" s="38">
        <v>256</v>
      </c>
      <c r="L118" s="38">
        <v>8192</v>
      </c>
      <c r="M118" s="38" t="s">
        <v>749</v>
      </c>
      <c r="N118" s="47"/>
      <c r="O118" s="47">
        <f t="shared" si="9"/>
        <v>1.1499999999999999</v>
      </c>
      <c r="P118" s="47">
        <f t="shared" si="11"/>
        <v>1.46</v>
      </c>
      <c r="Q118" s="47">
        <f t="shared" si="17"/>
        <v>1</v>
      </c>
      <c r="R118" s="47"/>
      <c r="S118" s="48">
        <f t="shared" si="10"/>
        <v>0.86120000000000008</v>
      </c>
      <c r="T118" s="48">
        <f t="shared" si="12"/>
        <v>1.7224000000000002</v>
      </c>
      <c r="U118" s="48">
        <f t="shared" si="13"/>
        <v>3.4448000000000003</v>
      </c>
      <c r="V118" s="48">
        <f t="shared" si="14"/>
        <v>5.0294080000000001</v>
      </c>
      <c r="W118" s="48">
        <f t="shared" si="15"/>
        <v>5.0294080000000001</v>
      </c>
    </row>
    <row r="119" spans="1:23" x14ac:dyDescent="0.25">
      <c r="A119" s="38" t="s">
        <v>772</v>
      </c>
      <c r="B119" s="47" t="s">
        <v>520</v>
      </c>
      <c r="C119" s="38" t="s">
        <v>483</v>
      </c>
      <c r="D119" s="38" t="s">
        <v>483</v>
      </c>
      <c r="E119" s="38">
        <v>1155</v>
      </c>
      <c r="F119" s="38">
        <v>4</v>
      </c>
      <c r="G119" s="38">
        <v>8</v>
      </c>
      <c r="H119" s="38">
        <v>3.4</v>
      </c>
      <c r="I119" s="38">
        <v>3.8</v>
      </c>
      <c r="J119" s="38">
        <v>64</v>
      </c>
      <c r="K119" s="38">
        <v>256</v>
      </c>
      <c r="L119" s="38">
        <v>8192</v>
      </c>
      <c r="M119" s="38" t="s">
        <v>749</v>
      </c>
      <c r="N119" s="47"/>
      <c r="O119" s="47">
        <f t="shared" si="9"/>
        <v>1.1499999999999999</v>
      </c>
      <c r="P119" s="47">
        <f t="shared" si="11"/>
        <v>1.46</v>
      </c>
      <c r="Q119" s="47">
        <f t="shared" si="17"/>
        <v>1</v>
      </c>
      <c r="R119" s="47"/>
      <c r="S119" s="48">
        <f t="shared" si="10"/>
        <v>0.83660000000000001</v>
      </c>
      <c r="T119" s="48">
        <f t="shared" si="12"/>
        <v>1.6732</v>
      </c>
      <c r="U119" s="48">
        <f t="shared" si="13"/>
        <v>3.3464</v>
      </c>
      <c r="V119" s="48">
        <f t="shared" si="14"/>
        <v>4.8857439999999999</v>
      </c>
      <c r="W119" s="48">
        <f t="shared" si="15"/>
        <v>4.8857439999999999</v>
      </c>
    </row>
    <row r="120" spans="1:23" x14ac:dyDescent="0.25">
      <c r="A120" s="38" t="s">
        <v>772</v>
      </c>
      <c r="B120" s="47" t="s">
        <v>519</v>
      </c>
      <c r="C120" s="38" t="s">
        <v>483</v>
      </c>
      <c r="D120" s="38" t="s">
        <v>483</v>
      </c>
      <c r="E120" s="38">
        <v>1155</v>
      </c>
      <c r="F120" s="38">
        <v>4</v>
      </c>
      <c r="G120" s="38">
        <v>8</v>
      </c>
      <c r="H120" s="38">
        <v>3.4</v>
      </c>
      <c r="I120" s="38">
        <v>3.8</v>
      </c>
      <c r="J120" s="38">
        <v>64</v>
      </c>
      <c r="K120" s="38">
        <v>256</v>
      </c>
      <c r="L120" s="38">
        <v>8192</v>
      </c>
      <c r="M120" s="38" t="s">
        <v>749</v>
      </c>
      <c r="N120" s="47"/>
      <c r="O120" s="47">
        <f t="shared" si="9"/>
        <v>1.1499999999999999</v>
      </c>
      <c r="P120" s="47">
        <f t="shared" si="11"/>
        <v>1.46</v>
      </c>
      <c r="Q120" s="47">
        <f t="shared" si="17"/>
        <v>1</v>
      </c>
      <c r="R120" s="47"/>
      <c r="S120" s="48">
        <f t="shared" si="10"/>
        <v>0.83660000000000001</v>
      </c>
      <c r="T120" s="48">
        <f t="shared" si="12"/>
        <v>1.6732</v>
      </c>
      <c r="U120" s="48">
        <f t="shared" si="13"/>
        <v>3.3464</v>
      </c>
      <c r="V120" s="48">
        <f t="shared" si="14"/>
        <v>4.8857439999999999</v>
      </c>
      <c r="W120" s="48">
        <f t="shared" si="15"/>
        <v>4.8857439999999999</v>
      </c>
    </row>
    <row r="121" spans="1:23" x14ac:dyDescent="0.25">
      <c r="A121" s="38" t="s">
        <v>772</v>
      </c>
      <c r="B121" s="47" t="s">
        <v>518</v>
      </c>
      <c r="C121" s="38" t="s">
        <v>483</v>
      </c>
      <c r="D121" s="38" t="s">
        <v>483</v>
      </c>
      <c r="E121" s="38">
        <v>1155</v>
      </c>
      <c r="F121" s="38">
        <v>4</v>
      </c>
      <c r="G121" s="38">
        <v>8</v>
      </c>
      <c r="H121" s="38">
        <v>3.3</v>
      </c>
      <c r="I121" s="38">
        <v>3.7</v>
      </c>
      <c r="J121" s="38">
        <v>64</v>
      </c>
      <c r="K121" s="38">
        <v>256</v>
      </c>
      <c r="L121" s="38">
        <v>8192</v>
      </c>
      <c r="M121" s="38" t="s">
        <v>749</v>
      </c>
      <c r="N121" s="47"/>
      <c r="O121" s="47">
        <f t="shared" si="9"/>
        <v>1.1499999999999999</v>
      </c>
      <c r="P121" s="47">
        <f t="shared" si="11"/>
        <v>1.46</v>
      </c>
      <c r="Q121" s="47">
        <f t="shared" si="17"/>
        <v>1</v>
      </c>
      <c r="R121" s="47"/>
      <c r="S121" s="48">
        <f t="shared" si="10"/>
        <v>0.81200000000000006</v>
      </c>
      <c r="T121" s="48">
        <f t="shared" si="12"/>
        <v>1.6240000000000001</v>
      </c>
      <c r="U121" s="48">
        <f t="shared" si="13"/>
        <v>3.2480000000000002</v>
      </c>
      <c r="V121" s="48">
        <f t="shared" si="14"/>
        <v>4.7420800000000005</v>
      </c>
      <c r="W121" s="48">
        <f t="shared" si="15"/>
        <v>4.7420800000000005</v>
      </c>
    </row>
    <row r="122" spans="1:23" x14ac:dyDescent="0.25">
      <c r="A122" s="38" t="s">
        <v>772</v>
      </c>
      <c r="B122" s="47" t="s">
        <v>517</v>
      </c>
      <c r="C122" s="38" t="s">
        <v>483</v>
      </c>
      <c r="D122" s="38" t="s">
        <v>483</v>
      </c>
      <c r="E122" s="38">
        <v>1155</v>
      </c>
      <c r="F122" s="38">
        <v>4</v>
      </c>
      <c r="G122" s="38">
        <v>8</v>
      </c>
      <c r="H122" s="38">
        <v>3.3</v>
      </c>
      <c r="I122" s="38">
        <v>3.7</v>
      </c>
      <c r="J122" s="38">
        <v>64</v>
      </c>
      <c r="K122" s="38">
        <v>256</v>
      </c>
      <c r="L122" s="38">
        <v>8192</v>
      </c>
      <c r="M122" s="38" t="s">
        <v>749</v>
      </c>
      <c r="N122" s="47"/>
      <c r="O122" s="47">
        <f t="shared" si="9"/>
        <v>1.1499999999999999</v>
      </c>
      <c r="P122" s="47">
        <f t="shared" si="11"/>
        <v>1.46</v>
      </c>
      <c r="Q122" s="47">
        <f t="shared" si="17"/>
        <v>1</v>
      </c>
      <c r="R122" s="47"/>
      <c r="S122" s="48">
        <f t="shared" si="10"/>
        <v>0.81200000000000006</v>
      </c>
      <c r="T122" s="48">
        <f t="shared" si="12"/>
        <v>1.6240000000000001</v>
      </c>
      <c r="U122" s="48">
        <f t="shared" si="13"/>
        <v>3.2480000000000002</v>
      </c>
      <c r="V122" s="48">
        <f t="shared" si="14"/>
        <v>4.7420800000000005</v>
      </c>
      <c r="W122" s="48">
        <f t="shared" si="15"/>
        <v>4.7420800000000005</v>
      </c>
    </row>
    <row r="123" spans="1:23" x14ac:dyDescent="0.25">
      <c r="A123" s="38" t="s">
        <v>772</v>
      </c>
      <c r="B123" s="47" t="s">
        <v>516</v>
      </c>
      <c r="C123" s="38" t="s">
        <v>483</v>
      </c>
      <c r="D123" s="38" t="s">
        <v>483</v>
      </c>
      <c r="E123" s="38">
        <v>1155</v>
      </c>
      <c r="F123" s="38">
        <v>4</v>
      </c>
      <c r="G123" s="38">
        <v>8</v>
      </c>
      <c r="H123" s="38">
        <v>3.2</v>
      </c>
      <c r="I123" s="38">
        <v>3.6</v>
      </c>
      <c r="J123" s="38">
        <v>64</v>
      </c>
      <c r="K123" s="38">
        <v>256</v>
      </c>
      <c r="L123" s="38">
        <v>8192</v>
      </c>
      <c r="M123" s="38" t="s">
        <v>749</v>
      </c>
      <c r="N123" s="47"/>
      <c r="O123" s="47">
        <f t="shared" si="9"/>
        <v>1.1499999999999999</v>
      </c>
      <c r="P123" s="47">
        <f t="shared" si="11"/>
        <v>1.46</v>
      </c>
      <c r="Q123" s="47">
        <f t="shared" si="17"/>
        <v>1</v>
      </c>
      <c r="R123" s="47"/>
      <c r="S123" s="48">
        <f t="shared" si="10"/>
        <v>0.78739999999999999</v>
      </c>
      <c r="T123" s="48">
        <f t="shared" si="12"/>
        <v>1.5748</v>
      </c>
      <c r="U123" s="48">
        <f t="shared" si="13"/>
        <v>3.1496</v>
      </c>
      <c r="V123" s="48">
        <f t="shared" si="14"/>
        <v>4.5984159999999994</v>
      </c>
      <c r="W123" s="48">
        <f t="shared" si="15"/>
        <v>4.5984159999999994</v>
      </c>
    </row>
    <row r="124" spans="1:23" x14ac:dyDescent="0.25">
      <c r="A124" s="38" t="s">
        <v>772</v>
      </c>
      <c r="B124" s="47" t="s">
        <v>515</v>
      </c>
      <c r="C124" s="38" t="s">
        <v>483</v>
      </c>
      <c r="D124" s="38" t="s">
        <v>483</v>
      </c>
      <c r="E124" s="38">
        <v>1155</v>
      </c>
      <c r="F124" s="38">
        <v>4</v>
      </c>
      <c r="G124" s="38">
        <v>8</v>
      </c>
      <c r="H124" s="38">
        <v>3.2</v>
      </c>
      <c r="I124" s="38">
        <v>3.6</v>
      </c>
      <c r="J124" s="38">
        <v>64</v>
      </c>
      <c r="K124" s="38">
        <v>256</v>
      </c>
      <c r="L124" s="38">
        <v>8192</v>
      </c>
      <c r="M124" s="38" t="s">
        <v>749</v>
      </c>
      <c r="N124" s="47"/>
      <c r="O124" s="47">
        <f t="shared" si="9"/>
        <v>1.1499999999999999</v>
      </c>
      <c r="P124" s="47">
        <f t="shared" si="11"/>
        <v>1.46</v>
      </c>
      <c r="Q124" s="47">
        <f t="shared" si="17"/>
        <v>1</v>
      </c>
      <c r="R124" s="47"/>
      <c r="S124" s="48">
        <f t="shared" si="10"/>
        <v>0.78739999999999999</v>
      </c>
      <c r="T124" s="48">
        <f t="shared" si="12"/>
        <v>1.5748</v>
      </c>
      <c r="U124" s="48">
        <f t="shared" si="13"/>
        <v>3.1496</v>
      </c>
      <c r="V124" s="48">
        <f t="shared" si="14"/>
        <v>4.5984159999999994</v>
      </c>
      <c r="W124" s="48">
        <f t="shared" si="15"/>
        <v>4.5984159999999994</v>
      </c>
    </row>
    <row r="125" spans="1:23" x14ac:dyDescent="0.25">
      <c r="A125" s="38" t="s">
        <v>772</v>
      </c>
      <c r="B125" s="47" t="s">
        <v>513</v>
      </c>
      <c r="C125" s="38" t="s">
        <v>483</v>
      </c>
      <c r="D125" s="38" t="s">
        <v>483</v>
      </c>
      <c r="E125" s="38">
        <v>1155</v>
      </c>
      <c r="F125" s="38">
        <v>4</v>
      </c>
      <c r="G125" s="38">
        <v>8</v>
      </c>
      <c r="H125" s="38">
        <v>3.1</v>
      </c>
      <c r="I125" s="38">
        <v>3.4</v>
      </c>
      <c r="J125" s="38">
        <v>64</v>
      </c>
      <c r="K125" s="38">
        <v>256</v>
      </c>
      <c r="L125" s="38">
        <v>6144</v>
      </c>
      <c r="M125" s="38" t="s">
        <v>749</v>
      </c>
      <c r="N125" s="47"/>
      <c r="O125" s="47">
        <f t="shared" si="9"/>
        <v>1.1400000000000001</v>
      </c>
      <c r="P125" s="47">
        <f t="shared" si="11"/>
        <v>1.46</v>
      </c>
      <c r="Q125" s="47">
        <f t="shared" si="17"/>
        <v>1</v>
      </c>
      <c r="R125" s="47"/>
      <c r="S125" s="48">
        <f t="shared" si="10"/>
        <v>0.75609999999999999</v>
      </c>
      <c r="T125" s="48">
        <f t="shared" si="12"/>
        <v>1.5122</v>
      </c>
      <c r="U125" s="48">
        <f t="shared" si="13"/>
        <v>3.0244</v>
      </c>
      <c r="V125" s="48">
        <f t="shared" si="14"/>
        <v>4.4156240000000002</v>
      </c>
      <c r="W125" s="48">
        <f t="shared" si="15"/>
        <v>4.4156240000000002</v>
      </c>
    </row>
    <row r="126" spans="1:23" x14ac:dyDescent="0.25">
      <c r="A126" s="38" t="s">
        <v>772</v>
      </c>
      <c r="B126" s="47" t="s">
        <v>512</v>
      </c>
      <c r="C126" s="38" t="s">
        <v>483</v>
      </c>
      <c r="D126" s="38" t="s">
        <v>483</v>
      </c>
      <c r="E126" s="38">
        <v>1155</v>
      </c>
      <c r="F126" s="38">
        <v>4</v>
      </c>
      <c r="G126" s="38">
        <v>8</v>
      </c>
      <c r="H126" s="38">
        <v>3.1</v>
      </c>
      <c r="I126" s="38">
        <v>3.4</v>
      </c>
      <c r="J126" s="38">
        <v>64</v>
      </c>
      <c r="K126" s="38">
        <v>256</v>
      </c>
      <c r="L126" s="38">
        <v>8192</v>
      </c>
      <c r="M126" s="38" t="s">
        <v>749</v>
      </c>
      <c r="N126" s="47"/>
      <c r="O126" s="47">
        <f t="shared" si="9"/>
        <v>1.1499999999999999</v>
      </c>
      <c r="P126" s="47">
        <f t="shared" si="11"/>
        <v>1.46</v>
      </c>
      <c r="Q126" s="47">
        <f t="shared" si="17"/>
        <v>1</v>
      </c>
      <c r="R126" s="47"/>
      <c r="S126" s="48">
        <f t="shared" si="10"/>
        <v>0.76280000000000003</v>
      </c>
      <c r="T126" s="48">
        <f t="shared" si="12"/>
        <v>1.5256000000000001</v>
      </c>
      <c r="U126" s="48">
        <f t="shared" si="13"/>
        <v>3.0512000000000001</v>
      </c>
      <c r="V126" s="48">
        <f t="shared" si="14"/>
        <v>4.454752</v>
      </c>
      <c r="W126" s="48">
        <f t="shared" si="15"/>
        <v>4.454752</v>
      </c>
    </row>
    <row r="127" spans="1:23" x14ac:dyDescent="0.25">
      <c r="A127" s="38" t="s">
        <v>772</v>
      </c>
      <c r="B127" s="47" t="s">
        <v>497</v>
      </c>
      <c r="C127" s="38" t="s">
        <v>483</v>
      </c>
      <c r="D127" s="38" t="s">
        <v>483</v>
      </c>
      <c r="E127" s="38">
        <v>1155</v>
      </c>
      <c r="F127" s="38">
        <v>4</v>
      </c>
      <c r="G127" s="38">
        <v>4</v>
      </c>
      <c r="H127" s="38">
        <v>3.4</v>
      </c>
      <c r="I127" s="38">
        <v>3.8</v>
      </c>
      <c r="J127" s="38">
        <v>64</v>
      </c>
      <c r="K127" s="38">
        <v>256</v>
      </c>
      <c r="L127" s="38">
        <v>6144</v>
      </c>
      <c r="M127" s="38"/>
      <c r="N127" s="47"/>
      <c r="O127" s="47">
        <f t="shared" si="9"/>
        <v>1.1400000000000001</v>
      </c>
      <c r="P127" s="47">
        <f t="shared" si="11"/>
        <v>1</v>
      </c>
      <c r="Q127" s="47">
        <f t="shared" si="17"/>
        <v>1</v>
      </c>
      <c r="R127" s="47"/>
      <c r="S127" s="48">
        <f t="shared" si="10"/>
        <v>0.82930000000000004</v>
      </c>
      <c r="T127" s="48">
        <f t="shared" si="12"/>
        <v>1.6586000000000001</v>
      </c>
      <c r="U127" s="48">
        <f t="shared" si="13"/>
        <v>3.3172000000000001</v>
      </c>
      <c r="V127" s="48">
        <f t="shared" si="14"/>
        <v>3.3172000000000001</v>
      </c>
      <c r="W127" s="48">
        <f t="shared" si="15"/>
        <v>3.3172000000000001</v>
      </c>
    </row>
    <row r="128" spans="1:23" x14ac:dyDescent="0.25">
      <c r="A128" s="38" t="s">
        <v>772</v>
      </c>
      <c r="B128" s="47" t="s">
        <v>496</v>
      </c>
      <c r="C128" s="38" t="s">
        <v>483</v>
      </c>
      <c r="D128" s="38" t="s">
        <v>483</v>
      </c>
      <c r="E128" s="38">
        <v>1155</v>
      </c>
      <c r="F128" s="38">
        <v>4</v>
      </c>
      <c r="G128" s="38">
        <v>4</v>
      </c>
      <c r="H128" s="38">
        <v>3.3</v>
      </c>
      <c r="I128" s="38">
        <v>3.7</v>
      </c>
      <c r="J128" s="38">
        <v>64</v>
      </c>
      <c r="K128" s="38">
        <v>256</v>
      </c>
      <c r="L128" s="38">
        <v>6144</v>
      </c>
      <c r="M128" s="38"/>
      <c r="N128" s="47"/>
      <c r="O128" s="47">
        <f t="shared" si="9"/>
        <v>1.1400000000000001</v>
      </c>
      <c r="P128" s="47">
        <f t="shared" si="11"/>
        <v>1</v>
      </c>
      <c r="Q128" s="47">
        <f t="shared" si="17"/>
        <v>1</v>
      </c>
      <c r="R128" s="47"/>
      <c r="S128" s="48">
        <f t="shared" si="10"/>
        <v>0.80490000000000006</v>
      </c>
      <c r="T128" s="48">
        <f t="shared" si="12"/>
        <v>1.6098000000000001</v>
      </c>
      <c r="U128" s="48">
        <f t="shared" si="13"/>
        <v>3.2196000000000002</v>
      </c>
      <c r="V128" s="48">
        <f t="shared" si="14"/>
        <v>3.2196000000000002</v>
      </c>
      <c r="W128" s="48">
        <f t="shared" si="15"/>
        <v>3.2196000000000002</v>
      </c>
    </row>
    <row r="129" spans="1:23" x14ac:dyDescent="0.25">
      <c r="A129" s="38" t="s">
        <v>772</v>
      </c>
      <c r="B129" s="47" t="s">
        <v>495</v>
      </c>
      <c r="C129" s="38" t="s">
        <v>483</v>
      </c>
      <c r="D129" s="38" t="s">
        <v>483</v>
      </c>
      <c r="E129" s="38">
        <v>1155</v>
      </c>
      <c r="F129" s="38">
        <v>4</v>
      </c>
      <c r="G129" s="38">
        <v>4</v>
      </c>
      <c r="H129" s="38">
        <v>3.3</v>
      </c>
      <c r="I129" s="38">
        <v>3.7</v>
      </c>
      <c r="J129" s="38">
        <v>64</v>
      </c>
      <c r="K129" s="38">
        <v>256</v>
      </c>
      <c r="L129" s="38">
        <v>6144</v>
      </c>
      <c r="M129" s="38"/>
      <c r="N129" s="47"/>
      <c r="O129" s="47">
        <f t="shared" si="9"/>
        <v>1.1400000000000001</v>
      </c>
      <c r="P129" s="47">
        <f t="shared" si="11"/>
        <v>1</v>
      </c>
      <c r="Q129" s="47">
        <f t="shared" si="17"/>
        <v>1</v>
      </c>
      <c r="R129" s="47"/>
      <c r="S129" s="48">
        <f t="shared" si="10"/>
        <v>0.80490000000000006</v>
      </c>
      <c r="T129" s="48">
        <f t="shared" si="12"/>
        <v>1.6098000000000001</v>
      </c>
      <c r="U129" s="48">
        <f t="shared" si="13"/>
        <v>3.2196000000000002</v>
      </c>
      <c r="V129" s="48">
        <f t="shared" si="14"/>
        <v>3.2196000000000002</v>
      </c>
      <c r="W129" s="48">
        <f t="shared" si="15"/>
        <v>3.2196000000000002</v>
      </c>
    </row>
    <row r="130" spans="1:23" x14ac:dyDescent="0.25">
      <c r="A130" s="38" t="s">
        <v>772</v>
      </c>
      <c r="B130" s="47" t="s">
        <v>494</v>
      </c>
      <c r="C130" s="38" t="s">
        <v>483</v>
      </c>
      <c r="D130" s="38" t="s">
        <v>483</v>
      </c>
      <c r="E130" s="38">
        <v>1155</v>
      </c>
      <c r="F130" s="38">
        <v>4</v>
      </c>
      <c r="G130" s="38">
        <v>4</v>
      </c>
      <c r="H130" s="38">
        <v>3.1</v>
      </c>
      <c r="I130" s="38">
        <v>3.4</v>
      </c>
      <c r="J130" s="38">
        <v>64</v>
      </c>
      <c r="K130" s="38">
        <v>256</v>
      </c>
      <c r="L130" s="38">
        <v>6144</v>
      </c>
      <c r="M130" s="38"/>
      <c r="N130" s="47"/>
      <c r="O130" s="47">
        <f t="shared" si="9"/>
        <v>1.1400000000000001</v>
      </c>
      <c r="P130" s="47">
        <f t="shared" si="11"/>
        <v>1</v>
      </c>
      <c r="Q130" s="47">
        <f t="shared" si="17"/>
        <v>1</v>
      </c>
      <c r="R130" s="47"/>
      <c r="S130" s="48">
        <f t="shared" si="10"/>
        <v>0.75609999999999999</v>
      </c>
      <c r="T130" s="48">
        <f t="shared" si="12"/>
        <v>1.5122</v>
      </c>
      <c r="U130" s="48">
        <f t="shared" si="13"/>
        <v>3.0244</v>
      </c>
      <c r="V130" s="48">
        <f t="shared" si="14"/>
        <v>3.0244</v>
      </c>
      <c r="W130" s="48">
        <f t="shared" si="15"/>
        <v>3.0244</v>
      </c>
    </row>
    <row r="131" spans="1:23" x14ac:dyDescent="0.25">
      <c r="A131" s="38" t="s">
        <v>772</v>
      </c>
      <c r="B131" s="47" t="s">
        <v>493</v>
      </c>
      <c r="C131" s="38" t="s">
        <v>483</v>
      </c>
      <c r="D131" s="38" t="s">
        <v>483</v>
      </c>
      <c r="E131" s="38">
        <v>1155</v>
      </c>
      <c r="F131" s="38">
        <v>4</v>
      </c>
      <c r="G131" s="38">
        <v>4</v>
      </c>
      <c r="H131" s="38">
        <v>3</v>
      </c>
      <c r="I131" s="38">
        <v>3.3</v>
      </c>
      <c r="J131" s="38">
        <v>64</v>
      </c>
      <c r="K131" s="38">
        <v>256</v>
      </c>
      <c r="L131" s="38">
        <v>6144</v>
      </c>
      <c r="M131" s="38"/>
      <c r="N131" s="47"/>
      <c r="O131" s="47">
        <f t="shared" ref="O131:O194" si="18">(2*8*(1-POWER(0.5,(L131/2048)))/100)+1</f>
        <v>1.1400000000000001</v>
      </c>
      <c r="P131" s="47">
        <f t="shared" si="11"/>
        <v>1</v>
      </c>
      <c r="Q131" s="47">
        <f t="shared" si="17"/>
        <v>1</v>
      </c>
      <c r="R131" s="47"/>
      <c r="S131" s="48">
        <f t="shared" ref="S131:S194" si="19">FLOOR(H131*O131*Q131/($H$58*$O$58*$Q$58),0.0001)</f>
        <v>0.73170000000000002</v>
      </c>
      <c r="T131" s="48">
        <f t="shared" si="12"/>
        <v>1.4634</v>
      </c>
      <c r="U131" s="48">
        <f t="shared" si="13"/>
        <v>2.9268000000000001</v>
      </c>
      <c r="V131" s="48">
        <f t="shared" si="14"/>
        <v>2.9268000000000001</v>
      </c>
      <c r="W131" s="48">
        <f t="shared" si="15"/>
        <v>2.9268000000000001</v>
      </c>
    </row>
    <row r="132" spans="1:23" x14ac:dyDescent="0.25">
      <c r="A132" s="38" t="s">
        <v>772</v>
      </c>
      <c r="B132" s="47" t="s">
        <v>492</v>
      </c>
      <c r="C132" s="38" t="s">
        <v>483</v>
      </c>
      <c r="D132" s="38" t="s">
        <v>483</v>
      </c>
      <c r="E132" s="38">
        <v>1155</v>
      </c>
      <c r="F132" s="38">
        <v>4</v>
      </c>
      <c r="G132" s="38">
        <v>4</v>
      </c>
      <c r="H132" s="38">
        <v>2.9</v>
      </c>
      <c r="I132" s="38">
        <v>3.2</v>
      </c>
      <c r="J132" s="38">
        <v>64</v>
      </c>
      <c r="K132" s="38">
        <v>256</v>
      </c>
      <c r="L132" s="38">
        <v>6144</v>
      </c>
      <c r="M132" s="38"/>
      <c r="N132" s="47"/>
      <c r="O132" s="47">
        <f t="shared" si="18"/>
        <v>1.1400000000000001</v>
      </c>
      <c r="P132" s="47">
        <f t="shared" si="11"/>
        <v>1</v>
      </c>
      <c r="Q132" s="47">
        <f t="shared" si="17"/>
        <v>1</v>
      </c>
      <c r="R132" s="47"/>
      <c r="S132" s="48">
        <f t="shared" si="19"/>
        <v>0.70730000000000004</v>
      </c>
      <c r="T132" s="48">
        <f t="shared" si="12"/>
        <v>1.4146000000000001</v>
      </c>
      <c r="U132" s="48">
        <f t="shared" si="13"/>
        <v>2.8292000000000002</v>
      </c>
      <c r="V132" s="48">
        <f t="shared" si="14"/>
        <v>2.8292000000000002</v>
      </c>
      <c r="W132" s="48">
        <f t="shared" si="15"/>
        <v>2.8292000000000002</v>
      </c>
    </row>
    <row r="133" spans="1:23" x14ac:dyDescent="0.25">
      <c r="A133" s="38" t="s">
        <v>772</v>
      </c>
      <c r="B133" s="47" t="s">
        <v>491</v>
      </c>
      <c r="C133" s="38" t="s">
        <v>483</v>
      </c>
      <c r="D133" s="38" t="s">
        <v>483</v>
      </c>
      <c r="E133" s="38">
        <v>1155</v>
      </c>
      <c r="F133" s="38">
        <v>4</v>
      </c>
      <c r="G133" s="38">
        <v>4</v>
      </c>
      <c r="H133" s="38">
        <v>2.8</v>
      </c>
      <c r="I133" s="38">
        <v>3.1</v>
      </c>
      <c r="J133" s="38">
        <v>64</v>
      </c>
      <c r="K133" s="38">
        <v>256</v>
      </c>
      <c r="L133" s="38">
        <v>6144</v>
      </c>
      <c r="M133" s="38"/>
      <c r="N133" s="47"/>
      <c r="O133" s="47">
        <f t="shared" si="18"/>
        <v>1.1400000000000001</v>
      </c>
      <c r="P133" s="47">
        <f t="shared" ref="P133:P219" si="20">IF(M133="O",IF(UPPER(A133)="INTEL",1.46,1.5),1)</f>
        <v>1</v>
      </c>
      <c r="Q133" s="47">
        <f t="shared" si="17"/>
        <v>1</v>
      </c>
      <c r="R133" s="47"/>
      <c r="S133" s="48">
        <f t="shared" si="19"/>
        <v>0.68300000000000005</v>
      </c>
      <c r="T133" s="48">
        <f t="shared" ref="T133:T219" si="21">IF(F133=1,IF(M133="O",S133*P133,S133),S133*2)</f>
        <v>1.3660000000000001</v>
      </c>
      <c r="U133" s="48">
        <f t="shared" ref="U133:U219" si="22">IF(G133&lt;4,W133,IF(F133=2,2*S133*P133,IF(F133=3,2*S133+S133*P133,S133*4)))</f>
        <v>2.7320000000000002</v>
      </c>
      <c r="V133" s="48">
        <f t="shared" ref="V133:V219" si="23">IF(G133&lt;8,W133,IF(F133=4,4*S133*P133,IF(F133=6,4*S133+2*S133*P133,8*S133)))</f>
        <v>2.7320000000000002</v>
      </c>
      <c r="W133" s="48">
        <f t="shared" ref="W133:W219" si="24">F133*P133*S133</f>
        <v>2.7320000000000002</v>
      </c>
    </row>
    <row r="134" spans="1:23" x14ac:dyDescent="0.25">
      <c r="A134" s="38" t="s">
        <v>772</v>
      </c>
      <c r="B134" s="47" t="s">
        <v>490</v>
      </c>
      <c r="C134" s="38" t="s">
        <v>483</v>
      </c>
      <c r="D134" s="38" t="s">
        <v>483</v>
      </c>
      <c r="E134" s="38">
        <v>1155</v>
      </c>
      <c r="F134" s="38">
        <v>2</v>
      </c>
      <c r="G134" s="38">
        <v>4</v>
      </c>
      <c r="H134" s="38">
        <v>3.4</v>
      </c>
      <c r="I134" s="38">
        <v>3.4</v>
      </c>
      <c r="J134" s="38">
        <v>64</v>
      </c>
      <c r="K134" s="38">
        <v>256</v>
      </c>
      <c r="L134" s="38">
        <v>3072</v>
      </c>
      <c r="M134" s="38" t="s">
        <v>749</v>
      </c>
      <c r="N134" s="47"/>
      <c r="O134" s="47">
        <f t="shared" si="18"/>
        <v>1.1034314575050761</v>
      </c>
      <c r="P134" s="47">
        <f t="shared" si="20"/>
        <v>1.46</v>
      </c>
      <c r="Q134" s="47">
        <f t="shared" si="17"/>
        <v>1</v>
      </c>
      <c r="R134" s="47"/>
      <c r="S134" s="48">
        <f t="shared" si="19"/>
        <v>0.80270000000000008</v>
      </c>
      <c r="T134" s="48">
        <f t="shared" si="21"/>
        <v>1.6054000000000002</v>
      </c>
      <c r="U134" s="48">
        <f t="shared" si="22"/>
        <v>2.3438840000000001</v>
      </c>
      <c r="V134" s="48">
        <f t="shared" si="23"/>
        <v>2.3438840000000001</v>
      </c>
      <c r="W134" s="48">
        <f t="shared" si="24"/>
        <v>2.3438840000000001</v>
      </c>
    </row>
    <row r="135" spans="1:23" x14ac:dyDescent="0.25">
      <c r="A135" s="38" t="s">
        <v>772</v>
      </c>
      <c r="B135" s="47" t="s">
        <v>489</v>
      </c>
      <c r="C135" s="38" t="s">
        <v>483</v>
      </c>
      <c r="D135" s="38" t="s">
        <v>483</v>
      </c>
      <c r="E135" s="38">
        <v>1155</v>
      </c>
      <c r="F135" s="38">
        <v>2</v>
      </c>
      <c r="G135" s="38">
        <v>4</v>
      </c>
      <c r="H135" s="38">
        <v>3.3</v>
      </c>
      <c r="I135" s="38">
        <v>3.3</v>
      </c>
      <c r="J135" s="38">
        <v>64</v>
      </c>
      <c r="K135" s="38">
        <v>256</v>
      </c>
      <c r="L135" s="38">
        <v>3072</v>
      </c>
      <c r="M135" s="38" t="s">
        <v>749</v>
      </c>
      <c r="N135" s="47"/>
      <c r="O135" s="47">
        <f t="shared" si="18"/>
        <v>1.1034314575050761</v>
      </c>
      <c r="P135" s="47">
        <f t="shared" si="20"/>
        <v>1.46</v>
      </c>
      <c r="Q135" s="47">
        <f t="shared" si="17"/>
        <v>1</v>
      </c>
      <c r="R135" s="47"/>
      <c r="S135" s="48">
        <f t="shared" si="19"/>
        <v>0.77910000000000001</v>
      </c>
      <c r="T135" s="48">
        <f t="shared" si="21"/>
        <v>1.5582</v>
      </c>
      <c r="U135" s="48">
        <f t="shared" si="22"/>
        <v>2.274972</v>
      </c>
      <c r="V135" s="48">
        <f t="shared" si="23"/>
        <v>2.274972</v>
      </c>
      <c r="W135" s="48">
        <f t="shared" si="24"/>
        <v>2.274972</v>
      </c>
    </row>
    <row r="136" spans="1:23" x14ac:dyDescent="0.25">
      <c r="A136" s="38" t="s">
        <v>772</v>
      </c>
      <c r="B136" s="47" t="s">
        <v>488</v>
      </c>
      <c r="C136" s="38" t="s">
        <v>483</v>
      </c>
      <c r="D136" s="38" t="s">
        <v>483</v>
      </c>
      <c r="E136" s="38">
        <v>1155</v>
      </c>
      <c r="F136" s="38">
        <v>2</v>
      </c>
      <c r="G136" s="38">
        <v>4</v>
      </c>
      <c r="H136" s="38">
        <v>3.3</v>
      </c>
      <c r="I136" s="38">
        <v>3.3</v>
      </c>
      <c r="J136" s="38">
        <v>64</v>
      </c>
      <c r="K136" s="38">
        <v>256</v>
      </c>
      <c r="L136" s="38">
        <v>3072</v>
      </c>
      <c r="M136" s="38" t="s">
        <v>749</v>
      </c>
      <c r="N136" s="47"/>
      <c r="O136" s="47">
        <f t="shared" si="18"/>
        <v>1.1034314575050761</v>
      </c>
      <c r="P136" s="47">
        <f t="shared" si="20"/>
        <v>1.46</v>
      </c>
      <c r="Q136" s="47">
        <f t="shared" si="17"/>
        <v>1</v>
      </c>
      <c r="R136" s="47"/>
      <c r="S136" s="48">
        <f t="shared" si="19"/>
        <v>0.77910000000000001</v>
      </c>
      <c r="T136" s="48">
        <f t="shared" si="21"/>
        <v>1.5582</v>
      </c>
      <c r="U136" s="48">
        <f t="shared" si="22"/>
        <v>2.274972</v>
      </c>
      <c r="V136" s="48">
        <f t="shared" si="23"/>
        <v>2.274972</v>
      </c>
      <c r="W136" s="48">
        <f t="shared" si="24"/>
        <v>2.274972</v>
      </c>
    </row>
    <row r="137" spans="1:23" x14ac:dyDescent="0.25">
      <c r="A137" s="38" t="s">
        <v>772</v>
      </c>
      <c r="B137" s="47" t="s">
        <v>487</v>
      </c>
      <c r="C137" s="38" t="s">
        <v>483</v>
      </c>
      <c r="D137" s="38" t="s">
        <v>483</v>
      </c>
      <c r="E137" s="38">
        <v>1155</v>
      </c>
      <c r="F137" s="38">
        <v>2</v>
      </c>
      <c r="G137" s="38">
        <v>4</v>
      </c>
      <c r="H137" s="38">
        <v>3.1</v>
      </c>
      <c r="I137" s="38">
        <v>3.1</v>
      </c>
      <c r="J137" s="38">
        <v>64</v>
      </c>
      <c r="K137" s="38">
        <v>256</v>
      </c>
      <c r="L137" s="38">
        <v>3072</v>
      </c>
      <c r="M137" s="38" t="s">
        <v>749</v>
      </c>
      <c r="N137" s="47"/>
      <c r="O137" s="47">
        <f t="shared" si="18"/>
        <v>1.1034314575050761</v>
      </c>
      <c r="P137" s="47">
        <f t="shared" si="20"/>
        <v>1.46</v>
      </c>
      <c r="Q137" s="47">
        <f t="shared" si="17"/>
        <v>1</v>
      </c>
      <c r="R137" s="47"/>
      <c r="S137" s="48">
        <f t="shared" si="19"/>
        <v>0.7319</v>
      </c>
      <c r="T137" s="48">
        <f t="shared" si="21"/>
        <v>1.4638</v>
      </c>
      <c r="U137" s="48">
        <f t="shared" si="22"/>
        <v>2.1371479999999998</v>
      </c>
      <c r="V137" s="48">
        <f t="shared" si="23"/>
        <v>2.1371479999999998</v>
      </c>
      <c r="W137" s="48">
        <f t="shared" si="24"/>
        <v>2.1371479999999998</v>
      </c>
    </row>
    <row r="138" spans="1:23" x14ac:dyDescent="0.25">
      <c r="A138" s="38" t="s">
        <v>772</v>
      </c>
      <c r="B138" s="47" t="s">
        <v>485</v>
      </c>
      <c r="C138" s="38" t="s">
        <v>483</v>
      </c>
      <c r="D138" s="38" t="s">
        <v>483</v>
      </c>
      <c r="E138" s="38">
        <v>1155</v>
      </c>
      <c r="F138" s="38">
        <v>2</v>
      </c>
      <c r="G138" s="38">
        <v>4</v>
      </c>
      <c r="H138" s="38">
        <v>3.1</v>
      </c>
      <c r="I138" s="38">
        <v>3.1</v>
      </c>
      <c r="J138" s="38">
        <v>64</v>
      </c>
      <c r="K138" s="38">
        <v>256</v>
      </c>
      <c r="L138" s="38">
        <v>3072</v>
      </c>
      <c r="M138" s="38" t="s">
        <v>749</v>
      </c>
      <c r="N138" s="47"/>
      <c r="O138" s="47">
        <f t="shared" si="18"/>
        <v>1.1034314575050761</v>
      </c>
      <c r="P138" s="47">
        <f t="shared" si="20"/>
        <v>1.46</v>
      </c>
      <c r="Q138" s="47">
        <f t="shared" si="17"/>
        <v>1</v>
      </c>
      <c r="R138" s="47"/>
      <c r="S138" s="48">
        <f t="shared" si="19"/>
        <v>0.7319</v>
      </c>
      <c r="T138" s="48">
        <f t="shared" si="21"/>
        <v>1.4638</v>
      </c>
      <c r="U138" s="48">
        <f t="shared" si="22"/>
        <v>2.1371479999999998</v>
      </c>
      <c r="V138" s="48">
        <f t="shared" si="23"/>
        <v>2.1371479999999998</v>
      </c>
      <c r="W138" s="48">
        <f t="shared" si="24"/>
        <v>2.1371479999999998</v>
      </c>
    </row>
    <row r="139" spans="1:23" x14ac:dyDescent="0.25">
      <c r="A139" s="38" t="s">
        <v>772</v>
      </c>
      <c r="B139" s="47" t="s">
        <v>482</v>
      </c>
      <c r="C139" s="38" t="s">
        <v>483</v>
      </c>
      <c r="D139" s="38" t="s">
        <v>483</v>
      </c>
      <c r="E139" s="38">
        <v>1155</v>
      </c>
      <c r="F139" s="38">
        <v>2</v>
      </c>
      <c r="G139" s="38">
        <v>4</v>
      </c>
      <c r="H139" s="38">
        <v>3.1</v>
      </c>
      <c r="I139" s="38">
        <v>3.1</v>
      </c>
      <c r="J139" s="38">
        <v>64</v>
      </c>
      <c r="K139" s="38">
        <v>256</v>
      </c>
      <c r="L139" s="38">
        <v>3072</v>
      </c>
      <c r="M139" s="38" t="s">
        <v>749</v>
      </c>
      <c r="N139" s="47"/>
      <c r="O139" s="47">
        <f t="shared" si="18"/>
        <v>1.1034314575050761</v>
      </c>
      <c r="P139" s="47">
        <f t="shared" si="20"/>
        <v>1.46</v>
      </c>
      <c r="Q139" s="47">
        <f t="shared" si="17"/>
        <v>1</v>
      </c>
      <c r="R139" s="47"/>
      <c r="S139" s="48">
        <f t="shared" si="19"/>
        <v>0.7319</v>
      </c>
      <c r="T139" s="48">
        <f t="shared" si="21"/>
        <v>1.4638</v>
      </c>
      <c r="U139" s="48">
        <f t="shared" si="22"/>
        <v>2.1371479999999998</v>
      </c>
      <c r="V139" s="48">
        <f t="shared" si="23"/>
        <v>2.1371479999999998</v>
      </c>
      <c r="W139" s="48">
        <f t="shared" si="24"/>
        <v>2.1371479999999998</v>
      </c>
    </row>
    <row r="140" spans="1:23" x14ac:dyDescent="0.25">
      <c r="A140" s="38" t="s">
        <v>772</v>
      </c>
      <c r="B140" s="47" t="s">
        <v>511</v>
      </c>
      <c r="C140" s="38" t="s">
        <v>483</v>
      </c>
      <c r="D140" s="38" t="s">
        <v>483</v>
      </c>
      <c r="E140" s="38">
        <v>1155</v>
      </c>
      <c r="F140" s="38">
        <v>2</v>
      </c>
      <c r="G140" s="38">
        <v>2</v>
      </c>
      <c r="H140" s="38">
        <v>3.1</v>
      </c>
      <c r="I140" s="38">
        <v>3.1</v>
      </c>
      <c r="J140" s="38">
        <v>64</v>
      </c>
      <c r="K140" s="38">
        <v>256</v>
      </c>
      <c r="L140" s="38">
        <v>3072</v>
      </c>
      <c r="M140" s="38"/>
      <c r="N140" s="47"/>
      <c r="O140" s="47">
        <f t="shared" si="18"/>
        <v>1.1034314575050761</v>
      </c>
      <c r="P140" s="47">
        <f t="shared" si="20"/>
        <v>1</v>
      </c>
      <c r="Q140" s="47">
        <f t="shared" si="17"/>
        <v>1</v>
      </c>
      <c r="R140" s="47"/>
      <c r="S140" s="48">
        <f t="shared" si="19"/>
        <v>0.7319</v>
      </c>
      <c r="T140" s="48">
        <f t="shared" si="21"/>
        <v>1.4638</v>
      </c>
      <c r="U140" s="48">
        <f t="shared" si="22"/>
        <v>1.4638</v>
      </c>
      <c r="V140" s="48">
        <f t="shared" si="23"/>
        <v>1.4638</v>
      </c>
      <c r="W140" s="48">
        <f t="shared" si="24"/>
        <v>1.4638</v>
      </c>
    </row>
    <row r="141" spans="1:23" x14ac:dyDescent="0.25">
      <c r="A141" s="38" t="s">
        <v>772</v>
      </c>
      <c r="B141" s="47" t="s">
        <v>510</v>
      </c>
      <c r="C141" s="38" t="s">
        <v>483</v>
      </c>
      <c r="D141" s="38" t="s">
        <v>483</v>
      </c>
      <c r="E141" s="38">
        <v>1155</v>
      </c>
      <c r="F141" s="38">
        <v>2</v>
      </c>
      <c r="G141" s="38">
        <v>2</v>
      </c>
      <c r="H141" s="38">
        <v>3</v>
      </c>
      <c r="I141" s="38">
        <v>3</v>
      </c>
      <c r="J141" s="38">
        <v>64</v>
      </c>
      <c r="K141" s="38">
        <v>256</v>
      </c>
      <c r="L141" s="38">
        <v>3072</v>
      </c>
      <c r="M141" s="38"/>
      <c r="N141" s="47"/>
      <c r="O141" s="47">
        <f t="shared" si="18"/>
        <v>1.1034314575050761</v>
      </c>
      <c r="P141" s="47">
        <f t="shared" si="20"/>
        <v>1</v>
      </c>
      <c r="Q141" s="47">
        <f t="shared" si="17"/>
        <v>1</v>
      </c>
      <c r="R141" s="47"/>
      <c r="S141" s="48">
        <f t="shared" si="19"/>
        <v>0.70830000000000004</v>
      </c>
      <c r="T141" s="48">
        <f t="shared" si="21"/>
        <v>1.4166000000000001</v>
      </c>
      <c r="U141" s="48">
        <f t="shared" si="22"/>
        <v>1.4166000000000001</v>
      </c>
      <c r="V141" s="48">
        <f t="shared" si="23"/>
        <v>1.4166000000000001</v>
      </c>
      <c r="W141" s="48">
        <f t="shared" si="24"/>
        <v>1.4166000000000001</v>
      </c>
    </row>
    <row r="142" spans="1:23" x14ac:dyDescent="0.25">
      <c r="A142" s="38" t="s">
        <v>772</v>
      </c>
      <c r="B142" s="47" t="s">
        <v>509</v>
      </c>
      <c r="C142" s="38" t="s">
        <v>483</v>
      </c>
      <c r="D142" s="38" t="s">
        <v>483</v>
      </c>
      <c r="E142" s="38">
        <v>1155</v>
      </c>
      <c r="F142" s="38">
        <v>2</v>
      </c>
      <c r="G142" s="38">
        <v>2</v>
      </c>
      <c r="H142" s="38">
        <v>2.9</v>
      </c>
      <c r="I142" s="38">
        <v>2.9</v>
      </c>
      <c r="J142" s="38">
        <v>64</v>
      </c>
      <c r="K142" s="38">
        <v>256</v>
      </c>
      <c r="L142" s="38">
        <v>3072</v>
      </c>
      <c r="M142" s="38"/>
      <c r="N142" s="47"/>
      <c r="O142" s="47">
        <f t="shared" si="18"/>
        <v>1.1034314575050761</v>
      </c>
      <c r="P142" s="47">
        <f t="shared" si="20"/>
        <v>1</v>
      </c>
      <c r="Q142" s="47">
        <f t="shared" si="17"/>
        <v>1</v>
      </c>
      <c r="R142" s="47"/>
      <c r="S142" s="48">
        <f t="shared" si="19"/>
        <v>0.68470000000000009</v>
      </c>
      <c r="T142" s="48">
        <f t="shared" si="21"/>
        <v>1.3694000000000002</v>
      </c>
      <c r="U142" s="48">
        <f t="shared" si="22"/>
        <v>1.3694000000000002</v>
      </c>
      <c r="V142" s="48">
        <f t="shared" si="23"/>
        <v>1.3694000000000002</v>
      </c>
      <c r="W142" s="48">
        <f t="shared" si="24"/>
        <v>1.3694000000000002</v>
      </c>
    </row>
    <row r="143" spans="1:23" x14ac:dyDescent="0.25">
      <c r="A143" s="38" t="s">
        <v>772</v>
      </c>
      <c r="B143" s="47" t="s">
        <v>508</v>
      </c>
      <c r="C143" s="38" t="s">
        <v>483</v>
      </c>
      <c r="D143" s="38" t="s">
        <v>483</v>
      </c>
      <c r="E143" s="38">
        <v>1155</v>
      </c>
      <c r="F143" s="38">
        <v>2</v>
      </c>
      <c r="G143" s="38">
        <v>2</v>
      </c>
      <c r="H143" s="38">
        <v>2.8</v>
      </c>
      <c r="I143" s="38">
        <v>2.8</v>
      </c>
      <c r="J143" s="38">
        <v>64</v>
      </c>
      <c r="K143" s="38">
        <v>256</v>
      </c>
      <c r="L143" s="38">
        <v>3072</v>
      </c>
      <c r="M143" s="38"/>
      <c r="N143" s="47"/>
      <c r="O143" s="47">
        <f t="shared" si="18"/>
        <v>1.1034314575050761</v>
      </c>
      <c r="P143" s="47">
        <f t="shared" si="20"/>
        <v>1</v>
      </c>
      <c r="Q143" s="47">
        <f t="shared" si="17"/>
        <v>1</v>
      </c>
      <c r="R143" s="47"/>
      <c r="S143" s="48">
        <f t="shared" si="19"/>
        <v>0.66100000000000003</v>
      </c>
      <c r="T143" s="48">
        <f t="shared" si="21"/>
        <v>1.3220000000000001</v>
      </c>
      <c r="U143" s="48">
        <f t="shared" si="22"/>
        <v>1.3220000000000001</v>
      </c>
      <c r="V143" s="48">
        <f t="shared" si="23"/>
        <v>1.3220000000000001</v>
      </c>
      <c r="W143" s="48">
        <f t="shared" si="24"/>
        <v>1.3220000000000001</v>
      </c>
    </row>
    <row r="144" spans="1:23" x14ac:dyDescent="0.25">
      <c r="A144" s="38" t="s">
        <v>772</v>
      </c>
      <c r="B144" s="47" t="s">
        <v>507</v>
      </c>
      <c r="C144" s="38" t="s">
        <v>483</v>
      </c>
      <c r="D144" s="38" t="s">
        <v>483</v>
      </c>
      <c r="E144" s="38">
        <v>1155</v>
      </c>
      <c r="F144" s="38">
        <v>2</v>
      </c>
      <c r="G144" s="38">
        <v>2</v>
      </c>
      <c r="H144" s="38">
        <v>2.9</v>
      </c>
      <c r="I144" s="38">
        <v>2.9</v>
      </c>
      <c r="J144" s="38">
        <v>64</v>
      </c>
      <c r="K144" s="38">
        <v>256</v>
      </c>
      <c r="L144" s="38">
        <v>3072</v>
      </c>
      <c r="M144" s="38"/>
      <c r="N144" s="47"/>
      <c r="O144" s="47">
        <f t="shared" si="18"/>
        <v>1.1034314575050761</v>
      </c>
      <c r="P144" s="47">
        <f t="shared" si="20"/>
        <v>1</v>
      </c>
      <c r="Q144" s="47">
        <f t="shared" si="17"/>
        <v>1</v>
      </c>
      <c r="R144" s="47"/>
      <c r="S144" s="48">
        <f t="shared" si="19"/>
        <v>0.68470000000000009</v>
      </c>
      <c r="T144" s="48">
        <f t="shared" si="21"/>
        <v>1.3694000000000002</v>
      </c>
      <c r="U144" s="48">
        <f t="shared" si="22"/>
        <v>1.3694000000000002</v>
      </c>
      <c r="V144" s="48">
        <f t="shared" si="23"/>
        <v>1.3694000000000002</v>
      </c>
      <c r="W144" s="48">
        <f t="shared" si="24"/>
        <v>1.3694000000000002</v>
      </c>
    </row>
    <row r="145" spans="1:23" x14ac:dyDescent="0.25">
      <c r="A145" s="38" t="s">
        <v>772</v>
      </c>
      <c r="B145" s="47" t="s">
        <v>506</v>
      </c>
      <c r="C145" s="38" t="s">
        <v>483</v>
      </c>
      <c r="D145" s="38" t="s">
        <v>483</v>
      </c>
      <c r="E145" s="38">
        <v>1155</v>
      </c>
      <c r="F145" s="38">
        <v>2</v>
      </c>
      <c r="G145" s="38">
        <v>2</v>
      </c>
      <c r="H145" s="38">
        <v>2.8</v>
      </c>
      <c r="I145" s="38">
        <v>2.8</v>
      </c>
      <c r="J145" s="38">
        <v>64</v>
      </c>
      <c r="K145" s="38">
        <v>256</v>
      </c>
      <c r="L145" s="38">
        <v>3072</v>
      </c>
      <c r="M145" s="38"/>
      <c r="N145" s="47"/>
      <c r="O145" s="47">
        <f t="shared" si="18"/>
        <v>1.1034314575050761</v>
      </c>
      <c r="P145" s="47">
        <f t="shared" si="20"/>
        <v>1</v>
      </c>
      <c r="Q145" s="47">
        <f t="shared" si="17"/>
        <v>1</v>
      </c>
      <c r="R145" s="47"/>
      <c r="S145" s="48">
        <f t="shared" si="19"/>
        <v>0.66100000000000003</v>
      </c>
      <c r="T145" s="48">
        <f t="shared" si="21"/>
        <v>1.3220000000000001</v>
      </c>
      <c r="U145" s="48">
        <f t="shared" si="22"/>
        <v>1.3220000000000001</v>
      </c>
      <c r="V145" s="48">
        <f t="shared" si="23"/>
        <v>1.3220000000000001</v>
      </c>
      <c r="W145" s="48">
        <f t="shared" si="24"/>
        <v>1.3220000000000001</v>
      </c>
    </row>
    <row r="146" spans="1:23" x14ac:dyDescent="0.25">
      <c r="A146" s="38" t="s">
        <v>772</v>
      </c>
      <c r="B146" s="47" t="s">
        <v>505</v>
      </c>
      <c r="C146" s="38" t="s">
        <v>483</v>
      </c>
      <c r="D146" s="38" t="s">
        <v>483</v>
      </c>
      <c r="E146" s="38">
        <v>1155</v>
      </c>
      <c r="F146" s="38">
        <v>2</v>
      </c>
      <c r="G146" s="38">
        <v>2</v>
      </c>
      <c r="H146" s="38">
        <v>2.7</v>
      </c>
      <c r="I146" s="38">
        <v>2.7</v>
      </c>
      <c r="J146" s="38">
        <v>64</v>
      </c>
      <c r="K146" s="38">
        <v>256</v>
      </c>
      <c r="L146" s="38">
        <v>3072</v>
      </c>
      <c r="M146" s="38"/>
      <c r="N146" s="47"/>
      <c r="O146" s="47">
        <f t="shared" si="18"/>
        <v>1.1034314575050761</v>
      </c>
      <c r="P146" s="47">
        <f t="shared" si="20"/>
        <v>1</v>
      </c>
      <c r="Q146" s="47">
        <f t="shared" si="17"/>
        <v>1</v>
      </c>
      <c r="R146" s="47"/>
      <c r="S146" s="48">
        <f t="shared" si="19"/>
        <v>0.63740000000000008</v>
      </c>
      <c r="T146" s="48">
        <f t="shared" si="21"/>
        <v>1.2748000000000002</v>
      </c>
      <c r="U146" s="48">
        <f t="shared" si="22"/>
        <v>1.2748000000000002</v>
      </c>
      <c r="V146" s="48">
        <f t="shared" si="23"/>
        <v>1.2748000000000002</v>
      </c>
      <c r="W146" s="48">
        <f t="shared" si="24"/>
        <v>1.2748000000000002</v>
      </c>
    </row>
    <row r="147" spans="1:23" x14ac:dyDescent="0.25">
      <c r="A147" s="38" t="s">
        <v>772</v>
      </c>
      <c r="B147" s="47" t="s">
        <v>504</v>
      </c>
      <c r="C147" s="38" t="s">
        <v>483</v>
      </c>
      <c r="D147" s="38" t="s">
        <v>483</v>
      </c>
      <c r="E147" s="38">
        <v>1155</v>
      </c>
      <c r="F147" s="38">
        <v>2</v>
      </c>
      <c r="G147" s="38">
        <v>2</v>
      </c>
      <c r="H147" s="38">
        <v>2.7</v>
      </c>
      <c r="I147" s="38">
        <v>2.7</v>
      </c>
      <c r="J147" s="38">
        <v>64</v>
      </c>
      <c r="K147" s="38">
        <v>256</v>
      </c>
      <c r="L147" s="38">
        <v>3072</v>
      </c>
      <c r="M147" s="38"/>
      <c r="N147" s="47"/>
      <c r="O147" s="47">
        <f t="shared" si="18"/>
        <v>1.1034314575050761</v>
      </c>
      <c r="P147" s="47">
        <f t="shared" si="20"/>
        <v>1</v>
      </c>
      <c r="Q147" s="47">
        <f t="shared" si="17"/>
        <v>1</v>
      </c>
      <c r="R147" s="47"/>
      <c r="S147" s="48">
        <f t="shared" si="19"/>
        <v>0.63740000000000008</v>
      </c>
      <c r="T147" s="48">
        <f t="shared" si="21"/>
        <v>1.2748000000000002</v>
      </c>
      <c r="U147" s="48">
        <f t="shared" si="22"/>
        <v>1.2748000000000002</v>
      </c>
      <c r="V147" s="48">
        <f t="shared" si="23"/>
        <v>1.2748000000000002</v>
      </c>
      <c r="W147" s="48">
        <f t="shared" si="24"/>
        <v>1.2748000000000002</v>
      </c>
    </row>
    <row r="148" spans="1:23" x14ac:dyDescent="0.25">
      <c r="A148" s="38" t="s">
        <v>772</v>
      </c>
      <c r="B148" s="47" t="s">
        <v>503</v>
      </c>
      <c r="C148" s="38" t="s">
        <v>483</v>
      </c>
      <c r="D148" s="38" t="s">
        <v>483</v>
      </c>
      <c r="E148" s="38">
        <v>1155</v>
      </c>
      <c r="F148" s="38">
        <v>2</v>
      </c>
      <c r="G148" s="38">
        <v>2</v>
      </c>
      <c r="H148" s="38">
        <v>2.6</v>
      </c>
      <c r="I148" s="38">
        <v>2.6</v>
      </c>
      <c r="J148" s="38">
        <v>64</v>
      </c>
      <c r="K148" s="38">
        <v>256</v>
      </c>
      <c r="L148" s="38">
        <v>3072</v>
      </c>
      <c r="M148" s="38"/>
      <c r="N148" s="47"/>
      <c r="O148" s="47">
        <f t="shared" si="18"/>
        <v>1.1034314575050761</v>
      </c>
      <c r="P148" s="47">
        <f t="shared" si="20"/>
        <v>1</v>
      </c>
      <c r="Q148" s="47">
        <f t="shared" si="17"/>
        <v>1</v>
      </c>
      <c r="R148" s="47"/>
      <c r="S148" s="48">
        <f t="shared" si="19"/>
        <v>0.61380000000000001</v>
      </c>
      <c r="T148" s="48">
        <f t="shared" si="21"/>
        <v>1.2276</v>
      </c>
      <c r="U148" s="48">
        <f t="shared" si="22"/>
        <v>1.2276</v>
      </c>
      <c r="V148" s="48">
        <f t="shared" si="23"/>
        <v>1.2276</v>
      </c>
      <c r="W148" s="48">
        <f t="shared" si="24"/>
        <v>1.2276</v>
      </c>
    </row>
    <row r="149" spans="1:23" x14ac:dyDescent="0.25">
      <c r="A149" s="38" t="s">
        <v>772</v>
      </c>
      <c r="B149" s="47" t="s">
        <v>501</v>
      </c>
      <c r="C149" s="38" t="s">
        <v>483</v>
      </c>
      <c r="D149" s="38" t="s">
        <v>483</v>
      </c>
      <c r="E149" s="38">
        <v>1155</v>
      </c>
      <c r="F149" s="38">
        <v>2</v>
      </c>
      <c r="G149" s="38">
        <v>2</v>
      </c>
      <c r="H149" s="38">
        <v>2.6</v>
      </c>
      <c r="I149" s="38">
        <v>2.6</v>
      </c>
      <c r="J149" s="38">
        <v>64</v>
      </c>
      <c r="K149" s="38">
        <v>256</v>
      </c>
      <c r="L149" s="38">
        <v>3072</v>
      </c>
      <c r="M149" s="38"/>
      <c r="N149" s="47"/>
      <c r="O149" s="47">
        <f t="shared" si="18"/>
        <v>1.1034314575050761</v>
      </c>
      <c r="P149" s="47">
        <f t="shared" si="20"/>
        <v>1</v>
      </c>
      <c r="Q149" s="47">
        <v>1</v>
      </c>
      <c r="R149" s="47"/>
      <c r="S149" s="48">
        <f t="shared" si="19"/>
        <v>0.61380000000000001</v>
      </c>
      <c r="T149" s="48">
        <f t="shared" si="21"/>
        <v>1.2276</v>
      </c>
      <c r="U149" s="48">
        <f t="shared" si="22"/>
        <v>1.2276</v>
      </c>
      <c r="V149" s="48">
        <f t="shared" si="23"/>
        <v>1.2276</v>
      </c>
      <c r="W149" s="48">
        <f t="shared" si="24"/>
        <v>1.2276</v>
      </c>
    </row>
    <row r="150" spans="1:23" x14ac:dyDescent="0.25">
      <c r="A150" s="31" t="s">
        <v>771</v>
      </c>
      <c r="B150" s="33" t="s">
        <v>994</v>
      </c>
      <c r="C150" s="31" t="s">
        <v>991</v>
      </c>
      <c r="D150" s="31" t="s">
        <v>992</v>
      </c>
      <c r="E150" s="31" t="s">
        <v>344</v>
      </c>
      <c r="F150" s="31">
        <v>2</v>
      </c>
      <c r="G150" s="31">
        <v>4</v>
      </c>
      <c r="H150" s="31">
        <v>3.5</v>
      </c>
      <c r="I150" s="31">
        <v>3.8</v>
      </c>
      <c r="J150" s="33">
        <v>128</v>
      </c>
      <c r="K150" s="33">
        <v>1024</v>
      </c>
      <c r="L150" s="31">
        <v>0</v>
      </c>
      <c r="M150" s="31" t="s">
        <v>749</v>
      </c>
      <c r="N150" s="33"/>
      <c r="O150" s="33">
        <f t="shared" si="18"/>
        <v>1</v>
      </c>
      <c r="P150" s="33">
        <f t="shared" ref="P150:P155" si="25">IF(M150="O",IF(UPPER(A150)="INTEL",1.46,1.5),1)</f>
        <v>1.5</v>
      </c>
      <c r="Q150" s="33">
        <f>(Q109+Q110)/2</f>
        <v>1.0289999999999999</v>
      </c>
      <c r="R150" s="33"/>
      <c r="S150" s="34">
        <f t="shared" si="19"/>
        <v>0.77060000000000006</v>
      </c>
      <c r="T150" s="34">
        <f t="shared" ref="T150:T155" si="26">IF(F150=1,IF(M150="O",S150*P150,S150),S150*2)</f>
        <v>1.5412000000000001</v>
      </c>
      <c r="U150" s="34">
        <f t="shared" ref="U150:U155" si="27">IF(G150&lt;4,W150,IF(F150=2,2*S150*P150,IF(F150=3,2*S150+S150*P150,S150*4)))</f>
        <v>2.3118000000000003</v>
      </c>
      <c r="V150" s="34">
        <f t="shared" ref="V150:V155" si="28">IF(G150&lt;8,W150,IF(F150=4,4*S150*P150,IF(F150=6,4*S150+2*S150*P150,8*S150)))</f>
        <v>2.3118000000000003</v>
      </c>
      <c r="W150" s="34">
        <f t="shared" ref="W150:W155" si="29">F150*P150*S150</f>
        <v>2.3118000000000003</v>
      </c>
    </row>
    <row r="151" spans="1:23" x14ac:dyDescent="0.25">
      <c r="A151" s="31" t="s">
        <v>771</v>
      </c>
      <c r="B151" s="33" t="s">
        <v>997</v>
      </c>
      <c r="C151" s="31" t="s">
        <v>991</v>
      </c>
      <c r="D151" s="31" t="s">
        <v>992</v>
      </c>
      <c r="E151" s="31" t="s">
        <v>344</v>
      </c>
      <c r="F151" s="31">
        <v>2</v>
      </c>
      <c r="G151" s="31">
        <v>4</v>
      </c>
      <c r="H151" s="31">
        <v>3.1</v>
      </c>
      <c r="I151" s="31">
        <v>3.1</v>
      </c>
      <c r="J151" s="33">
        <v>128</v>
      </c>
      <c r="K151" s="33">
        <v>1024</v>
      </c>
      <c r="L151" s="31">
        <v>0</v>
      </c>
      <c r="M151" s="31" t="s">
        <v>749</v>
      </c>
      <c r="N151" s="33"/>
      <c r="O151" s="33">
        <f t="shared" si="18"/>
        <v>1</v>
      </c>
      <c r="P151" s="33">
        <f>IF(M151="O",IF(UPPER(A151)="INTEL",1.46,1.5),1)</f>
        <v>1.5</v>
      </c>
      <c r="Q151" s="33">
        <f>Q150</f>
        <v>1.0289999999999999</v>
      </c>
      <c r="R151" s="33"/>
      <c r="S151" s="34">
        <f t="shared" si="19"/>
        <v>0.6825</v>
      </c>
      <c r="T151" s="34">
        <f>IF(F151=1,IF(M151="O",S151*P151,S151),S151*2)</f>
        <v>1.365</v>
      </c>
      <c r="U151" s="34">
        <f>IF(G151&lt;4,W151,IF(F151=2,2*S151*P151,IF(F151=3,2*S151+S151*P151,S151*4)))</f>
        <v>2.0474999999999999</v>
      </c>
      <c r="V151" s="34">
        <f>IF(G151&lt;8,W151,IF(F151=4,4*S151*P151,IF(F151=6,4*S151+2*S151*P151,8*S151)))</f>
        <v>2.0474999999999999</v>
      </c>
      <c r="W151" s="34">
        <f>F151*P151*S151</f>
        <v>2.0474999999999999</v>
      </c>
    </row>
    <row r="152" spans="1:23" x14ac:dyDescent="0.25">
      <c r="A152" s="31" t="s">
        <v>771</v>
      </c>
      <c r="B152" s="33" t="s">
        <v>990</v>
      </c>
      <c r="C152" s="31" t="s">
        <v>986</v>
      </c>
      <c r="D152" s="31" t="s">
        <v>987</v>
      </c>
      <c r="E152" s="31" t="s">
        <v>344</v>
      </c>
      <c r="F152" s="31">
        <v>2</v>
      </c>
      <c r="G152" s="31">
        <v>4</v>
      </c>
      <c r="H152" s="31">
        <v>4</v>
      </c>
      <c r="I152" s="31">
        <v>4.2</v>
      </c>
      <c r="J152" s="33">
        <v>128</v>
      </c>
      <c r="K152" s="33">
        <v>1024</v>
      </c>
      <c r="L152" s="31">
        <v>0</v>
      </c>
      <c r="M152" s="31" t="s">
        <v>749</v>
      </c>
      <c r="N152" s="33"/>
      <c r="O152" s="33">
        <f t="shared" si="18"/>
        <v>1</v>
      </c>
      <c r="P152" s="33">
        <f t="shared" si="25"/>
        <v>1.5</v>
      </c>
      <c r="Q152" s="33">
        <f>Q151/1.11</f>
        <v>0.92702702702702688</v>
      </c>
      <c r="R152" s="33"/>
      <c r="S152" s="34">
        <f t="shared" si="19"/>
        <v>0.79339999999999999</v>
      </c>
      <c r="T152" s="34">
        <f t="shared" si="26"/>
        <v>1.5868</v>
      </c>
      <c r="U152" s="34">
        <f t="shared" si="27"/>
        <v>2.3801999999999999</v>
      </c>
      <c r="V152" s="34">
        <f t="shared" si="28"/>
        <v>2.3801999999999999</v>
      </c>
      <c r="W152" s="34">
        <f t="shared" si="29"/>
        <v>2.3801999999999999</v>
      </c>
    </row>
    <row r="153" spans="1:23" x14ac:dyDescent="0.25">
      <c r="A153" s="31" t="s">
        <v>771</v>
      </c>
      <c r="B153" s="33" t="s">
        <v>989</v>
      </c>
      <c r="C153" s="31" t="s">
        <v>986</v>
      </c>
      <c r="D153" s="31" t="s">
        <v>987</v>
      </c>
      <c r="E153" s="31" t="s">
        <v>344</v>
      </c>
      <c r="F153" s="31">
        <v>2</v>
      </c>
      <c r="G153" s="31">
        <v>4</v>
      </c>
      <c r="H153" s="31">
        <v>3.9</v>
      </c>
      <c r="I153" s="31">
        <v>4.0999999999999996</v>
      </c>
      <c r="J153" s="33">
        <v>128</v>
      </c>
      <c r="K153" s="33">
        <v>1024</v>
      </c>
      <c r="L153" s="31">
        <v>0</v>
      </c>
      <c r="M153" s="31" t="s">
        <v>749</v>
      </c>
      <c r="N153" s="33"/>
      <c r="O153" s="33">
        <f t="shared" si="18"/>
        <v>1</v>
      </c>
      <c r="P153" s="33">
        <f t="shared" si="25"/>
        <v>1.5</v>
      </c>
      <c r="Q153" s="33">
        <f>Q152</f>
        <v>0.92702702702702688</v>
      </c>
      <c r="R153" s="33"/>
      <c r="S153" s="34">
        <f t="shared" si="19"/>
        <v>0.77360000000000007</v>
      </c>
      <c r="T153" s="34">
        <f t="shared" si="26"/>
        <v>1.5472000000000001</v>
      </c>
      <c r="U153" s="34">
        <f t="shared" si="27"/>
        <v>2.3208000000000002</v>
      </c>
      <c r="V153" s="34">
        <f t="shared" si="28"/>
        <v>2.3208000000000002</v>
      </c>
      <c r="W153" s="34">
        <f t="shared" si="29"/>
        <v>2.3208000000000002</v>
      </c>
    </row>
    <row r="154" spans="1:23" x14ac:dyDescent="0.25">
      <c r="A154" s="31" t="s">
        <v>771</v>
      </c>
      <c r="B154" s="33" t="s">
        <v>988</v>
      </c>
      <c r="C154" s="31" t="s">
        <v>986</v>
      </c>
      <c r="D154" s="31" t="s">
        <v>987</v>
      </c>
      <c r="E154" s="31" t="s">
        <v>344</v>
      </c>
      <c r="F154" s="31">
        <v>2</v>
      </c>
      <c r="G154" s="31">
        <v>4</v>
      </c>
      <c r="H154" s="31">
        <v>3.2</v>
      </c>
      <c r="I154" s="31">
        <v>3.9</v>
      </c>
      <c r="J154" s="33">
        <v>128</v>
      </c>
      <c r="K154" s="33">
        <v>1024</v>
      </c>
      <c r="L154" s="31">
        <v>0</v>
      </c>
      <c r="M154" s="31" t="s">
        <v>749</v>
      </c>
      <c r="N154" s="33"/>
      <c r="O154" s="33">
        <f t="shared" si="18"/>
        <v>1</v>
      </c>
      <c r="P154" s="33">
        <f t="shared" si="25"/>
        <v>1.5</v>
      </c>
      <c r="Q154" s="33">
        <f t="shared" ref="Q154:Q171" si="30">Q153</f>
        <v>0.92702702702702688</v>
      </c>
      <c r="R154" s="33"/>
      <c r="S154" s="34">
        <f t="shared" si="19"/>
        <v>0.63470000000000004</v>
      </c>
      <c r="T154" s="34">
        <f t="shared" si="26"/>
        <v>1.2694000000000001</v>
      </c>
      <c r="U154" s="34">
        <f t="shared" si="27"/>
        <v>1.9041000000000001</v>
      </c>
      <c r="V154" s="34">
        <f t="shared" si="28"/>
        <v>1.9041000000000001</v>
      </c>
      <c r="W154" s="34">
        <f t="shared" si="29"/>
        <v>1.9041000000000001</v>
      </c>
    </row>
    <row r="155" spans="1:23" x14ac:dyDescent="0.25">
      <c r="A155" s="31" t="s">
        <v>771</v>
      </c>
      <c r="B155" s="33" t="s">
        <v>985</v>
      </c>
      <c r="C155" s="31" t="s">
        <v>986</v>
      </c>
      <c r="D155" s="31" t="s">
        <v>987</v>
      </c>
      <c r="E155" s="31" t="s">
        <v>344</v>
      </c>
      <c r="F155" s="31">
        <v>2</v>
      </c>
      <c r="G155" s="31">
        <v>4</v>
      </c>
      <c r="H155" s="31">
        <v>4.0999999999999996</v>
      </c>
      <c r="I155" s="31">
        <v>4.3</v>
      </c>
      <c r="J155" s="33">
        <v>128</v>
      </c>
      <c r="K155" s="33">
        <v>1024</v>
      </c>
      <c r="L155" s="31">
        <v>0</v>
      </c>
      <c r="M155" s="31" t="s">
        <v>749</v>
      </c>
      <c r="N155" s="33"/>
      <c r="O155" s="33">
        <f t="shared" si="18"/>
        <v>1</v>
      </c>
      <c r="P155" s="33">
        <f t="shared" si="25"/>
        <v>1.5</v>
      </c>
      <c r="Q155" s="33">
        <f t="shared" si="30"/>
        <v>0.92702702702702688</v>
      </c>
      <c r="R155" s="33"/>
      <c r="S155" s="34">
        <f t="shared" si="19"/>
        <v>0.81320000000000003</v>
      </c>
      <c r="T155" s="34">
        <f t="shared" si="26"/>
        <v>1.6264000000000001</v>
      </c>
      <c r="U155" s="34">
        <f t="shared" si="27"/>
        <v>2.4396</v>
      </c>
      <c r="V155" s="34">
        <f t="shared" si="28"/>
        <v>2.4396</v>
      </c>
      <c r="W155" s="34">
        <f t="shared" si="29"/>
        <v>2.4396</v>
      </c>
    </row>
    <row r="156" spans="1:23" x14ac:dyDescent="0.25">
      <c r="A156" s="31" t="s">
        <v>771</v>
      </c>
      <c r="B156" s="33" t="s">
        <v>552</v>
      </c>
      <c r="C156" s="31" t="s">
        <v>545</v>
      </c>
      <c r="D156" s="31" t="s">
        <v>987</v>
      </c>
      <c r="E156" s="31" t="s">
        <v>344</v>
      </c>
      <c r="F156" s="31">
        <v>2</v>
      </c>
      <c r="G156" s="31">
        <v>4</v>
      </c>
      <c r="H156" s="31">
        <v>3.9</v>
      </c>
      <c r="I156" s="31">
        <v>4.0999999999999996</v>
      </c>
      <c r="J156" s="33">
        <v>128</v>
      </c>
      <c r="K156" s="33">
        <v>1024</v>
      </c>
      <c r="L156" s="31">
        <v>0</v>
      </c>
      <c r="M156" s="31" t="s">
        <v>749</v>
      </c>
      <c r="N156" s="33"/>
      <c r="O156" s="33">
        <f t="shared" si="18"/>
        <v>1</v>
      </c>
      <c r="P156" s="33">
        <f>IF(M156="O",IF(UPPER(A156)="INTEL",1.46,1.5),1)</f>
        <v>1.5</v>
      </c>
      <c r="Q156" s="33">
        <f t="shared" si="30"/>
        <v>0.92702702702702688</v>
      </c>
      <c r="R156" s="33"/>
      <c r="S156" s="34">
        <f t="shared" si="19"/>
        <v>0.77360000000000007</v>
      </c>
      <c r="T156" s="34">
        <f>IF(F156=1,IF(M156="O",S156*P156,S156),S156*2)</f>
        <v>1.5472000000000001</v>
      </c>
      <c r="U156" s="34">
        <f>IF(G156&lt;4,W156,IF(F156=2,2*S156*P156,IF(F156=3,2*S156+S156*P156,S156*4)))</f>
        <v>2.3208000000000002</v>
      </c>
      <c r="V156" s="34">
        <f>IF(G156&lt;8,W156,IF(F156=4,4*S156*P156,IF(F156=6,4*S156+2*S156*P156,8*S156)))</f>
        <v>2.3208000000000002</v>
      </c>
      <c r="W156" s="34">
        <f>F156*P156*S156</f>
        <v>2.3208000000000002</v>
      </c>
    </row>
    <row r="157" spans="1:23" x14ac:dyDescent="0.25">
      <c r="A157" s="31" t="s">
        <v>771</v>
      </c>
      <c r="B157" s="33" t="s">
        <v>995</v>
      </c>
      <c r="C157" s="31" t="s">
        <v>545</v>
      </c>
      <c r="D157" s="31" t="s">
        <v>987</v>
      </c>
      <c r="E157" s="31" t="s">
        <v>344</v>
      </c>
      <c r="F157" s="31">
        <v>2</v>
      </c>
      <c r="G157" s="31">
        <v>4</v>
      </c>
      <c r="H157" s="31">
        <v>3.6</v>
      </c>
      <c r="I157" s="31">
        <v>4</v>
      </c>
      <c r="J157" s="33">
        <v>128</v>
      </c>
      <c r="K157" s="33">
        <v>1024</v>
      </c>
      <c r="L157" s="31">
        <v>0</v>
      </c>
      <c r="M157" s="31" t="s">
        <v>749</v>
      </c>
      <c r="N157" s="33"/>
      <c r="O157" s="33">
        <f t="shared" si="18"/>
        <v>1</v>
      </c>
      <c r="P157" s="33">
        <f>IF(M157="O",IF(UPPER(A157)="INTEL",1.46,1.5),1)</f>
        <v>1.5</v>
      </c>
      <c r="Q157" s="33">
        <f t="shared" si="30"/>
        <v>0.92702702702702688</v>
      </c>
      <c r="R157" s="33"/>
      <c r="S157" s="34">
        <f t="shared" si="19"/>
        <v>0.71400000000000008</v>
      </c>
      <c r="T157" s="34">
        <f>IF(F157=1,IF(M157="O",S157*P157,S157),S157*2)</f>
        <v>1.4280000000000002</v>
      </c>
      <c r="U157" s="34">
        <f>IF(G157&lt;4,W157,IF(F157=2,2*S157*P157,IF(F157=3,2*S157+S157*P157,S157*4)))</f>
        <v>2.1420000000000003</v>
      </c>
      <c r="V157" s="34">
        <f>IF(G157&lt;8,W157,IF(F157=4,4*S157*P157,IF(F157=6,4*S157+2*S157*P157,8*S157)))</f>
        <v>2.1420000000000003</v>
      </c>
      <c r="W157" s="34">
        <f>F157*P157*S157</f>
        <v>2.1420000000000003</v>
      </c>
    </row>
    <row r="158" spans="1:23" x14ac:dyDescent="0.25">
      <c r="A158" s="31" t="s">
        <v>771</v>
      </c>
      <c r="B158" s="33" t="s">
        <v>548</v>
      </c>
      <c r="C158" s="31" t="s">
        <v>545</v>
      </c>
      <c r="D158" s="31" t="s">
        <v>987</v>
      </c>
      <c r="E158" s="31" t="s">
        <v>344</v>
      </c>
      <c r="F158" s="31">
        <v>2</v>
      </c>
      <c r="G158" s="31">
        <v>4</v>
      </c>
      <c r="H158" s="31">
        <v>3.6</v>
      </c>
      <c r="I158" s="31">
        <v>3.9</v>
      </c>
      <c r="J158" s="33">
        <v>128</v>
      </c>
      <c r="K158" s="33">
        <v>1024</v>
      </c>
      <c r="L158" s="31">
        <v>0</v>
      </c>
      <c r="M158" s="31" t="s">
        <v>749</v>
      </c>
      <c r="N158" s="33"/>
      <c r="O158" s="33">
        <f t="shared" si="18"/>
        <v>1</v>
      </c>
      <c r="P158" s="33">
        <f>IF(M158="O",IF(UPPER(A158)="INTEL",1.46,1.5),1)</f>
        <v>1.5</v>
      </c>
      <c r="Q158" s="33">
        <f t="shared" si="30"/>
        <v>0.92702702702702688</v>
      </c>
      <c r="R158" s="33"/>
      <c r="S158" s="34">
        <f t="shared" si="19"/>
        <v>0.71400000000000008</v>
      </c>
      <c r="T158" s="34">
        <f>IF(F158=1,IF(M158="O",S158*P158,S158),S158*2)</f>
        <v>1.4280000000000002</v>
      </c>
      <c r="U158" s="34">
        <f>IF(G158&lt;4,W158,IF(F158=2,2*S158*P158,IF(F158=3,2*S158+S158*P158,S158*4)))</f>
        <v>2.1420000000000003</v>
      </c>
      <c r="V158" s="34">
        <f>IF(G158&lt;8,W158,IF(F158=4,4*S158*P158,IF(F158=6,4*S158+2*S158*P158,8*S158)))</f>
        <v>2.1420000000000003</v>
      </c>
      <c r="W158" s="34">
        <f>F158*P158*S158</f>
        <v>2.1420000000000003</v>
      </c>
    </row>
    <row r="159" spans="1:23" x14ac:dyDescent="0.25">
      <c r="A159" s="31" t="s">
        <v>771</v>
      </c>
      <c r="B159" s="33" t="s">
        <v>996</v>
      </c>
      <c r="C159" s="31" t="s">
        <v>986</v>
      </c>
      <c r="D159" s="31" t="s">
        <v>987</v>
      </c>
      <c r="E159" s="31" t="s">
        <v>344</v>
      </c>
      <c r="F159" s="31">
        <v>1</v>
      </c>
      <c r="G159" s="31">
        <v>2</v>
      </c>
      <c r="H159" s="31">
        <v>3.7</v>
      </c>
      <c r="I159" s="31">
        <v>4</v>
      </c>
      <c r="J159" s="33">
        <v>128</v>
      </c>
      <c r="K159" s="33">
        <v>1024</v>
      </c>
      <c r="L159" s="31">
        <v>0</v>
      </c>
      <c r="M159" s="31" t="s">
        <v>749</v>
      </c>
      <c r="N159" s="33"/>
      <c r="O159" s="33">
        <f t="shared" si="18"/>
        <v>1</v>
      </c>
      <c r="P159" s="33">
        <f>IF(M159="O",IF(UPPER(A159)="INTEL",1.46,1.5),1)</f>
        <v>1.5</v>
      </c>
      <c r="Q159" s="33">
        <f t="shared" si="30"/>
        <v>0.92702702702702688</v>
      </c>
      <c r="R159" s="33"/>
      <c r="S159" s="34">
        <f t="shared" si="19"/>
        <v>0.7339</v>
      </c>
      <c r="T159" s="34">
        <f>IF(F159=1,IF(M159="O",S159*P159,S159),S159*2)</f>
        <v>1.1008499999999999</v>
      </c>
      <c r="U159" s="34">
        <f>IF(G159&lt;4,W159,IF(F159=2,2*S159*P159,IF(F159=3,2*S159+S159*P159,S159*4)))</f>
        <v>1.1008499999999999</v>
      </c>
      <c r="V159" s="34">
        <f>IF(G159&lt;8,W159,IF(F159=4,4*S159*P159,IF(F159=6,4*S159+2*S159*P159,8*S159)))</f>
        <v>1.1008499999999999</v>
      </c>
      <c r="W159" s="34">
        <f>F159*P159*S159</f>
        <v>1.1008499999999999</v>
      </c>
    </row>
    <row r="160" spans="1:23" x14ac:dyDescent="0.25">
      <c r="A160" s="31" t="s">
        <v>771</v>
      </c>
      <c r="B160" s="33" t="s">
        <v>554</v>
      </c>
      <c r="C160" s="31" t="s">
        <v>545</v>
      </c>
      <c r="D160" s="31" t="s">
        <v>546</v>
      </c>
      <c r="E160" s="31" t="s">
        <v>344</v>
      </c>
      <c r="F160" s="31">
        <v>2</v>
      </c>
      <c r="G160" s="31">
        <v>4</v>
      </c>
      <c r="H160" s="31">
        <v>3.7</v>
      </c>
      <c r="I160" s="31">
        <v>4</v>
      </c>
      <c r="J160" s="33">
        <v>128</v>
      </c>
      <c r="K160" s="33">
        <v>1024</v>
      </c>
      <c r="L160" s="31">
        <v>0</v>
      </c>
      <c r="M160" s="31" t="s">
        <v>749</v>
      </c>
      <c r="N160" s="33"/>
      <c r="O160" s="33">
        <f t="shared" si="18"/>
        <v>1</v>
      </c>
      <c r="P160" s="33">
        <f t="shared" si="20"/>
        <v>1.5</v>
      </c>
      <c r="Q160" s="33">
        <f t="shared" si="30"/>
        <v>0.92702702702702688</v>
      </c>
      <c r="R160" s="33"/>
      <c r="S160" s="34">
        <f t="shared" si="19"/>
        <v>0.7339</v>
      </c>
      <c r="T160" s="34">
        <f t="shared" si="21"/>
        <v>1.4678</v>
      </c>
      <c r="U160" s="34">
        <f t="shared" si="22"/>
        <v>2.2016999999999998</v>
      </c>
      <c r="V160" s="34">
        <f t="shared" si="23"/>
        <v>2.2016999999999998</v>
      </c>
      <c r="W160" s="34">
        <f t="shared" si="24"/>
        <v>2.2016999999999998</v>
      </c>
    </row>
    <row r="161" spans="1:23" x14ac:dyDescent="0.25">
      <c r="A161" s="31" t="s">
        <v>771</v>
      </c>
      <c r="B161" s="33" t="s">
        <v>555</v>
      </c>
      <c r="C161" s="31" t="s">
        <v>545</v>
      </c>
      <c r="D161" s="31" t="s">
        <v>546</v>
      </c>
      <c r="E161" s="31" t="s">
        <v>344</v>
      </c>
      <c r="F161" s="31">
        <v>2</v>
      </c>
      <c r="G161" s="31">
        <v>4</v>
      </c>
      <c r="H161" s="31">
        <v>3.5</v>
      </c>
      <c r="I161" s="31">
        <v>3.9</v>
      </c>
      <c r="J161" s="33">
        <v>128</v>
      </c>
      <c r="K161" s="33">
        <v>1024</v>
      </c>
      <c r="L161" s="31">
        <v>0</v>
      </c>
      <c r="M161" s="31" t="s">
        <v>749</v>
      </c>
      <c r="N161" s="33"/>
      <c r="O161" s="33">
        <f t="shared" si="18"/>
        <v>1</v>
      </c>
      <c r="P161" s="33">
        <f t="shared" si="20"/>
        <v>1.5</v>
      </c>
      <c r="Q161" s="33">
        <f t="shared" si="30"/>
        <v>0.92702702702702688</v>
      </c>
      <c r="R161" s="33"/>
      <c r="S161" s="34">
        <f t="shared" si="19"/>
        <v>0.69420000000000004</v>
      </c>
      <c r="T161" s="34">
        <f t="shared" si="21"/>
        <v>1.3884000000000001</v>
      </c>
      <c r="U161" s="34">
        <f t="shared" si="22"/>
        <v>2.0826000000000002</v>
      </c>
      <c r="V161" s="34">
        <f t="shared" si="23"/>
        <v>2.0826000000000002</v>
      </c>
      <c r="W161" s="34">
        <f t="shared" si="24"/>
        <v>2.0826000000000002</v>
      </c>
    </row>
    <row r="162" spans="1:23" x14ac:dyDescent="0.25">
      <c r="A162" s="31" t="s">
        <v>771</v>
      </c>
      <c r="B162" s="33" t="s">
        <v>556</v>
      </c>
      <c r="C162" s="31" t="s">
        <v>545</v>
      </c>
      <c r="D162" s="31" t="s">
        <v>546</v>
      </c>
      <c r="E162" s="31" t="s">
        <v>344</v>
      </c>
      <c r="F162" s="31">
        <v>2</v>
      </c>
      <c r="G162" s="31">
        <v>4</v>
      </c>
      <c r="H162" s="31">
        <v>3.4</v>
      </c>
      <c r="I162" s="31">
        <v>3.8</v>
      </c>
      <c r="J162" s="33">
        <v>128</v>
      </c>
      <c r="K162" s="33">
        <v>1024</v>
      </c>
      <c r="L162" s="31">
        <v>0</v>
      </c>
      <c r="M162" s="31" t="s">
        <v>749</v>
      </c>
      <c r="N162" s="33"/>
      <c r="O162" s="33">
        <f t="shared" si="18"/>
        <v>1</v>
      </c>
      <c r="P162" s="33">
        <f t="shared" si="20"/>
        <v>1.5</v>
      </c>
      <c r="Q162" s="33">
        <f t="shared" si="30"/>
        <v>0.92702702702702688</v>
      </c>
      <c r="R162" s="33"/>
      <c r="S162" s="34">
        <f t="shared" si="19"/>
        <v>0.6744</v>
      </c>
      <c r="T162" s="34">
        <f t="shared" si="21"/>
        <v>1.3488</v>
      </c>
      <c r="U162" s="34">
        <f t="shared" si="22"/>
        <v>2.0232000000000001</v>
      </c>
      <c r="V162" s="34">
        <f t="shared" si="23"/>
        <v>2.0232000000000001</v>
      </c>
      <c r="W162" s="34">
        <f t="shared" si="24"/>
        <v>2.0232000000000001</v>
      </c>
    </row>
    <row r="163" spans="1:23" x14ac:dyDescent="0.25">
      <c r="A163" s="31" t="s">
        <v>771</v>
      </c>
      <c r="B163" s="33" t="s">
        <v>557</v>
      </c>
      <c r="C163" s="31" t="s">
        <v>545</v>
      </c>
      <c r="D163" s="31" t="s">
        <v>546</v>
      </c>
      <c r="E163" s="31" t="s">
        <v>344</v>
      </c>
      <c r="F163" s="31">
        <v>2</v>
      </c>
      <c r="G163" s="31">
        <v>4</v>
      </c>
      <c r="H163" s="31">
        <v>3.6</v>
      </c>
      <c r="I163" s="31">
        <v>3.9</v>
      </c>
      <c r="J163" s="33">
        <v>128</v>
      </c>
      <c r="K163" s="33">
        <v>1024</v>
      </c>
      <c r="L163" s="31">
        <v>0</v>
      </c>
      <c r="M163" s="31" t="s">
        <v>749</v>
      </c>
      <c r="N163" s="33"/>
      <c r="O163" s="33">
        <f t="shared" si="18"/>
        <v>1</v>
      </c>
      <c r="P163" s="33">
        <f t="shared" si="20"/>
        <v>1.5</v>
      </c>
      <c r="Q163" s="33">
        <f t="shared" si="30"/>
        <v>0.92702702702702688</v>
      </c>
      <c r="R163" s="33"/>
      <c r="S163" s="34">
        <f t="shared" si="19"/>
        <v>0.71400000000000008</v>
      </c>
      <c r="T163" s="34">
        <f t="shared" si="21"/>
        <v>1.4280000000000002</v>
      </c>
      <c r="U163" s="34">
        <f t="shared" si="22"/>
        <v>2.1420000000000003</v>
      </c>
      <c r="V163" s="34">
        <f t="shared" si="23"/>
        <v>2.1420000000000003</v>
      </c>
      <c r="W163" s="34">
        <f t="shared" si="24"/>
        <v>2.1420000000000003</v>
      </c>
    </row>
    <row r="164" spans="1:23" x14ac:dyDescent="0.25">
      <c r="A164" s="31" t="s">
        <v>771</v>
      </c>
      <c r="B164" s="33" t="s">
        <v>558</v>
      </c>
      <c r="C164" s="31" t="s">
        <v>545</v>
      </c>
      <c r="D164" s="31" t="s">
        <v>546</v>
      </c>
      <c r="E164" s="31" t="s">
        <v>344</v>
      </c>
      <c r="F164" s="31">
        <v>2</v>
      </c>
      <c r="G164" s="31">
        <v>4</v>
      </c>
      <c r="H164" s="31">
        <v>3.3</v>
      </c>
      <c r="I164" s="31">
        <v>3.8</v>
      </c>
      <c r="J164" s="33">
        <v>128</v>
      </c>
      <c r="K164" s="33">
        <v>1024</v>
      </c>
      <c r="L164" s="31">
        <v>0</v>
      </c>
      <c r="M164" s="31" t="s">
        <v>749</v>
      </c>
      <c r="N164" s="33"/>
      <c r="O164" s="33">
        <f t="shared" si="18"/>
        <v>1</v>
      </c>
      <c r="P164" s="33">
        <f t="shared" si="20"/>
        <v>1.5</v>
      </c>
      <c r="Q164" s="33">
        <f t="shared" si="30"/>
        <v>0.92702702702702688</v>
      </c>
      <c r="R164" s="33"/>
      <c r="S164" s="34">
        <f t="shared" si="19"/>
        <v>0.65450000000000008</v>
      </c>
      <c r="T164" s="34">
        <f t="shared" si="21"/>
        <v>1.3090000000000002</v>
      </c>
      <c r="U164" s="34">
        <f t="shared" si="22"/>
        <v>1.9635000000000002</v>
      </c>
      <c r="V164" s="34">
        <f t="shared" si="23"/>
        <v>1.9635000000000002</v>
      </c>
      <c r="W164" s="34">
        <f t="shared" si="24"/>
        <v>1.9635000000000002</v>
      </c>
    </row>
    <row r="165" spans="1:23" x14ac:dyDescent="0.25">
      <c r="A165" s="31" t="s">
        <v>771</v>
      </c>
      <c r="B165" s="33" t="s">
        <v>550</v>
      </c>
      <c r="C165" s="31" t="s">
        <v>545</v>
      </c>
      <c r="D165" s="31" t="s">
        <v>546</v>
      </c>
      <c r="E165" s="31" t="s">
        <v>344</v>
      </c>
      <c r="F165" s="31">
        <v>2</v>
      </c>
      <c r="G165" s="31">
        <v>4</v>
      </c>
      <c r="H165" s="31">
        <v>3.3</v>
      </c>
      <c r="I165" s="31">
        <v>3.8</v>
      </c>
      <c r="J165" s="33">
        <v>128</v>
      </c>
      <c r="K165" s="33">
        <v>1024</v>
      </c>
      <c r="L165" s="31">
        <v>0</v>
      </c>
      <c r="M165" s="31" t="s">
        <v>749</v>
      </c>
      <c r="N165" s="33"/>
      <c r="O165" s="33">
        <f t="shared" si="18"/>
        <v>1</v>
      </c>
      <c r="P165" s="33">
        <f t="shared" si="20"/>
        <v>1.5</v>
      </c>
      <c r="Q165" s="33">
        <f t="shared" si="30"/>
        <v>0.92702702702702688</v>
      </c>
      <c r="R165" s="33"/>
      <c r="S165" s="34">
        <f t="shared" si="19"/>
        <v>0.65450000000000008</v>
      </c>
      <c r="T165" s="34">
        <f t="shared" si="21"/>
        <v>1.3090000000000002</v>
      </c>
      <c r="U165" s="34">
        <f t="shared" si="22"/>
        <v>1.9635000000000002</v>
      </c>
      <c r="V165" s="34">
        <f t="shared" si="23"/>
        <v>1.9635000000000002</v>
      </c>
      <c r="W165" s="34">
        <f t="shared" si="24"/>
        <v>1.9635000000000002</v>
      </c>
    </row>
    <row r="166" spans="1:23" x14ac:dyDescent="0.25">
      <c r="A166" s="31" t="s">
        <v>771</v>
      </c>
      <c r="B166" s="33" t="s">
        <v>551</v>
      </c>
      <c r="C166" s="31" t="s">
        <v>545</v>
      </c>
      <c r="D166" s="31" t="s">
        <v>546</v>
      </c>
      <c r="E166" s="31" t="s">
        <v>344</v>
      </c>
      <c r="F166" s="31">
        <v>2</v>
      </c>
      <c r="G166" s="31">
        <v>4</v>
      </c>
      <c r="H166" s="31">
        <v>3.1</v>
      </c>
      <c r="I166" s="31">
        <v>3.8</v>
      </c>
      <c r="J166" s="33">
        <v>128</v>
      </c>
      <c r="K166" s="33">
        <v>1024</v>
      </c>
      <c r="L166" s="31">
        <v>0</v>
      </c>
      <c r="M166" s="31" t="s">
        <v>749</v>
      </c>
      <c r="N166" s="33"/>
      <c r="O166" s="33">
        <f t="shared" si="18"/>
        <v>1</v>
      </c>
      <c r="P166" s="33">
        <f t="shared" si="20"/>
        <v>1.5</v>
      </c>
      <c r="Q166" s="33">
        <f t="shared" si="30"/>
        <v>0.92702702702702688</v>
      </c>
      <c r="R166" s="33"/>
      <c r="S166" s="34">
        <f t="shared" si="19"/>
        <v>0.6149</v>
      </c>
      <c r="T166" s="34">
        <f t="shared" si="21"/>
        <v>1.2298</v>
      </c>
      <c r="U166" s="34">
        <f t="shared" si="22"/>
        <v>1.8447</v>
      </c>
      <c r="V166" s="34">
        <f t="shared" si="23"/>
        <v>1.8447</v>
      </c>
      <c r="W166" s="34">
        <f t="shared" si="24"/>
        <v>1.8447</v>
      </c>
    </row>
    <row r="167" spans="1:23" x14ac:dyDescent="0.25">
      <c r="A167" s="31" t="s">
        <v>771</v>
      </c>
      <c r="B167" s="33" t="s">
        <v>544</v>
      </c>
      <c r="C167" s="31" t="s">
        <v>545</v>
      </c>
      <c r="D167" s="31" t="s">
        <v>546</v>
      </c>
      <c r="E167" s="31" t="s">
        <v>344</v>
      </c>
      <c r="F167" s="31">
        <v>1</v>
      </c>
      <c r="G167" s="31">
        <v>2</v>
      </c>
      <c r="H167" s="31">
        <v>3.5</v>
      </c>
      <c r="I167" s="31">
        <v>3.9</v>
      </c>
      <c r="J167" s="33">
        <v>128</v>
      </c>
      <c r="K167" s="33">
        <v>1024</v>
      </c>
      <c r="L167" s="31">
        <v>0</v>
      </c>
      <c r="M167" s="31" t="s">
        <v>749</v>
      </c>
      <c r="N167" s="33"/>
      <c r="O167" s="33">
        <f t="shared" si="18"/>
        <v>1</v>
      </c>
      <c r="P167" s="33">
        <f t="shared" si="20"/>
        <v>1.5</v>
      </c>
      <c r="Q167" s="33">
        <f t="shared" si="30"/>
        <v>0.92702702702702688</v>
      </c>
      <c r="R167" s="33"/>
      <c r="S167" s="34">
        <f t="shared" si="19"/>
        <v>0.69420000000000004</v>
      </c>
      <c r="T167" s="34">
        <f t="shared" si="21"/>
        <v>1.0413000000000001</v>
      </c>
      <c r="U167" s="34">
        <f t="shared" si="22"/>
        <v>1.0413000000000001</v>
      </c>
      <c r="V167" s="34">
        <f t="shared" si="23"/>
        <v>1.0413000000000001</v>
      </c>
      <c r="W167" s="34">
        <f t="shared" si="24"/>
        <v>1.0413000000000001</v>
      </c>
    </row>
    <row r="168" spans="1:23" x14ac:dyDescent="0.25">
      <c r="A168" s="31" t="s">
        <v>771</v>
      </c>
      <c r="B168" s="33" t="s">
        <v>982</v>
      </c>
      <c r="C168" s="31" t="s">
        <v>545</v>
      </c>
      <c r="D168" s="31" t="s">
        <v>546</v>
      </c>
      <c r="E168" s="31" t="s">
        <v>344</v>
      </c>
      <c r="F168" s="31">
        <v>2</v>
      </c>
      <c r="G168" s="31">
        <v>4</v>
      </c>
      <c r="H168" s="31">
        <v>3.7</v>
      </c>
      <c r="I168" s="31">
        <v>4</v>
      </c>
      <c r="J168" s="33">
        <v>128</v>
      </c>
      <c r="K168" s="33">
        <v>1024</v>
      </c>
      <c r="L168" s="31">
        <v>0</v>
      </c>
      <c r="M168" s="31" t="s">
        <v>749</v>
      </c>
      <c r="N168" s="33"/>
      <c r="O168" s="33">
        <f t="shared" si="18"/>
        <v>1</v>
      </c>
      <c r="P168" s="33">
        <f t="shared" si="20"/>
        <v>1.5</v>
      </c>
      <c r="Q168" s="33">
        <f t="shared" si="30"/>
        <v>0.92702702702702688</v>
      </c>
      <c r="R168" s="33"/>
      <c r="S168" s="34">
        <f t="shared" si="19"/>
        <v>0.7339</v>
      </c>
      <c r="T168" s="34">
        <f t="shared" si="21"/>
        <v>1.4678</v>
      </c>
      <c r="U168" s="34">
        <f t="shared" si="22"/>
        <v>2.2016999999999998</v>
      </c>
      <c r="V168" s="34">
        <f t="shared" si="23"/>
        <v>2.2016999999999998</v>
      </c>
      <c r="W168" s="34">
        <f t="shared" si="24"/>
        <v>2.2016999999999998</v>
      </c>
    </row>
    <row r="169" spans="1:23" x14ac:dyDescent="0.25">
      <c r="A169" s="31" t="s">
        <v>771</v>
      </c>
      <c r="B169" s="33" t="s">
        <v>983</v>
      </c>
      <c r="C169" s="31" t="s">
        <v>545</v>
      </c>
      <c r="D169" s="31" t="s">
        <v>546</v>
      </c>
      <c r="E169" s="31" t="s">
        <v>344</v>
      </c>
      <c r="F169" s="31">
        <v>2</v>
      </c>
      <c r="G169" s="31">
        <v>4</v>
      </c>
      <c r="H169" s="31">
        <v>3.1</v>
      </c>
      <c r="I169" s="31">
        <v>3.8</v>
      </c>
      <c r="J169" s="33">
        <v>128</v>
      </c>
      <c r="K169" s="33">
        <v>1024</v>
      </c>
      <c r="L169" s="31">
        <v>0</v>
      </c>
      <c r="M169" s="31" t="s">
        <v>749</v>
      </c>
      <c r="N169" s="33"/>
      <c r="O169" s="33">
        <f t="shared" si="18"/>
        <v>1</v>
      </c>
      <c r="P169" s="33">
        <f t="shared" si="20"/>
        <v>1.5</v>
      </c>
      <c r="Q169" s="33">
        <f t="shared" si="30"/>
        <v>0.92702702702702688</v>
      </c>
      <c r="R169" s="33"/>
      <c r="S169" s="34">
        <f t="shared" si="19"/>
        <v>0.6149</v>
      </c>
      <c r="T169" s="34">
        <f t="shared" si="21"/>
        <v>1.2298</v>
      </c>
      <c r="U169" s="34">
        <f t="shared" si="22"/>
        <v>1.8447</v>
      </c>
      <c r="V169" s="34">
        <f t="shared" si="23"/>
        <v>1.8447</v>
      </c>
      <c r="W169" s="34">
        <f t="shared" si="24"/>
        <v>1.8447</v>
      </c>
    </row>
    <row r="170" spans="1:23" x14ac:dyDescent="0.25">
      <c r="A170" s="31" t="s">
        <v>771</v>
      </c>
      <c r="B170" s="33" t="s">
        <v>984</v>
      </c>
      <c r="C170" s="31" t="s">
        <v>545</v>
      </c>
      <c r="D170" s="31" t="s">
        <v>546</v>
      </c>
      <c r="E170" s="31" t="s">
        <v>344</v>
      </c>
      <c r="F170" s="31">
        <v>1</v>
      </c>
      <c r="G170" s="31">
        <v>2</v>
      </c>
      <c r="H170" s="31">
        <v>3.5</v>
      </c>
      <c r="I170" s="31">
        <v>3.9</v>
      </c>
      <c r="J170" s="33">
        <v>128</v>
      </c>
      <c r="K170" s="33">
        <v>1024</v>
      </c>
      <c r="L170" s="31">
        <v>0</v>
      </c>
      <c r="M170" s="31" t="s">
        <v>749</v>
      </c>
      <c r="N170" s="33"/>
      <c r="O170" s="33">
        <f t="shared" si="18"/>
        <v>1</v>
      </c>
      <c r="P170" s="33">
        <f t="shared" si="20"/>
        <v>1.5</v>
      </c>
      <c r="Q170" s="33">
        <f t="shared" si="30"/>
        <v>0.92702702702702688</v>
      </c>
      <c r="R170" s="33"/>
      <c r="S170" s="34">
        <f t="shared" si="19"/>
        <v>0.69420000000000004</v>
      </c>
      <c r="T170" s="34">
        <f t="shared" si="21"/>
        <v>1.0413000000000001</v>
      </c>
      <c r="U170" s="34">
        <f t="shared" si="22"/>
        <v>1.0413000000000001</v>
      </c>
      <c r="V170" s="34">
        <f t="shared" si="23"/>
        <v>1.0413000000000001</v>
      </c>
      <c r="W170" s="34">
        <f t="shared" si="24"/>
        <v>1.0413000000000001</v>
      </c>
    </row>
    <row r="171" spans="1:23" x14ac:dyDescent="0.25">
      <c r="A171" s="31" t="s">
        <v>771</v>
      </c>
      <c r="B171" s="33" t="s">
        <v>999</v>
      </c>
      <c r="C171" s="31" t="s">
        <v>1005</v>
      </c>
      <c r="D171" s="31" t="s">
        <v>1006</v>
      </c>
      <c r="E171" s="31" t="s">
        <v>998</v>
      </c>
      <c r="F171" s="31">
        <v>2</v>
      </c>
      <c r="G171" s="31">
        <v>4</v>
      </c>
      <c r="H171" s="31">
        <v>2.2000000000000002</v>
      </c>
      <c r="I171" s="31">
        <v>2.2000000000000002</v>
      </c>
      <c r="J171" s="33">
        <v>128</v>
      </c>
      <c r="K171" s="33">
        <v>1024</v>
      </c>
      <c r="L171" s="31">
        <v>0</v>
      </c>
      <c r="M171" s="31" t="s">
        <v>749</v>
      </c>
      <c r="N171" s="33"/>
      <c r="O171" s="33">
        <f t="shared" si="18"/>
        <v>1</v>
      </c>
      <c r="P171" s="33">
        <f t="shared" si="20"/>
        <v>1.5</v>
      </c>
      <c r="Q171" s="33">
        <f t="shared" si="30"/>
        <v>0.92702702702702688</v>
      </c>
      <c r="R171" s="33"/>
      <c r="S171" s="34">
        <f t="shared" si="19"/>
        <v>0.43630000000000002</v>
      </c>
      <c r="T171" s="34">
        <f t="shared" si="21"/>
        <v>0.87260000000000004</v>
      </c>
      <c r="U171" s="34">
        <f t="shared" si="22"/>
        <v>1.3089</v>
      </c>
      <c r="V171" s="34">
        <f t="shared" si="23"/>
        <v>1.3089</v>
      </c>
      <c r="W171" s="34">
        <f t="shared" si="24"/>
        <v>1.3089</v>
      </c>
    </row>
    <row r="172" spans="1:23" x14ac:dyDescent="0.25">
      <c r="A172" s="31" t="s">
        <v>771</v>
      </c>
      <c r="B172" s="33" t="s">
        <v>1001</v>
      </c>
      <c r="C172" s="31" t="s">
        <v>1005</v>
      </c>
      <c r="D172" s="31" t="s">
        <v>1006</v>
      </c>
      <c r="E172" s="31" t="s">
        <v>998</v>
      </c>
      <c r="F172" s="31">
        <v>2</v>
      </c>
      <c r="G172" s="31">
        <v>4</v>
      </c>
      <c r="H172" s="31">
        <v>2.0499999999999998</v>
      </c>
      <c r="I172" s="31">
        <v>2.0499999999999998</v>
      </c>
      <c r="J172" s="33">
        <v>128</v>
      </c>
      <c r="K172" s="33">
        <v>1024</v>
      </c>
      <c r="L172" s="31">
        <v>0</v>
      </c>
      <c r="M172" s="31" t="s">
        <v>749</v>
      </c>
      <c r="N172" s="33"/>
      <c r="O172" s="33">
        <f t="shared" si="18"/>
        <v>1</v>
      </c>
      <c r="P172" s="33">
        <f t="shared" si="20"/>
        <v>1.5</v>
      </c>
      <c r="Q172" s="33">
        <f>Q171</f>
        <v>0.92702702702702688</v>
      </c>
      <c r="R172" s="33"/>
      <c r="S172" s="34">
        <f t="shared" si="19"/>
        <v>0.40660000000000002</v>
      </c>
      <c r="T172" s="34">
        <f t="shared" si="21"/>
        <v>0.81320000000000003</v>
      </c>
      <c r="U172" s="34">
        <f t="shared" si="22"/>
        <v>1.2198</v>
      </c>
      <c r="V172" s="34">
        <f t="shared" si="23"/>
        <v>1.2198</v>
      </c>
      <c r="W172" s="34">
        <f t="shared" si="24"/>
        <v>1.2198</v>
      </c>
    </row>
    <row r="173" spans="1:23" x14ac:dyDescent="0.25">
      <c r="A173" s="31" t="s">
        <v>771</v>
      </c>
      <c r="B173" s="33" t="s">
        <v>1003</v>
      </c>
      <c r="C173" s="31" t="s">
        <v>1005</v>
      </c>
      <c r="D173" s="31" t="s">
        <v>1006</v>
      </c>
      <c r="E173" s="31" t="s">
        <v>998</v>
      </c>
      <c r="F173" s="31">
        <v>2</v>
      </c>
      <c r="G173" s="31">
        <v>4</v>
      </c>
      <c r="H173" s="31">
        <v>1.6</v>
      </c>
      <c r="I173" s="31">
        <v>1.6</v>
      </c>
      <c r="J173" s="33">
        <v>128</v>
      </c>
      <c r="K173" s="33">
        <v>1024</v>
      </c>
      <c r="L173" s="31">
        <v>0</v>
      </c>
      <c r="M173" s="31" t="s">
        <v>749</v>
      </c>
      <c r="N173" s="33"/>
      <c r="O173" s="33">
        <f t="shared" si="18"/>
        <v>1</v>
      </c>
      <c r="P173" s="33">
        <f t="shared" si="20"/>
        <v>1.5</v>
      </c>
      <c r="Q173" s="33">
        <f>Q172</f>
        <v>0.92702702702702688</v>
      </c>
      <c r="R173" s="33"/>
      <c r="S173" s="34">
        <f t="shared" si="19"/>
        <v>0.31730000000000003</v>
      </c>
      <c r="T173" s="34">
        <f t="shared" si="21"/>
        <v>0.63460000000000005</v>
      </c>
      <c r="U173" s="34">
        <f t="shared" si="22"/>
        <v>0.95190000000000008</v>
      </c>
      <c r="V173" s="34">
        <f t="shared" si="23"/>
        <v>0.95190000000000008</v>
      </c>
      <c r="W173" s="34">
        <f t="shared" si="24"/>
        <v>0.95190000000000008</v>
      </c>
    </row>
    <row r="174" spans="1:23" x14ac:dyDescent="0.25">
      <c r="A174" s="31" t="s">
        <v>771</v>
      </c>
      <c r="B174" s="33" t="s">
        <v>2982</v>
      </c>
      <c r="C174" s="31" t="s">
        <v>1005</v>
      </c>
      <c r="D174" s="31" t="s">
        <v>1006</v>
      </c>
      <c r="E174" s="31" t="s">
        <v>998</v>
      </c>
      <c r="F174" s="31">
        <v>2</v>
      </c>
      <c r="G174" s="31">
        <v>4</v>
      </c>
      <c r="H174" s="31">
        <v>1.3</v>
      </c>
      <c r="I174" s="31">
        <v>1.3</v>
      </c>
      <c r="J174" s="33">
        <v>128</v>
      </c>
      <c r="K174" s="33">
        <v>1024</v>
      </c>
      <c r="L174" s="31">
        <v>0</v>
      </c>
      <c r="M174" s="31" t="s">
        <v>749</v>
      </c>
      <c r="N174" s="33"/>
      <c r="O174" s="33">
        <f t="shared" si="18"/>
        <v>1</v>
      </c>
      <c r="P174" s="33">
        <f>IF(M174="O",IF(UPPER(A174)="INTEL",1.46,1.5),1)</f>
        <v>1.5</v>
      </c>
      <c r="Q174" s="33">
        <f>Q173</f>
        <v>0.92702702702702688</v>
      </c>
      <c r="R174" s="33"/>
      <c r="S174" s="34">
        <f t="shared" si="19"/>
        <v>0.25780000000000003</v>
      </c>
      <c r="T174" s="34">
        <f>IF(F174=1,IF(M174="O",S174*P174,S174),S174*2)</f>
        <v>0.51560000000000006</v>
      </c>
      <c r="U174" s="34">
        <f>IF(G174&lt;4,W174,IF(F174=2,2*S174*P174,IF(F174=3,2*S174+S174*P174,S174*4)))</f>
        <v>0.77340000000000009</v>
      </c>
      <c r="V174" s="34">
        <f>IF(G174&lt;8,W174,IF(F174=4,4*S174*P174,IF(F174=6,4*S174+2*S174*P174,8*S174)))</f>
        <v>0.77340000000000009</v>
      </c>
      <c r="W174" s="34">
        <f>F174*P174*S174</f>
        <v>0.77340000000000009</v>
      </c>
    </row>
    <row r="175" spans="1:23" x14ac:dyDescent="0.25">
      <c r="A175" s="31" t="s">
        <v>888</v>
      </c>
      <c r="B175" s="33" t="s">
        <v>1004</v>
      </c>
      <c r="C175" s="31" t="s">
        <v>1005</v>
      </c>
      <c r="D175" s="31" t="s">
        <v>1006</v>
      </c>
      <c r="E175" s="31" t="s">
        <v>998</v>
      </c>
      <c r="F175" s="31">
        <v>1</v>
      </c>
      <c r="G175" s="31">
        <v>2</v>
      </c>
      <c r="H175" s="31">
        <v>1.45</v>
      </c>
      <c r="I175" s="31">
        <v>1.45</v>
      </c>
      <c r="J175" s="33">
        <v>128</v>
      </c>
      <c r="K175" s="33">
        <v>1024</v>
      </c>
      <c r="L175" s="31">
        <v>0</v>
      </c>
      <c r="M175" s="31" t="s">
        <v>749</v>
      </c>
      <c r="N175" s="33"/>
      <c r="O175" s="33">
        <f t="shared" si="18"/>
        <v>1</v>
      </c>
      <c r="P175" s="33">
        <f>IF(M175="O",IF(UPPER(A175)="INTEL",1.46,1.5),1)</f>
        <v>1.5</v>
      </c>
      <c r="Q175" s="33">
        <f>Q174</f>
        <v>0.92702702702702688</v>
      </c>
      <c r="R175" s="33"/>
      <c r="S175" s="34">
        <f t="shared" si="19"/>
        <v>0.28760000000000002</v>
      </c>
      <c r="T175" s="34">
        <f>IF(F175=1,IF(M175="O",S175*P175,S175),S175*2)</f>
        <v>0.43140000000000001</v>
      </c>
      <c r="U175" s="34">
        <f>IF(G175&lt;4,W175,IF(F175=2,2*S175*P175,IF(F175=3,2*S175+S175*P175,S175*4)))</f>
        <v>0.43140000000000001</v>
      </c>
      <c r="V175" s="34">
        <f>IF(G175&lt;8,W175,IF(F175=4,4*S175*P175,IF(F175=6,4*S175+2*S175*P175,8*S175)))</f>
        <v>0.43140000000000001</v>
      </c>
      <c r="W175" s="34">
        <f>F175*P175*S175</f>
        <v>0.43140000000000001</v>
      </c>
    </row>
    <row r="176" spans="1:23" x14ac:dyDescent="0.25">
      <c r="A176" s="31" t="s">
        <v>771</v>
      </c>
      <c r="B176" s="33" t="s">
        <v>573</v>
      </c>
      <c r="C176" s="31" t="s">
        <v>560</v>
      </c>
      <c r="D176" s="31" t="s">
        <v>561</v>
      </c>
      <c r="E176" s="31" t="s">
        <v>562</v>
      </c>
      <c r="F176" s="31">
        <v>2</v>
      </c>
      <c r="G176" s="31">
        <v>4</v>
      </c>
      <c r="H176" s="31">
        <v>4.0999999999999996</v>
      </c>
      <c r="I176" s="31">
        <v>4.4000000000000004</v>
      </c>
      <c r="J176" s="33">
        <v>128</v>
      </c>
      <c r="K176" s="33">
        <v>1024</v>
      </c>
      <c r="L176" s="31">
        <v>0</v>
      </c>
      <c r="M176" s="31" t="s">
        <v>749</v>
      </c>
      <c r="N176" s="33"/>
      <c r="O176" s="33">
        <f t="shared" si="18"/>
        <v>1</v>
      </c>
      <c r="P176" s="33">
        <f t="shared" si="20"/>
        <v>1.5</v>
      </c>
      <c r="Q176" s="33">
        <f>Q170/1.09</f>
        <v>0.85048351103396957</v>
      </c>
      <c r="R176" s="33"/>
      <c r="S176" s="34">
        <f t="shared" si="19"/>
        <v>0.74609999999999999</v>
      </c>
      <c r="T176" s="34">
        <f t="shared" si="21"/>
        <v>1.4922</v>
      </c>
      <c r="U176" s="34">
        <f t="shared" si="22"/>
        <v>2.2382999999999997</v>
      </c>
      <c r="V176" s="34">
        <f t="shared" si="23"/>
        <v>2.2382999999999997</v>
      </c>
      <c r="W176" s="34">
        <f t="shared" si="24"/>
        <v>2.2382999999999997</v>
      </c>
    </row>
    <row r="177" spans="1:23" x14ac:dyDescent="0.25">
      <c r="A177" s="31" t="s">
        <v>771</v>
      </c>
      <c r="B177" s="33" t="s">
        <v>574</v>
      </c>
      <c r="C177" s="31" t="s">
        <v>560</v>
      </c>
      <c r="D177" s="31" t="s">
        <v>561</v>
      </c>
      <c r="E177" s="31" t="s">
        <v>562</v>
      </c>
      <c r="F177" s="31">
        <v>2</v>
      </c>
      <c r="G177" s="31">
        <v>4</v>
      </c>
      <c r="H177" s="31">
        <v>4</v>
      </c>
      <c r="I177" s="31">
        <v>4.3</v>
      </c>
      <c r="J177" s="33">
        <v>128</v>
      </c>
      <c r="K177" s="33">
        <v>1024</v>
      </c>
      <c r="L177" s="31">
        <v>0</v>
      </c>
      <c r="M177" s="31" t="s">
        <v>749</v>
      </c>
      <c r="N177" s="33"/>
      <c r="O177" s="33">
        <f t="shared" si="18"/>
        <v>1</v>
      </c>
      <c r="P177" s="33">
        <f t="shared" si="20"/>
        <v>1.5</v>
      </c>
      <c r="Q177" s="33">
        <f t="shared" ref="Q177:Q190" si="31">Q176</f>
        <v>0.85048351103396957</v>
      </c>
      <c r="R177" s="33"/>
      <c r="S177" s="34">
        <f t="shared" si="19"/>
        <v>0.72789999999999999</v>
      </c>
      <c r="T177" s="34">
        <f t="shared" si="21"/>
        <v>1.4558</v>
      </c>
      <c r="U177" s="34">
        <f t="shared" si="22"/>
        <v>2.1837</v>
      </c>
      <c r="V177" s="34">
        <f t="shared" si="23"/>
        <v>2.1837</v>
      </c>
      <c r="W177" s="34">
        <f t="shared" si="24"/>
        <v>2.1837</v>
      </c>
    </row>
    <row r="178" spans="1:23" x14ac:dyDescent="0.25">
      <c r="A178" s="31" t="s">
        <v>771</v>
      </c>
      <c r="B178" s="33" t="s">
        <v>575</v>
      </c>
      <c r="C178" s="31" t="s">
        <v>560</v>
      </c>
      <c r="D178" s="31" t="s">
        <v>561</v>
      </c>
      <c r="E178" s="31" t="s">
        <v>562</v>
      </c>
      <c r="F178" s="31">
        <v>2</v>
      </c>
      <c r="G178" s="31">
        <v>4</v>
      </c>
      <c r="H178" s="31">
        <v>3.7</v>
      </c>
      <c r="I178" s="31">
        <v>4.3</v>
      </c>
      <c r="J178" s="33">
        <v>128</v>
      </c>
      <c r="K178" s="33">
        <v>1024</v>
      </c>
      <c r="L178" s="31">
        <v>0</v>
      </c>
      <c r="M178" s="31" t="s">
        <v>749</v>
      </c>
      <c r="N178" s="33"/>
      <c r="O178" s="33">
        <f t="shared" si="18"/>
        <v>1</v>
      </c>
      <c r="P178" s="33">
        <f t="shared" si="20"/>
        <v>1.5</v>
      </c>
      <c r="Q178" s="33">
        <f t="shared" si="31"/>
        <v>0.85048351103396957</v>
      </c>
      <c r="R178" s="33"/>
      <c r="S178" s="34">
        <f t="shared" si="19"/>
        <v>0.67330000000000001</v>
      </c>
      <c r="T178" s="34">
        <f t="shared" si="21"/>
        <v>1.3466</v>
      </c>
      <c r="U178" s="34">
        <f t="shared" si="22"/>
        <v>2.0198999999999998</v>
      </c>
      <c r="V178" s="34">
        <f t="shared" si="23"/>
        <v>2.0198999999999998</v>
      </c>
      <c r="W178" s="34">
        <f t="shared" si="24"/>
        <v>2.0198999999999998</v>
      </c>
    </row>
    <row r="179" spans="1:23" x14ac:dyDescent="0.25">
      <c r="A179" s="31" t="s">
        <v>771</v>
      </c>
      <c r="B179" s="33" t="s">
        <v>559</v>
      </c>
      <c r="C179" s="31" t="s">
        <v>560</v>
      </c>
      <c r="D179" s="31" t="s">
        <v>561</v>
      </c>
      <c r="E179" s="31" t="s">
        <v>562</v>
      </c>
      <c r="F179" s="31">
        <v>2</v>
      </c>
      <c r="G179" s="31">
        <v>4</v>
      </c>
      <c r="H179" s="31">
        <v>3.9</v>
      </c>
      <c r="I179" s="31">
        <v>4.2</v>
      </c>
      <c r="J179" s="33">
        <v>128</v>
      </c>
      <c r="K179" s="33">
        <v>1024</v>
      </c>
      <c r="L179" s="31">
        <v>0</v>
      </c>
      <c r="M179" s="31" t="s">
        <v>749</v>
      </c>
      <c r="N179" s="33"/>
      <c r="O179" s="33">
        <f t="shared" si="18"/>
        <v>1</v>
      </c>
      <c r="P179" s="33">
        <f t="shared" si="20"/>
        <v>1.5</v>
      </c>
      <c r="Q179" s="33">
        <f t="shared" si="31"/>
        <v>0.85048351103396957</v>
      </c>
      <c r="R179" s="33"/>
      <c r="S179" s="34">
        <f t="shared" si="19"/>
        <v>0.7097</v>
      </c>
      <c r="T179" s="34">
        <f t="shared" si="21"/>
        <v>1.4194</v>
      </c>
      <c r="U179" s="34">
        <f t="shared" si="22"/>
        <v>2.1291000000000002</v>
      </c>
      <c r="V179" s="34">
        <f t="shared" si="23"/>
        <v>2.1291000000000002</v>
      </c>
      <c r="W179" s="34">
        <f t="shared" si="24"/>
        <v>2.1291000000000002</v>
      </c>
    </row>
    <row r="180" spans="1:23" x14ac:dyDescent="0.25">
      <c r="A180" s="31" t="s">
        <v>771</v>
      </c>
      <c r="B180" s="33" t="s">
        <v>564</v>
      </c>
      <c r="C180" s="31" t="s">
        <v>560</v>
      </c>
      <c r="D180" s="31" t="s">
        <v>561</v>
      </c>
      <c r="E180" s="31" t="s">
        <v>562</v>
      </c>
      <c r="F180" s="31">
        <v>2</v>
      </c>
      <c r="G180" s="31">
        <v>4</v>
      </c>
      <c r="H180" s="31">
        <v>3.5</v>
      </c>
      <c r="I180" s="31">
        <v>4.0999999999999996</v>
      </c>
      <c r="J180" s="33">
        <v>128</v>
      </c>
      <c r="K180" s="33">
        <v>1024</v>
      </c>
      <c r="L180" s="31">
        <v>0</v>
      </c>
      <c r="M180" s="31" t="s">
        <v>749</v>
      </c>
      <c r="N180" s="33"/>
      <c r="O180" s="33">
        <f t="shared" si="18"/>
        <v>1</v>
      </c>
      <c r="P180" s="33">
        <f t="shared" si="20"/>
        <v>1.5</v>
      </c>
      <c r="Q180" s="33">
        <f t="shared" si="31"/>
        <v>0.85048351103396957</v>
      </c>
      <c r="R180" s="33"/>
      <c r="S180" s="34">
        <f t="shared" si="19"/>
        <v>0.63690000000000002</v>
      </c>
      <c r="T180" s="34">
        <f t="shared" si="21"/>
        <v>1.2738</v>
      </c>
      <c r="U180" s="34">
        <f t="shared" si="22"/>
        <v>1.9107000000000001</v>
      </c>
      <c r="V180" s="34">
        <f t="shared" si="23"/>
        <v>1.9107000000000001</v>
      </c>
      <c r="W180" s="34">
        <f t="shared" si="24"/>
        <v>1.9107000000000001</v>
      </c>
    </row>
    <row r="181" spans="1:23" x14ac:dyDescent="0.25">
      <c r="A181" s="31" t="s">
        <v>771</v>
      </c>
      <c r="B181" s="33" t="s">
        <v>565</v>
      </c>
      <c r="C181" s="31" t="s">
        <v>560</v>
      </c>
      <c r="D181" s="31" t="s">
        <v>561</v>
      </c>
      <c r="E181" s="31" t="s">
        <v>562</v>
      </c>
      <c r="F181" s="31">
        <v>1</v>
      </c>
      <c r="G181" s="31">
        <v>2</v>
      </c>
      <c r="H181" s="31">
        <v>4</v>
      </c>
      <c r="I181" s="31">
        <v>4.2</v>
      </c>
      <c r="J181" s="33">
        <v>128</v>
      </c>
      <c r="K181" s="33">
        <v>1024</v>
      </c>
      <c r="L181" s="31">
        <v>0</v>
      </c>
      <c r="M181" s="31" t="s">
        <v>749</v>
      </c>
      <c r="N181" s="33"/>
      <c r="O181" s="33">
        <f t="shared" si="18"/>
        <v>1</v>
      </c>
      <c r="P181" s="33">
        <f t="shared" si="20"/>
        <v>1.5</v>
      </c>
      <c r="Q181" s="33">
        <f t="shared" si="31"/>
        <v>0.85048351103396957</v>
      </c>
      <c r="R181" s="33"/>
      <c r="S181" s="34">
        <f t="shared" si="19"/>
        <v>0.72789999999999999</v>
      </c>
      <c r="T181" s="34">
        <f t="shared" si="21"/>
        <v>1.09185</v>
      </c>
      <c r="U181" s="34">
        <f t="shared" si="22"/>
        <v>1.09185</v>
      </c>
      <c r="V181" s="34">
        <f t="shared" si="23"/>
        <v>1.09185</v>
      </c>
      <c r="W181" s="34">
        <f t="shared" si="24"/>
        <v>1.09185</v>
      </c>
    </row>
    <row r="182" spans="1:23" x14ac:dyDescent="0.25">
      <c r="A182" s="31" t="s">
        <v>771</v>
      </c>
      <c r="B182" s="33" t="s">
        <v>567</v>
      </c>
      <c r="C182" s="31" t="s">
        <v>560</v>
      </c>
      <c r="D182" s="31" t="s">
        <v>561</v>
      </c>
      <c r="E182" s="31" t="s">
        <v>562</v>
      </c>
      <c r="F182" s="31">
        <v>1</v>
      </c>
      <c r="G182" s="31">
        <v>2</v>
      </c>
      <c r="H182" s="31">
        <v>3.9</v>
      </c>
      <c r="I182" s="31">
        <v>4.0999999999999996</v>
      </c>
      <c r="J182" s="33">
        <v>128</v>
      </c>
      <c r="K182" s="33">
        <v>1024</v>
      </c>
      <c r="L182" s="31">
        <v>0</v>
      </c>
      <c r="M182" s="31" t="s">
        <v>749</v>
      </c>
      <c r="N182" s="33"/>
      <c r="O182" s="33">
        <f t="shared" si="18"/>
        <v>1</v>
      </c>
      <c r="P182" s="33">
        <f t="shared" si="20"/>
        <v>1.5</v>
      </c>
      <c r="Q182" s="33">
        <f t="shared" si="31"/>
        <v>0.85048351103396957</v>
      </c>
      <c r="R182" s="33"/>
      <c r="S182" s="34">
        <f t="shared" si="19"/>
        <v>0.7097</v>
      </c>
      <c r="T182" s="34">
        <f t="shared" si="21"/>
        <v>1.0645500000000001</v>
      </c>
      <c r="U182" s="34">
        <f t="shared" si="22"/>
        <v>1.0645500000000001</v>
      </c>
      <c r="V182" s="34">
        <f t="shared" si="23"/>
        <v>1.0645500000000001</v>
      </c>
      <c r="W182" s="34">
        <f t="shared" si="24"/>
        <v>1.0645500000000001</v>
      </c>
    </row>
    <row r="183" spans="1:23" x14ac:dyDescent="0.25">
      <c r="A183" s="31" t="s">
        <v>771</v>
      </c>
      <c r="B183" s="33" t="s">
        <v>568</v>
      </c>
      <c r="C183" s="31" t="s">
        <v>560</v>
      </c>
      <c r="D183" s="31" t="s">
        <v>561</v>
      </c>
      <c r="E183" s="31" t="s">
        <v>562</v>
      </c>
      <c r="F183" s="31">
        <v>1</v>
      </c>
      <c r="G183" s="31">
        <v>2</v>
      </c>
      <c r="H183" s="31">
        <v>3.8</v>
      </c>
      <c r="I183" s="31">
        <v>4</v>
      </c>
      <c r="J183" s="33">
        <v>128</v>
      </c>
      <c r="K183" s="33">
        <v>1024</v>
      </c>
      <c r="L183" s="31">
        <v>0</v>
      </c>
      <c r="M183" s="31" t="s">
        <v>749</v>
      </c>
      <c r="N183" s="33"/>
      <c r="O183" s="33">
        <f t="shared" si="18"/>
        <v>1</v>
      </c>
      <c r="P183" s="33">
        <f t="shared" si="20"/>
        <v>1.5</v>
      </c>
      <c r="Q183" s="33">
        <f t="shared" si="31"/>
        <v>0.85048351103396957</v>
      </c>
      <c r="R183" s="33"/>
      <c r="S183" s="34">
        <f t="shared" si="19"/>
        <v>0.6915</v>
      </c>
      <c r="T183" s="34">
        <f t="shared" si="21"/>
        <v>1.03725</v>
      </c>
      <c r="U183" s="34">
        <f t="shared" si="22"/>
        <v>1.03725</v>
      </c>
      <c r="V183" s="34">
        <f t="shared" si="23"/>
        <v>1.03725</v>
      </c>
      <c r="W183" s="34">
        <f t="shared" si="24"/>
        <v>1.03725</v>
      </c>
    </row>
    <row r="184" spans="1:23" x14ac:dyDescent="0.25">
      <c r="A184" s="31" t="s">
        <v>771</v>
      </c>
      <c r="B184" s="33" t="s">
        <v>570</v>
      </c>
      <c r="C184" s="31" t="s">
        <v>560</v>
      </c>
      <c r="D184" s="31" t="s">
        <v>561</v>
      </c>
      <c r="E184" s="31" t="s">
        <v>562</v>
      </c>
      <c r="F184" s="31">
        <v>1</v>
      </c>
      <c r="G184" s="31">
        <v>2</v>
      </c>
      <c r="H184" s="31">
        <v>3.8</v>
      </c>
      <c r="I184" s="31">
        <v>4</v>
      </c>
      <c r="J184" s="33">
        <v>128</v>
      </c>
      <c r="K184" s="33">
        <v>1024</v>
      </c>
      <c r="L184" s="31">
        <v>0</v>
      </c>
      <c r="M184" s="31" t="s">
        <v>749</v>
      </c>
      <c r="N184" s="33"/>
      <c r="O184" s="33">
        <f t="shared" si="18"/>
        <v>1</v>
      </c>
      <c r="P184" s="33">
        <f t="shared" si="20"/>
        <v>1.5</v>
      </c>
      <c r="Q184" s="33">
        <f t="shared" si="31"/>
        <v>0.85048351103396957</v>
      </c>
      <c r="R184" s="33"/>
      <c r="S184" s="34">
        <f t="shared" si="19"/>
        <v>0.6915</v>
      </c>
      <c r="T184" s="34">
        <f t="shared" si="21"/>
        <v>1.03725</v>
      </c>
      <c r="U184" s="34">
        <f t="shared" si="22"/>
        <v>1.03725</v>
      </c>
      <c r="V184" s="34">
        <f t="shared" si="23"/>
        <v>1.03725</v>
      </c>
      <c r="W184" s="34">
        <f t="shared" si="24"/>
        <v>1.03725</v>
      </c>
    </row>
    <row r="185" spans="1:23" x14ac:dyDescent="0.25">
      <c r="A185" s="31" t="s">
        <v>771</v>
      </c>
      <c r="B185" s="33" t="s">
        <v>571</v>
      </c>
      <c r="C185" s="31" t="s">
        <v>560</v>
      </c>
      <c r="D185" s="31" t="s">
        <v>561</v>
      </c>
      <c r="E185" s="31" t="s">
        <v>562</v>
      </c>
      <c r="F185" s="31">
        <v>1</v>
      </c>
      <c r="G185" s="31">
        <v>2</v>
      </c>
      <c r="H185" s="31">
        <v>3.7</v>
      </c>
      <c r="I185" s="31">
        <v>3.9</v>
      </c>
      <c r="J185" s="33">
        <v>128</v>
      </c>
      <c r="K185" s="33">
        <v>1024</v>
      </c>
      <c r="L185" s="31">
        <v>0</v>
      </c>
      <c r="M185" s="31" t="s">
        <v>749</v>
      </c>
      <c r="N185" s="33"/>
      <c r="O185" s="33">
        <f t="shared" si="18"/>
        <v>1</v>
      </c>
      <c r="P185" s="33">
        <f t="shared" si="20"/>
        <v>1.5</v>
      </c>
      <c r="Q185" s="33">
        <f t="shared" si="31"/>
        <v>0.85048351103396957</v>
      </c>
      <c r="R185" s="33"/>
      <c r="S185" s="34">
        <f t="shared" si="19"/>
        <v>0.67330000000000001</v>
      </c>
      <c r="T185" s="34">
        <f t="shared" si="21"/>
        <v>1.0099499999999999</v>
      </c>
      <c r="U185" s="34">
        <f t="shared" si="22"/>
        <v>1.0099499999999999</v>
      </c>
      <c r="V185" s="34">
        <f t="shared" si="23"/>
        <v>1.0099499999999999</v>
      </c>
      <c r="W185" s="34">
        <f t="shared" si="24"/>
        <v>1.0099499999999999</v>
      </c>
    </row>
    <row r="186" spans="1:23" x14ac:dyDescent="0.25">
      <c r="A186" s="31" t="s">
        <v>771</v>
      </c>
      <c r="B186" s="33" t="s">
        <v>572</v>
      </c>
      <c r="C186" s="31" t="s">
        <v>560</v>
      </c>
      <c r="D186" s="31" t="s">
        <v>561</v>
      </c>
      <c r="E186" s="31" t="s">
        <v>562</v>
      </c>
      <c r="F186" s="31">
        <v>1</v>
      </c>
      <c r="G186" s="31">
        <v>2</v>
      </c>
      <c r="H186" s="31">
        <v>3</v>
      </c>
      <c r="I186" s="31">
        <v>3.2</v>
      </c>
      <c r="J186" s="33">
        <v>128</v>
      </c>
      <c r="K186" s="33">
        <v>1024</v>
      </c>
      <c r="L186" s="31">
        <v>0</v>
      </c>
      <c r="M186" s="31" t="s">
        <v>749</v>
      </c>
      <c r="N186" s="33"/>
      <c r="O186" s="33">
        <f t="shared" si="18"/>
        <v>1</v>
      </c>
      <c r="P186" s="33">
        <f t="shared" si="20"/>
        <v>1.5</v>
      </c>
      <c r="Q186" s="33">
        <f t="shared" si="31"/>
        <v>0.85048351103396957</v>
      </c>
      <c r="R186" s="33"/>
      <c r="S186" s="34">
        <f t="shared" si="19"/>
        <v>0.54590000000000005</v>
      </c>
      <c r="T186" s="34">
        <f t="shared" si="21"/>
        <v>0.81885000000000008</v>
      </c>
      <c r="U186" s="34">
        <f t="shared" si="22"/>
        <v>0.81885000000000008</v>
      </c>
      <c r="V186" s="34">
        <f t="shared" si="23"/>
        <v>0.81885000000000008</v>
      </c>
      <c r="W186" s="34">
        <f t="shared" si="24"/>
        <v>0.81885000000000008</v>
      </c>
    </row>
    <row r="187" spans="1:23" x14ac:dyDescent="0.25">
      <c r="A187" s="31" t="s">
        <v>771</v>
      </c>
      <c r="B187" s="33" t="s">
        <v>3027</v>
      </c>
      <c r="C187" s="31" t="s">
        <v>560</v>
      </c>
      <c r="D187" s="31" t="s">
        <v>561</v>
      </c>
      <c r="E187" s="31" t="s">
        <v>562</v>
      </c>
      <c r="F187" s="31">
        <v>2</v>
      </c>
      <c r="G187" s="31">
        <v>4</v>
      </c>
      <c r="H187" s="31">
        <v>3.8</v>
      </c>
      <c r="I187" s="31">
        <v>4.0999999999999996</v>
      </c>
      <c r="J187" s="33">
        <v>128</v>
      </c>
      <c r="K187" s="33">
        <v>1024</v>
      </c>
      <c r="L187" s="31">
        <v>0</v>
      </c>
      <c r="M187" s="31" t="s">
        <v>749</v>
      </c>
      <c r="N187" s="33"/>
      <c r="O187" s="33">
        <f t="shared" si="18"/>
        <v>1</v>
      </c>
      <c r="P187" s="33">
        <f t="shared" si="20"/>
        <v>1.5</v>
      </c>
      <c r="Q187" s="33">
        <f t="shared" si="31"/>
        <v>0.85048351103396957</v>
      </c>
      <c r="R187" s="33"/>
      <c r="S187" s="34">
        <f t="shared" si="19"/>
        <v>0.6915</v>
      </c>
      <c r="T187" s="34">
        <f t="shared" si="21"/>
        <v>1.383</v>
      </c>
      <c r="U187" s="34">
        <f t="shared" si="22"/>
        <v>2.0745</v>
      </c>
      <c r="V187" s="34">
        <f t="shared" si="23"/>
        <v>2.0745</v>
      </c>
      <c r="W187" s="34">
        <f t="shared" si="24"/>
        <v>2.0745</v>
      </c>
    </row>
    <row r="188" spans="1:23" x14ac:dyDescent="0.25">
      <c r="A188" s="31" t="s">
        <v>771</v>
      </c>
      <c r="B188" s="33" t="s">
        <v>978</v>
      </c>
      <c r="C188" s="31" t="s">
        <v>560</v>
      </c>
      <c r="D188" s="31" t="s">
        <v>561</v>
      </c>
      <c r="E188" s="31" t="s">
        <v>562</v>
      </c>
      <c r="F188" s="31">
        <v>2</v>
      </c>
      <c r="G188" s="31">
        <v>4</v>
      </c>
      <c r="H188" s="31">
        <v>3.4</v>
      </c>
      <c r="I188" s="31">
        <v>3.9</v>
      </c>
      <c r="J188" s="33">
        <v>128</v>
      </c>
      <c r="K188" s="33">
        <v>1024</v>
      </c>
      <c r="L188" s="31">
        <v>0</v>
      </c>
      <c r="M188" s="31" t="s">
        <v>749</v>
      </c>
      <c r="N188" s="33"/>
      <c r="O188" s="33">
        <f t="shared" si="18"/>
        <v>1</v>
      </c>
      <c r="P188" s="33">
        <f t="shared" si="20"/>
        <v>1.5</v>
      </c>
      <c r="Q188" s="33">
        <f t="shared" si="31"/>
        <v>0.85048351103396957</v>
      </c>
      <c r="R188" s="33"/>
      <c r="S188" s="34">
        <f t="shared" si="19"/>
        <v>0.61870000000000003</v>
      </c>
      <c r="T188" s="34">
        <f t="shared" si="21"/>
        <v>1.2374000000000001</v>
      </c>
      <c r="U188" s="34">
        <f t="shared" si="22"/>
        <v>1.8561000000000001</v>
      </c>
      <c r="V188" s="34">
        <f t="shared" si="23"/>
        <v>1.8561000000000001</v>
      </c>
      <c r="W188" s="34">
        <f t="shared" si="24"/>
        <v>1.8561000000000001</v>
      </c>
    </row>
    <row r="189" spans="1:23" x14ac:dyDescent="0.25">
      <c r="A189" s="31" t="s">
        <v>771</v>
      </c>
      <c r="B189" s="33" t="s">
        <v>979</v>
      </c>
      <c r="C189" s="31" t="s">
        <v>560</v>
      </c>
      <c r="D189" s="31" t="s">
        <v>561</v>
      </c>
      <c r="E189" s="31" t="s">
        <v>562</v>
      </c>
      <c r="F189" s="31">
        <v>1</v>
      </c>
      <c r="G189" s="31">
        <v>2</v>
      </c>
      <c r="H189" s="31">
        <v>4</v>
      </c>
      <c r="I189" s="31">
        <v>4.2</v>
      </c>
      <c r="J189" s="33">
        <v>128</v>
      </c>
      <c r="K189" s="33">
        <v>1024</v>
      </c>
      <c r="L189" s="31">
        <v>0</v>
      </c>
      <c r="M189" s="31" t="s">
        <v>749</v>
      </c>
      <c r="N189" s="33"/>
      <c r="O189" s="33">
        <f t="shared" si="18"/>
        <v>1</v>
      </c>
      <c r="P189" s="33">
        <f t="shared" si="20"/>
        <v>1.5</v>
      </c>
      <c r="Q189" s="33">
        <f t="shared" si="31"/>
        <v>0.85048351103396957</v>
      </c>
      <c r="R189" s="33"/>
      <c r="S189" s="34">
        <f t="shared" si="19"/>
        <v>0.72789999999999999</v>
      </c>
      <c r="T189" s="34">
        <f t="shared" si="21"/>
        <v>1.09185</v>
      </c>
      <c r="U189" s="34">
        <f t="shared" si="22"/>
        <v>1.09185</v>
      </c>
      <c r="V189" s="34">
        <f t="shared" si="23"/>
        <v>1.09185</v>
      </c>
      <c r="W189" s="34">
        <f t="shared" si="24"/>
        <v>1.09185</v>
      </c>
    </row>
    <row r="190" spans="1:23" x14ac:dyDescent="0.25">
      <c r="A190" s="31" t="s">
        <v>771</v>
      </c>
      <c r="B190" s="33" t="s">
        <v>980</v>
      </c>
      <c r="C190" s="31" t="s">
        <v>560</v>
      </c>
      <c r="D190" s="31" t="s">
        <v>561</v>
      </c>
      <c r="E190" s="31" t="s">
        <v>562</v>
      </c>
      <c r="F190" s="31">
        <v>1</v>
      </c>
      <c r="G190" s="31">
        <v>2</v>
      </c>
      <c r="H190" s="31">
        <v>3.5</v>
      </c>
      <c r="I190" s="31">
        <v>3.9</v>
      </c>
      <c r="J190" s="33">
        <v>128</v>
      </c>
      <c r="K190" s="33">
        <v>1024</v>
      </c>
      <c r="L190" s="31">
        <v>0</v>
      </c>
      <c r="M190" s="31" t="s">
        <v>749</v>
      </c>
      <c r="N190" s="33"/>
      <c r="O190" s="33">
        <f t="shared" si="18"/>
        <v>1</v>
      </c>
      <c r="P190" s="33">
        <f t="shared" si="20"/>
        <v>1.5</v>
      </c>
      <c r="Q190" s="33">
        <f t="shared" si="31"/>
        <v>0.85048351103396957</v>
      </c>
      <c r="R190" s="33"/>
      <c r="S190" s="34">
        <f t="shared" si="19"/>
        <v>0.63690000000000002</v>
      </c>
      <c r="T190" s="34">
        <f t="shared" si="21"/>
        <v>0.95535000000000003</v>
      </c>
      <c r="U190" s="34">
        <f t="shared" si="22"/>
        <v>0.95535000000000003</v>
      </c>
      <c r="V190" s="34">
        <f t="shared" si="23"/>
        <v>0.95535000000000003</v>
      </c>
      <c r="W190" s="34">
        <f t="shared" si="24"/>
        <v>0.95535000000000003</v>
      </c>
    </row>
    <row r="191" spans="1:23" x14ac:dyDescent="0.25">
      <c r="A191" s="31" t="s">
        <v>771</v>
      </c>
      <c r="B191" s="33" t="s">
        <v>582</v>
      </c>
      <c r="C191" s="31" t="s">
        <v>560</v>
      </c>
      <c r="D191" s="31" t="s">
        <v>294</v>
      </c>
      <c r="E191" s="31" t="s">
        <v>562</v>
      </c>
      <c r="F191" s="31">
        <v>2</v>
      </c>
      <c r="G191" s="31">
        <v>4</v>
      </c>
      <c r="H191" s="31">
        <v>3.8</v>
      </c>
      <c r="I191" s="31">
        <v>4.2</v>
      </c>
      <c r="J191" s="33">
        <v>128</v>
      </c>
      <c r="K191" s="33">
        <v>1024</v>
      </c>
      <c r="L191" s="31">
        <v>0</v>
      </c>
      <c r="M191" s="31" t="s">
        <v>749</v>
      </c>
      <c r="N191" s="33"/>
      <c r="O191" s="33">
        <f t="shared" si="18"/>
        <v>1</v>
      </c>
      <c r="P191" s="33">
        <f t="shared" si="20"/>
        <v>1.5</v>
      </c>
      <c r="Q191" s="33">
        <f>Q190</f>
        <v>0.85048351103396957</v>
      </c>
      <c r="R191" s="33"/>
      <c r="S191" s="34">
        <f t="shared" si="19"/>
        <v>0.6915</v>
      </c>
      <c r="T191" s="34">
        <f t="shared" si="21"/>
        <v>1.383</v>
      </c>
      <c r="U191" s="34">
        <f t="shared" si="22"/>
        <v>2.0745</v>
      </c>
      <c r="V191" s="34">
        <f t="shared" si="23"/>
        <v>2.0745</v>
      </c>
      <c r="W191" s="34">
        <f t="shared" si="24"/>
        <v>2.0745</v>
      </c>
    </row>
    <row r="192" spans="1:23" x14ac:dyDescent="0.25">
      <c r="A192" s="31" t="s">
        <v>771</v>
      </c>
      <c r="B192" s="33" t="s">
        <v>584</v>
      </c>
      <c r="C192" s="31" t="s">
        <v>560</v>
      </c>
      <c r="D192" s="31" t="s">
        <v>294</v>
      </c>
      <c r="E192" s="31" t="s">
        <v>562</v>
      </c>
      <c r="F192" s="31">
        <v>2</v>
      </c>
      <c r="G192" s="31">
        <v>4</v>
      </c>
      <c r="H192" s="31">
        <v>3.4</v>
      </c>
      <c r="I192" s="31">
        <v>4</v>
      </c>
      <c r="J192" s="33">
        <v>128</v>
      </c>
      <c r="K192" s="33">
        <v>1024</v>
      </c>
      <c r="L192" s="31">
        <v>0</v>
      </c>
      <c r="M192" s="31" t="s">
        <v>749</v>
      </c>
      <c r="N192" s="33"/>
      <c r="O192" s="33">
        <f t="shared" si="18"/>
        <v>1</v>
      </c>
      <c r="P192" s="33">
        <f t="shared" si="20"/>
        <v>1.5</v>
      </c>
      <c r="Q192" s="33">
        <f t="shared" ref="Q192:Q199" si="32">Q191</f>
        <v>0.85048351103396957</v>
      </c>
      <c r="R192" s="33"/>
      <c r="S192" s="34">
        <f t="shared" si="19"/>
        <v>0.61870000000000003</v>
      </c>
      <c r="T192" s="34">
        <f t="shared" si="21"/>
        <v>1.2374000000000001</v>
      </c>
      <c r="U192" s="34">
        <f t="shared" si="22"/>
        <v>1.8561000000000001</v>
      </c>
      <c r="V192" s="34">
        <f t="shared" si="23"/>
        <v>1.8561000000000001</v>
      </c>
      <c r="W192" s="34">
        <f t="shared" si="24"/>
        <v>1.8561000000000001</v>
      </c>
    </row>
    <row r="193" spans="1:23" x14ac:dyDescent="0.25">
      <c r="A193" s="31" t="s">
        <v>771</v>
      </c>
      <c r="B193" s="33" t="s">
        <v>576</v>
      </c>
      <c r="C193" s="31" t="s">
        <v>560</v>
      </c>
      <c r="D193" s="31" t="s">
        <v>294</v>
      </c>
      <c r="E193" s="31" t="s">
        <v>562</v>
      </c>
      <c r="F193" s="31">
        <v>2</v>
      </c>
      <c r="G193" s="31">
        <v>4</v>
      </c>
      <c r="H193" s="31">
        <v>3.6</v>
      </c>
      <c r="I193" s="31">
        <v>3.9</v>
      </c>
      <c r="J193" s="33">
        <v>128</v>
      </c>
      <c r="K193" s="33">
        <v>1024</v>
      </c>
      <c r="L193" s="31">
        <v>0</v>
      </c>
      <c r="M193" s="31" t="s">
        <v>749</v>
      </c>
      <c r="N193" s="33"/>
      <c r="O193" s="33">
        <f t="shared" si="18"/>
        <v>1</v>
      </c>
      <c r="P193" s="33">
        <f t="shared" si="20"/>
        <v>1.5</v>
      </c>
      <c r="Q193" s="33">
        <f t="shared" si="32"/>
        <v>0.85048351103396957</v>
      </c>
      <c r="R193" s="33"/>
      <c r="S193" s="34">
        <f t="shared" si="19"/>
        <v>0.65510000000000002</v>
      </c>
      <c r="T193" s="34">
        <f t="shared" si="21"/>
        <v>1.3102</v>
      </c>
      <c r="U193" s="34">
        <f t="shared" si="22"/>
        <v>1.9653</v>
      </c>
      <c r="V193" s="34">
        <f t="shared" si="23"/>
        <v>1.9653</v>
      </c>
      <c r="W193" s="34">
        <f t="shared" si="24"/>
        <v>1.9653</v>
      </c>
    </row>
    <row r="194" spans="1:23" x14ac:dyDescent="0.25">
      <c r="A194" s="31" t="s">
        <v>771</v>
      </c>
      <c r="B194" s="33" t="s">
        <v>578</v>
      </c>
      <c r="C194" s="31" t="s">
        <v>560</v>
      </c>
      <c r="D194" s="31" t="s">
        <v>294</v>
      </c>
      <c r="E194" s="31" t="s">
        <v>562</v>
      </c>
      <c r="F194" s="31">
        <v>2</v>
      </c>
      <c r="G194" s="31">
        <v>4</v>
      </c>
      <c r="H194" s="31">
        <v>3.2</v>
      </c>
      <c r="I194" s="31">
        <v>3.7</v>
      </c>
      <c r="J194" s="33">
        <v>128</v>
      </c>
      <c r="K194" s="33">
        <v>1024</v>
      </c>
      <c r="L194" s="31">
        <v>0</v>
      </c>
      <c r="M194" s="31" t="s">
        <v>749</v>
      </c>
      <c r="N194" s="33"/>
      <c r="O194" s="33">
        <f t="shared" si="18"/>
        <v>1</v>
      </c>
      <c r="P194" s="33">
        <f t="shared" si="20"/>
        <v>1.5</v>
      </c>
      <c r="Q194" s="33">
        <f t="shared" si="32"/>
        <v>0.85048351103396957</v>
      </c>
      <c r="R194" s="33"/>
      <c r="S194" s="34">
        <f t="shared" si="19"/>
        <v>0.58230000000000004</v>
      </c>
      <c r="T194" s="34">
        <f t="shared" si="21"/>
        <v>1.1646000000000001</v>
      </c>
      <c r="U194" s="34">
        <f t="shared" si="22"/>
        <v>1.7469000000000001</v>
      </c>
      <c r="V194" s="34">
        <f t="shared" si="23"/>
        <v>1.7469000000000001</v>
      </c>
      <c r="W194" s="34">
        <f t="shared" si="24"/>
        <v>1.7469000000000001</v>
      </c>
    </row>
    <row r="195" spans="1:23" x14ac:dyDescent="0.25">
      <c r="A195" s="31" t="s">
        <v>771</v>
      </c>
      <c r="B195" s="33" t="s">
        <v>579</v>
      </c>
      <c r="C195" s="31" t="s">
        <v>560</v>
      </c>
      <c r="D195" s="31" t="s">
        <v>294</v>
      </c>
      <c r="E195" s="31" t="s">
        <v>562</v>
      </c>
      <c r="F195" s="31">
        <v>2</v>
      </c>
      <c r="G195" s="31">
        <v>4</v>
      </c>
      <c r="H195" s="31">
        <v>3.6</v>
      </c>
      <c r="I195" s="31">
        <v>3.8</v>
      </c>
      <c r="J195" s="33">
        <v>128</v>
      </c>
      <c r="K195" s="33">
        <v>1024</v>
      </c>
      <c r="L195" s="31">
        <v>0</v>
      </c>
      <c r="M195" s="31" t="s">
        <v>749</v>
      </c>
      <c r="N195" s="33"/>
      <c r="O195" s="33">
        <f t="shared" ref="O195:O226" si="33">(2*8*(1-POWER(0.5,(L195/2048)))/100)+1</f>
        <v>1</v>
      </c>
      <c r="P195" s="33">
        <f t="shared" si="20"/>
        <v>1.5</v>
      </c>
      <c r="Q195" s="33">
        <f t="shared" si="32"/>
        <v>0.85048351103396957</v>
      </c>
      <c r="R195" s="33"/>
      <c r="S195" s="34">
        <f t="shared" ref="S195:S226" si="34">FLOOR(H195*O195*Q195/($H$58*$O$58*$Q$58),0.0001)</f>
        <v>0.65510000000000002</v>
      </c>
      <c r="T195" s="34">
        <f t="shared" si="21"/>
        <v>1.3102</v>
      </c>
      <c r="U195" s="34">
        <f t="shared" si="22"/>
        <v>1.9653</v>
      </c>
      <c r="V195" s="34">
        <f t="shared" si="23"/>
        <v>1.9653</v>
      </c>
      <c r="W195" s="34">
        <f t="shared" si="24"/>
        <v>1.9653</v>
      </c>
    </row>
    <row r="196" spans="1:23" x14ac:dyDescent="0.25">
      <c r="A196" s="31" t="s">
        <v>771</v>
      </c>
      <c r="B196" s="33" t="s">
        <v>581</v>
      </c>
      <c r="C196" s="31" t="s">
        <v>560</v>
      </c>
      <c r="D196" s="31" t="s">
        <v>294</v>
      </c>
      <c r="E196" s="31" t="s">
        <v>562</v>
      </c>
      <c r="F196" s="31">
        <v>1</v>
      </c>
      <c r="G196" s="31">
        <v>2</v>
      </c>
      <c r="H196" s="31">
        <v>3.4</v>
      </c>
      <c r="I196" s="31">
        <v>3.6</v>
      </c>
      <c r="J196" s="33">
        <v>128</v>
      </c>
      <c r="K196" s="33">
        <v>1024</v>
      </c>
      <c r="L196" s="31">
        <v>0</v>
      </c>
      <c r="M196" s="31" t="s">
        <v>749</v>
      </c>
      <c r="N196" s="33"/>
      <c r="O196" s="33">
        <f t="shared" si="33"/>
        <v>1</v>
      </c>
      <c r="P196" s="33">
        <f t="shared" si="20"/>
        <v>1.5</v>
      </c>
      <c r="Q196" s="33">
        <f t="shared" si="32"/>
        <v>0.85048351103396957</v>
      </c>
      <c r="R196" s="33"/>
      <c r="S196" s="34">
        <f t="shared" si="34"/>
        <v>0.61870000000000003</v>
      </c>
      <c r="T196" s="34">
        <f t="shared" si="21"/>
        <v>0.92805000000000004</v>
      </c>
      <c r="U196" s="34">
        <f t="shared" si="22"/>
        <v>0.92805000000000004</v>
      </c>
      <c r="V196" s="34">
        <f t="shared" si="23"/>
        <v>0.92805000000000004</v>
      </c>
      <c r="W196" s="34">
        <f t="shared" si="24"/>
        <v>0.92805000000000004</v>
      </c>
    </row>
    <row r="197" spans="1:23" x14ac:dyDescent="0.25">
      <c r="A197" s="31" t="s">
        <v>771</v>
      </c>
      <c r="B197" s="33" t="s">
        <v>975</v>
      </c>
      <c r="C197" s="31" t="s">
        <v>560</v>
      </c>
      <c r="D197" s="31" t="s">
        <v>294</v>
      </c>
      <c r="E197" s="31" t="s">
        <v>562</v>
      </c>
      <c r="F197" s="31">
        <v>2</v>
      </c>
      <c r="G197" s="31">
        <v>4</v>
      </c>
      <c r="H197" s="31">
        <v>3.4</v>
      </c>
      <c r="I197" s="31">
        <v>4</v>
      </c>
      <c r="J197" s="33">
        <v>128</v>
      </c>
      <c r="K197" s="33">
        <v>1024</v>
      </c>
      <c r="L197" s="31">
        <v>0</v>
      </c>
      <c r="M197" s="31" t="s">
        <v>749</v>
      </c>
      <c r="N197" s="33"/>
      <c r="O197" s="33">
        <f t="shared" si="33"/>
        <v>1</v>
      </c>
      <c r="P197" s="33">
        <f t="shared" si="20"/>
        <v>1.5</v>
      </c>
      <c r="Q197" s="33">
        <f t="shared" si="32"/>
        <v>0.85048351103396957</v>
      </c>
      <c r="R197" s="33"/>
      <c r="S197" s="34">
        <f t="shared" si="34"/>
        <v>0.61870000000000003</v>
      </c>
      <c r="T197" s="34">
        <f t="shared" si="21"/>
        <v>1.2374000000000001</v>
      </c>
      <c r="U197" s="34">
        <f t="shared" si="22"/>
        <v>1.8561000000000001</v>
      </c>
      <c r="V197" s="34">
        <f t="shared" si="23"/>
        <v>1.8561000000000001</v>
      </c>
      <c r="W197" s="34">
        <f t="shared" si="24"/>
        <v>1.8561000000000001</v>
      </c>
    </row>
    <row r="198" spans="1:23" x14ac:dyDescent="0.25">
      <c r="A198" s="31" t="s">
        <v>771</v>
      </c>
      <c r="B198" s="33" t="s">
        <v>976</v>
      </c>
      <c r="C198" s="31" t="s">
        <v>560</v>
      </c>
      <c r="D198" s="31" t="s">
        <v>294</v>
      </c>
      <c r="E198" s="31" t="s">
        <v>562</v>
      </c>
      <c r="F198" s="31">
        <v>2</v>
      </c>
      <c r="G198" s="31">
        <v>4</v>
      </c>
      <c r="H198" s="31">
        <v>3.2</v>
      </c>
      <c r="I198" s="31">
        <v>3.7</v>
      </c>
      <c r="J198" s="33">
        <v>128</v>
      </c>
      <c r="K198" s="33">
        <v>1024</v>
      </c>
      <c r="L198" s="31">
        <v>0</v>
      </c>
      <c r="M198" s="31" t="s">
        <v>749</v>
      </c>
      <c r="N198" s="33"/>
      <c r="O198" s="33">
        <f t="shared" si="33"/>
        <v>1</v>
      </c>
      <c r="P198" s="33">
        <f t="shared" si="20"/>
        <v>1.5</v>
      </c>
      <c r="Q198" s="33">
        <f t="shared" si="32"/>
        <v>0.85048351103396957</v>
      </c>
      <c r="R198" s="33"/>
      <c r="S198" s="34">
        <f t="shared" si="34"/>
        <v>0.58230000000000004</v>
      </c>
      <c r="T198" s="34">
        <f t="shared" si="21"/>
        <v>1.1646000000000001</v>
      </c>
      <c r="U198" s="34">
        <f t="shared" si="22"/>
        <v>1.7469000000000001</v>
      </c>
      <c r="V198" s="34">
        <f t="shared" si="23"/>
        <v>1.7469000000000001</v>
      </c>
      <c r="W198" s="34">
        <f t="shared" si="24"/>
        <v>1.7469000000000001</v>
      </c>
    </row>
    <row r="199" spans="1:23" x14ac:dyDescent="0.25">
      <c r="A199" s="31" t="s">
        <v>771</v>
      </c>
      <c r="B199" s="33" t="s">
        <v>977</v>
      </c>
      <c r="C199" s="31" t="s">
        <v>560</v>
      </c>
      <c r="D199" s="31" t="s">
        <v>294</v>
      </c>
      <c r="E199" s="31" t="s">
        <v>562</v>
      </c>
      <c r="F199" s="31">
        <v>1</v>
      </c>
      <c r="G199" s="31">
        <v>2</v>
      </c>
      <c r="H199" s="31">
        <v>3.2</v>
      </c>
      <c r="I199" s="31">
        <v>3.6</v>
      </c>
      <c r="J199" s="33">
        <v>128</v>
      </c>
      <c r="K199" s="33">
        <v>1024</v>
      </c>
      <c r="L199" s="31">
        <v>0</v>
      </c>
      <c r="M199" s="31" t="s">
        <v>749</v>
      </c>
      <c r="N199" s="33"/>
      <c r="O199" s="33">
        <f t="shared" si="33"/>
        <v>1</v>
      </c>
      <c r="P199" s="33">
        <f t="shared" si="20"/>
        <v>1.5</v>
      </c>
      <c r="Q199" s="33">
        <f t="shared" si="32"/>
        <v>0.85048351103396957</v>
      </c>
      <c r="R199" s="33"/>
      <c r="S199" s="34">
        <f t="shared" si="34"/>
        <v>0.58230000000000004</v>
      </c>
      <c r="T199" s="34">
        <f t="shared" si="21"/>
        <v>0.87345000000000006</v>
      </c>
      <c r="U199" s="34">
        <f t="shared" si="22"/>
        <v>0.87345000000000006</v>
      </c>
      <c r="V199" s="34">
        <f t="shared" si="23"/>
        <v>0.87345000000000006</v>
      </c>
      <c r="W199" s="34">
        <f t="shared" si="24"/>
        <v>0.87345000000000006</v>
      </c>
    </row>
    <row r="200" spans="1:23" x14ac:dyDescent="0.25">
      <c r="A200" s="31" t="s">
        <v>771</v>
      </c>
      <c r="B200" s="33" t="s">
        <v>585</v>
      </c>
      <c r="C200" s="31" t="s">
        <v>560</v>
      </c>
      <c r="D200" s="31" t="s">
        <v>586</v>
      </c>
      <c r="E200" s="31" t="s">
        <v>348</v>
      </c>
      <c r="F200" s="31">
        <v>4</v>
      </c>
      <c r="G200" s="31">
        <v>8</v>
      </c>
      <c r="H200" s="31">
        <v>4.7</v>
      </c>
      <c r="I200" s="31">
        <v>5</v>
      </c>
      <c r="J200" s="33">
        <v>384</v>
      </c>
      <c r="K200" s="33">
        <v>8192</v>
      </c>
      <c r="L200" s="31">
        <v>8192</v>
      </c>
      <c r="M200" s="31" t="s">
        <v>749</v>
      </c>
      <c r="N200" s="33"/>
      <c r="O200" s="33">
        <f t="shared" si="33"/>
        <v>1.1499999999999999</v>
      </c>
      <c r="P200" s="33">
        <f t="shared" si="20"/>
        <v>1.5</v>
      </c>
      <c r="Q200" s="33">
        <f>Q199</f>
        <v>0.85048351103396957</v>
      </c>
      <c r="R200" s="33"/>
      <c r="S200" s="34">
        <f t="shared" si="34"/>
        <v>0.98360000000000003</v>
      </c>
      <c r="T200" s="34">
        <f t="shared" si="21"/>
        <v>1.9672000000000001</v>
      </c>
      <c r="U200" s="34">
        <f t="shared" si="22"/>
        <v>3.9344000000000001</v>
      </c>
      <c r="V200" s="34">
        <f t="shared" si="23"/>
        <v>5.9016000000000002</v>
      </c>
      <c r="W200" s="34">
        <f t="shared" si="24"/>
        <v>5.9016000000000002</v>
      </c>
    </row>
    <row r="201" spans="1:23" x14ac:dyDescent="0.25">
      <c r="A201" s="31" t="s">
        <v>771</v>
      </c>
      <c r="B201" s="33" t="s">
        <v>587</v>
      </c>
      <c r="C201" s="31" t="s">
        <v>560</v>
      </c>
      <c r="D201" s="31" t="s">
        <v>586</v>
      </c>
      <c r="E201" s="31" t="s">
        <v>348</v>
      </c>
      <c r="F201" s="31">
        <v>4</v>
      </c>
      <c r="G201" s="31">
        <v>8</v>
      </c>
      <c r="H201" s="31">
        <v>4.4000000000000004</v>
      </c>
      <c r="I201" s="31">
        <v>4.7</v>
      </c>
      <c r="J201" s="33">
        <v>384</v>
      </c>
      <c r="K201" s="33">
        <v>8192</v>
      </c>
      <c r="L201" s="31">
        <v>8192</v>
      </c>
      <c r="M201" s="31" t="s">
        <v>749</v>
      </c>
      <c r="N201" s="33"/>
      <c r="O201" s="33">
        <f t="shared" si="33"/>
        <v>1.1499999999999999</v>
      </c>
      <c r="P201" s="33">
        <f t="shared" si="20"/>
        <v>1.5</v>
      </c>
      <c r="Q201" s="33">
        <f>Q200</f>
        <v>0.85048351103396957</v>
      </c>
      <c r="R201" s="33"/>
      <c r="S201" s="34">
        <f t="shared" si="34"/>
        <v>0.92080000000000006</v>
      </c>
      <c r="T201" s="34">
        <f t="shared" si="21"/>
        <v>1.8416000000000001</v>
      </c>
      <c r="U201" s="34">
        <f t="shared" si="22"/>
        <v>3.6832000000000003</v>
      </c>
      <c r="V201" s="34">
        <f t="shared" si="23"/>
        <v>5.5248000000000008</v>
      </c>
      <c r="W201" s="34">
        <f t="shared" si="24"/>
        <v>5.5248000000000008</v>
      </c>
    </row>
    <row r="202" spans="1:23" x14ac:dyDescent="0.25">
      <c r="A202" s="31" t="s">
        <v>771</v>
      </c>
      <c r="B202" s="33" t="s">
        <v>588</v>
      </c>
      <c r="C202" s="31" t="s">
        <v>560</v>
      </c>
      <c r="D202" s="31" t="s">
        <v>586</v>
      </c>
      <c r="E202" s="31" t="s">
        <v>348</v>
      </c>
      <c r="F202" s="31">
        <v>4</v>
      </c>
      <c r="G202" s="31">
        <v>8</v>
      </c>
      <c r="H202" s="31">
        <v>3.3</v>
      </c>
      <c r="I202" s="31">
        <v>4.3</v>
      </c>
      <c r="J202" s="33">
        <v>384</v>
      </c>
      <c r="K202" s="33">
        <v>8192</v>
      </c>
      <c r="L202" s="31">
        <v>8192</v>
      </c>
      <c r="M202" s="31" t="s">
        <v>749</v>
      </c>
      <c r="N202" s="33"/>
      <c r="O202" s="33">
        <f t="shared" si="33"/>
        <v>1.1499999999999999</v>
      </c>
      <c r="P202" s="33">
        <f t="shared" si="20"/>
        <v>1.5</v>
      </c>
      <c r="Q202" s="33">
        <f t="shared" ref="Q202:Q212" si="35">Q201</f>
        <v>0.85048351103396957</v>
      </c>
      <c r="R202" s="33"/>
      <c r="S202" s="34">
        <f t="shared" si="34"/>
        <v>0.69059999999999999</v>
      </c>
      <c r="T202" s="34">
        <f t="shared" si="21"/>
        <v>1.3812</v>
      </c>
      <c r="U202" s="34">
        <f t="shared" si="22"/>
        <v>2.7624</v>
      </c>
      <c r="V202" s="34">
        <f t="shared" si="23"/>
        <v>4.1436000000000002</v>
      </c>
      <c r="W202" s="34">
        <f t="shared" si="24"/>
        <v>4.1436000000000002</v>
      </c>
    </row>
    <row r="203" spans="1:23" x14ac:dyDescent="0.25">
      <c r="A203" s="31" t="s">
        <v>771</v>
      </c>
      <c r="B203" s="33" t="s">
        <v>589</v>
      </c>
      <c r="C203" s="31" t="s">
        <v>560</v>
      </c>
      <c r="D203" s="31" t="s">
        <v>586</v>
      </c>
      <c r="E203" s="31" t="s">
        <v>348</v>
      </c>
      <c r="F203" s="31">
        <v>4</v>
      </c>
      <c r="G203" s="31">
        <v>8</v>
      </c>
      <c r="H203" s="31">
        <v>4</v>
      </c>
      <c r="I203" s="31">
        <v>4.3</v>
      </c>
      <c r="J203" s="33">
        <v>384</v>
      </c>
      <c r="K203" s="33">
        <v>8192</v>
      </c>
      <c r="L203" s="31">
        <v>8192</v>
      </c>
      <c r="M203" s="31" t="s">
        <v>749</v>
      </c>
      <c r="N203" s="33"/>
      <c r="O203" s="33">
        <f t="shared" si="33"/>
        <v>1.1499999999999999</v>
      </c>
      <c r="P203" s="33">
        <f t="shared" si="20"/>
        <v>1.5</v>
      </c>
      <c r="Q203" s="33">
        <f t="shared" si="35"/>
        <v>0.85048351103396957</v>
      </c>
      <c r="R203" s="33"/>
      <c r="S203" s="34">
        <f t="shared" si="34"/>
        <v>0.83710000000000007</v>
      </c>
      <c r="T203" s="34">
        <f t="shared" si="21"/>
        <v>1.6742000000000001</v>
      </c>
      <c r="U203" s="34">
        <f t="shared" si="22"/>
        <v>3.3484000000000003</v>
      </c>
      <c r="V203" s="34">
        <f t="shared" si="23"/>
        <v>5.0226000000000006</v>
      </c>
      <c r="W203" s="34">
        <f t="shared" si="24"/>
        <v>5.0226000000000006</v>
      </c>
    </row>
    <row r="204" spans="1:23" x14ac:dyDescent="0.25">
      <c r="A204" s="31" t="s">
        <v>771</v>
      </c>
      <c r="B204" s="33" t="s">
        <v>590</v>
      </c>
      <c r="C204" s="31" t="s">
        <v>560</v>
      </c>
      <c r="D204" s="31" t="s">
        <v>586</v>
      </c>
      <c r="E204" s="31" t="s">
        <v>348</v>
      </c>
      <c r="F204" s="31">
        <v>4</v>
      </c>
      <c r="G204" s="31">
        <v>8</v>
      </c>
      <c r="H204" s="31">
        <v>4</v>
      </c>
      <c r="I204" s="31">
        <v>4.2</v>
      </c>
      <c r="J204" s="33">
        <v>384</v>
      </c>
      <c r="K204" s="33">
        <v>8192</v>
      </c>
      <c r="L204" s="31">
        <v>8192</v>
      </c>
      <c r="M204" s="31" t="s">
        <v>749</v>
      </c>
      <c r="N204" s="33"/>
      <c r="O204" s="33">
        <f t="shared" si="33"/>
        <v>1.1499999999999999</v>
      </c>
      <c r="P204" s="33">
        <f t="shared" si="20"/>
        <v>1.5</v>
      </c>
      <c r="Q204" s="33">
        <f t="shared" si="35"/>
        <v>0.85048351103396957</v>
      </c>
      <c r="R204" s="33"/>
      <c r="S204" s="34">
        <f t="shared" si="34"/>
        <v>0.83710000000000007</v>
      </c>
      <c r="T204" s="34">
        <f t="shared" si="21"/>
        <v>1.6742000000000001</v>
      </c>
      <c r="U204" s="34">
        <f t="shared" si="22"/>
        <v>3.3484000000000003</v>
      </c>
      <c r="V204" s="34">
        <f t="shared" si="23"/>
        <v>5.0226000000000006</v>
      </c>
      <c r="W204" s="34">
        <f t="shared" si="24"/>
        <v>5.0226000000000006</v>
      </c>
    </row>
    <row r="205" spans="1:23" x14ac:dyDescent="0.25">
      <c r="A205" s="31" t="s">
        <v>771</v>
      </c>
      <c r="B205" s="33" t="s">
        <v>591</v>
      </c>
      <c r="C205" s="31" t="s">
        <v>560</v>
      </c>
      <c r="D205" s="31" t="s">
        <v>586</v>
      </c>
      <c r="E205" s="31" t="s">
        <v>348</v>
      </c>
      <c r="F205" s="31">
        <v>4</v>
      </c>
      <c r="G205" s="31">
        <v>8</v>
      </c>
      <c r="H205" s="31">
        <v>3.2</v>
      </c>
      <c r="I205" s="31">
        <v>4</v>
      </c>
      <c r="J205" s="33">
        <v>384</v>
      </c>
      <c r="K205" s="33">
        <v>8192</v>
      </c>
      <c r="L205" s="31">
        <v>8192</v>
      </c>
      <c r="M205" s="31" t="s">
        <v>749</v>
      </c>
      <c r="N205" s="33"/>
      <c r="O205" s="33">
        <f t="shared" si="33"/>
        <v>1.1499999999999999</v>
      </c>
      <c r="P205" s="33">
        <f t="shared" si="20"/>
        <v>1.5</v>
      </c>
      <c r="Q205" s="33">
        <f t="shared" si="35"/>
        <v>0.85048351103396957</v>
      </c>
      <c r="R205" s="33"/>
      <c r="S205" s="34">
        <f t="shared" si="34"/>
        <v>0.66960000000000008</v>
      </c>
      <c r="T205" s="34">
        <f t="shared" si="21"/>
        <v>1.3392000000000002</v>
      </c>
      <c r="U205" s="34">
        <f t="shared" si="22"/>
        <v>2.6784000000000003</v>
      </c>
      <c r="V205" s="34">
        <f t="shared" si="23"/>
        <v>4.0176000000000007</v>
      </c>
      <c r="W205" s="34">
        <f t="shared" si="24"/>
        <v>4.0176000000000007</v>
      </c>
    </row>
    <row r="206" spans="1:23" x14ac:dyDescent="0.25">
      <c r="A206" s="31" t="s">
        <v>771</v>
      </c>
      <c r="B206" s="33" t="s">
        <v>592</v>
      </c>
      <c r="C206" s="31" t="s">
        <v>560</v>
      </c>
      <c r="D206" s="31" t="s">
        <v>586</v>
      </c>
      <c r="E206" s="31" t="s">
        <v>348</v>
      </c>
      <c r="F206" s="31">
        <v>4</v>
      </c>
      <c r="G206" s="31">
        <v>8</v>
      </c>
      <c r="H206" s="31">
        <v>3.5</v>
      </c>
      <c r="I206" s="31">
        <v>4</v>
      </c>
      <c r="J206" s="33">
        <v>384</v>
      </c>
      <c r="K206" s="33">
        <v>8192</v>
      </c>
      <c r="L206" s="31">
        <v>8192</v>
      </c>
      <c r="M206" s="31" t="s">
        <v>749</v>
      </c>
      <c r="N206" s="33"/>
      <c r="O206" s="33">
        <f t="shared" si="33"/>
        <v>1.1499999999999999</v>
      </c>
      <c r="P206" s="33">
        <f t="shared" si="20"/>
        <v>1.5</v>
      </c>
      <c r="Q206" s="33">
        <f t="shared" si="35"/>
        <v>0.85048351103396957</v>
      </c>
      <c r="R206" s="33"/>
      <c r="S206" s="34">
        <f t="shared" si="34"/>
        <v>0.73240000000000005</v>
      </c>
      <c r="T206" s="34">
        <f t="shared" si="21"/>
        <v>1.4648000000000001</v>
      </c>
      <c r="U206" s="34">
        <f t="shared" si="22"/>
        <v>2.9296000000000002</v>
      </c>
      <c r="V206" s="34">
        <f t="shared" si="23"/>
        <v>4.3944000000000001</v>
      </c>
      <c r="W206" s="34">
        <f t="shared" si="24"/>
        <v>4.3944000000000001</v>
      </c>
    </row>
    <row r="207" spans="1:23" x14ac:dyDescent="0.25">
      <c r="A207" s="31" t="s">
        <v>771</v>
      </c>
      <c r="B207" s="33" t="s">
        <v>593</v>
      </c>
      <c r="C207" s="31" t="s">
        <v>560</v>
      </c>
      <c r="D207" s="31" t="s">
        <v>586</v>
      </c>
      <c r="E207" s="31" t="s">
        <v>348</v>
      </c>
      <c r="F207" s="31">
        <v>4</v>
      </c>
      <c r="G207" s="31">
        <v>8</v>
      </c>
      <c r="H207" s="31">
        <v>3.3</v>
      </c>
      <c r="I207" s="31">
        <v>3.9</v>
      </c>
      <c r="J207" s="33">
        <v>384</v>
      </c>
      <c r="K207" s="33">
        <v>8192</v>
      </c>
      <c r="L207" s="31">
        <v>8192</v>
      </c>
      <c r="M207" s="31" t="s">
        <v>749</v>
      </c>
      <c r="N207" s="33"/>
      <c r="O207" s="33">
        <f t="shared" si="33"/>
        <v>1.1499999999999999</v>
      </c>
      <c r="P207" s="33">
        <f t="shared" si="20"/>
        <v>1.5</v>
      </c>
      <c r="Q207" s="33">
        <f t="shared" si="35"/>
        <v>0.85048351103396957</v>
      </c>
      <c r="R207" s="33"/>
      <c r="S207" s="34">
        <f t="shared" si="34"/>
        <v>0.69059999999999999</v>
      </c>
      <c r="T207" s="34">
        <f t="shared" si="21"/>
        <v>1.3812</v>
      </c>
      <c r="U207" s="34">
        <f t="shared" si="22"/>
        <v>2.7624</v>
      </c>
      <c r="V207" s="34">
        <f t="shared" si="23"/>
        <v>4.1436000000000002</v>
      </c>
      <c r="W207" s="34">
        <f t="shared" si="24"/>
        <v>4.1436000000000002</v>
      </c>
    </row>
    <row r="208" spans="1:23" x14ac:dyDescent="0.25">
      <c r="A208" s="31" t="s">
        <v>771</v>
      </c>
      <c r="B208" s="33" t="s">
        <v>594</v>
      </c>
      <c r="C208" s="31" t="s">
        <v>560</v>
      </c>
      <c r="D208" s="31" t="s">
        <v>586</v>
      </c>
      <c r="E208" s="31" t="s">
        <v>348</v>
      </c>
      <c r="F208" s="31">
        <v>3</v>
      </c>
      <c r="G208" s="31">
        <v>6</v>
      </c>
      <c r="H208" s="31">
        <v>3.9</v>
      </c>
      <c r="I208" s="31">
        <v>4.2</v>
      </c>
      <c r="J208" s="33">
        <v>288</v>
      </c>
      <c r="K208" s="33">
        <v>6144</v>
      </c>
      <c r="L208" s="31">
        <v>8192</v>
      </c>
      <c r="M208" s="31" t="s">
        <v>749</v>
      </c>
      <c r="N208" s="33"/>
      <c r="O208" s="33">
        <f t="shared" si="33"/>
        <v>1.1499999999999999</v>
      </c>
      <c r="P208" s="33">
        <f t="shared" si="20"/>
        <v>1.5</v>
      </c>
      <c r="Q208" s="33">
        <f t="shared" si="35"/>
        <v>0.85048351103396957</v>
      </c>
      <c r="R208" s="33"/>
      <c r="S208" s="34">
        <f t="shared" si="34"/>
        <v>0.81610000000000005</v>
      </c>
      <c r="T208" s="34">
        <f t="shared" si="21"/>
        <v>1.6322000000000001</v>
      </c>
      <c r="U208" s="34">
        <f t="shared" si="22"/>
        <v>2.8563499999999999</v>
      </c>
      <c r="V208" s="34">
        <f t="shared" si="23"/>
        <v>3.6724500000000004</v>
      </c>
      <c r="W208" s="34">
        <f t="shared" si="24"/>
        <v>3.6724500000000004</v>
      </c>
    </row>
    <row r="209" spans="1:23" x14ac:dyDescent="0.25">
      <c r="A209" s="31" t="s">
        <v>771</v>
      </c>
      <c r="B209" s="33" t="s">
        <v>595</v>
      </c>
      <c r="C209" s="31" t="s">
        <v>560</v>
      </c>
      <c r="D209" s="31" t="s">
        <v>586</v>
      </c>
      <c r="E209" s="31" t="s">
        <v>348</v>
      </c>
      <c r="F209" s="31">
        <v>3</v>
      </c>
      <c r="G209" s="31">
        <v>6</v>
      </c>
      <c r="H209" s="31">
        <v>3.5</v>
      </c>
      <c r="I209" s="31">
        <v>4.0999999999999996</v>
      </c>
      <c r="J209" s="33">
        <v>288</v>
      </c>
      <c r="K209" s="33">
        <v>6144</v>
      </c>
      <c r="L209" s="31">
        <v>8192</v>
      </c>
      <c r="M209" s="31" t="s">
        <v>749</v>
      </c>
      <c r="N209" s="33"/>
      <c r="O209" s="33">
        <f t="shared" si="33"/>
        <v>1.1499999999999999</v>
      </c>
      <c r="P209" s="33">
        <f t="shared" si="20"/>
        <v>1.5</v>
      </c>
      <c r="Q209" s="33">
        <f t="shared" si="35"/>
        <v>0.85048351103396957</v>
      </c>
      <c r="R209" s="33"/>
      <c r="S209" s="34">
        <f t="shared" si="34"/>
        <v>0.73240000000000005</v>
      </c>
      <c r="T209" s="34">
        <f t="shared" si="21"/>
        <v>1.4648000000000001</v>
      </c>
      <c r="U209" s="34">
        <f t="shared" si="22"/>
        <v>2.5634000000000001</v>
      </c>
      <c r="V209" s="34">
        <f t="shared" si="23"/>
        <v>3.2958000000000003</v>
      </c>
      <c r="W209" s="34">
        <f t="shared" si="24"/>
        <v>3.2958000000000003</v>
      </c>
    </row>
    <row r="210" spans="1:23" x14ac:dyDescent="0.25">
      <c r="A210" s="31" t="s">
        <v>771</v>
      </c>
      <c r="B210" s="33" t="s">
        <v>596</v>
      </c>
      <c r="C210" s="31" t="s">
        <v>560</v>
      </c>
      <c r="D210" s="31" t="s">
        <v>586</v>
      </c>
      <c r="E210" s="31" t="s">
        <v>348</v>
      </c>
      <c r="F210" s="31">
        <v>2</v>
      </c>
      <c r="G210" s="31">
        <v>4</v>
      </c>
      <c r="H210" s="31">
        <v>4.2</v>
      </c>
      <c r="I210" s="31">
        <v>4.3</v>
      </c>
      <c r="J210" s="33">
        <v>288</v>
      </c>
      <c r="K210" s="33">
        <v>4096</v>
      </c>
      <c r="L210" s="31">
        <v>8192</v>
      </c>
      <c r="M210" s="31" t="s">
        <v>749</v>
      </c>
      <c r="N210" s="33"/>
      <c r="O210" s="33">
        <f t="shared" si="33"/>
        <v>1.1499999999999999</v>
      </c>
      <c r="P210" s="33">
        <f t="shared" si="20"/>
        <v>1.5</v>
      </c>
      <c r="Q210" s="33">
        <f t="shared" si="35"/>
        <v>0.85048351103396957</v>
      </c>
      <c r="R210" s="33"/>
      <c r="S210" s="34">
        <f t="shared" si="34"/>
        <v>0.87890000000000001</v>
      </c>
      <c r="T210" s="34">
        <f t="shared" si="21"/>
        <v>1.7578</v>
      </c>
      <c r="U210" s="34">
        <f t="shared" si="22"/>
        <v>2.6367000000000003</v>
      </c>
      <c r="V210" s="34">
        <f t="shared" si="23"/>
        <v>2.6367000000000003</v>
      </c>
      <c r="W210" s="34">
        <f t="shared" si="24"/>
        <v>2.6367000000000003</v>
      </c>
    </row>
    <row r="211" spans="1:23" x14ac:dyDescent="0.25">
      <c r="A211" s="31" t="s">
        <v>771</v>
      </c>
      <c r="B211" s="33" t="s">
        <v>597</v>
      </c>
      <c r="C211" s="31" t="s">
        <v>560</v>
      </c>
      <c r="D211" s="31" t="s">
        <v>586</v>
      </c>
      <c r="E211" s="31" t="s">
        <v>348</v>
      </c>
      <c r="F211" s="31">
        <v>2</v>
      </c>
      <c r="G211" s="31">
        <v>4</v>
      </c>
      <c r="H211" s="31">
        <v>4</v>
      </c>
      <c r="I211" s="31">
        <v>4.2</v>
      </c>
      <c r="J211" s="33">
        <v>192</v>
      </c>
      <c r="K211" s="33">
        <v>4096</v>
      </c>
      <c r="L211" s="31">
        <v>4096</v>
      </c>
      <c r="M211" s="31" t="s">
        <v>749</v>
      </c>
      <c r="N211" s="33"/>
      <c r="O211" s="33">
        <f t="shared" si="33"/>
        <v>1.1200000000000001</v>
      </c>
      <c r="P211" s="33">
        <f t="shared" si="20"/>
        <v>1.5</v>
      </c>
      <c r="Q211" s="33">
        <f t="shared" si="35"/>
        <v>0.85048351103396957</v>
      </c>
      <c r="R211" s="33"/>
      <c r="S211" s="34">
        <f t="shared" si="34"/>
        <v>0.81520000000000004</v>
      </c>
      <c r="T211" s="34">
        <f t="shared" si="21"/>
        <v>1.6304000000000001</v>
      </c>
      <c r="U211" s="34">
        <f t="shared" si="22"/>
        <v>2.4456000000000002</v>
      </c>
      <c r="V211" s="34">
        <f t="shared" si="23"/>
        <v>2.4456000000000002</v>
      </c>
      <c r="W211" s="34">
        <f t="shared" si="24"/>
        <v>2.4456000000000002</v>
      </c>
    </row>
    <row r="212" spans="1:23" x14ac:dyDescent="0.25">
      <c r="A212" s="31" t="s">
        <v>771</v>
      </c>
      <c r="B212" s="33" t="s">
        <v>2966</v>
      </c>
      <c r="C212" s="31" t="s">
        <v>560</v>
      </c>
      <c r="D212" s="31" t="s">
        <v>586</v>
      </c>
      <c r="E212" s="31" t="s">
        <v>348</v>
      </c>
      <c r="F212" s="31">
        <v>2</v>
      </c>
      <c r="G212" s="31">
        <v>4</v>
      </c>
      <c r="H212" s="31">
        <v>3.8</v>
      </c>
      <c r="I212" s="31">
        <v>4</v>
      </c>
      <c r="J212" s="33">
        <v>192</v>
      </c>
      <c r="K212" s="33">
        <v>4096</v>
      </c>
      <c r="L212" s="31">
        <v>4096</v>
      </c>
      <c r="M212" s="31" t="s">
        <v>749</v>
      </c>
      <c r="N212" s="33"/>
      <c r="O212" s="33">
        <f t="shared" si="33"/>
        <v>1.1200000000000001</v>
      </c>
      <c r="P212" s="33">
        <f t="shared" si="20"/>
        <v>1.5</v>
      </c>
      <c r="Q212" s="33">
        <f t="shared" si="35"/>
        <v>0.85048351103396957</v>
      </c>
      <c r="R212" s="33"/>
      <c r="S212" s="34">
        <f t="shared" si="34"/>
        <v>0.77450000000000008</v>
      </c>
      <c r="T212" s="34">
        <f t="shared" si="21"/>
        <v>1.5490000000000002</v>
      </c>
      <c r="U212" s="34">
        <f t="shared" si="22"/>
        <v>2.3235000000000001</v>
      </c>
      <c r="V212" s="34">
        <f t="shared" si="23"/>
        <v>2.3235000000000001</v>
      </c>
      <c r="W212" s="34">
        <f t="shared" si="24"/>
        <v>2.3235000000000001</v>
      </c>
    </row>
    <row r="213" spans="1:23" x14ac:dyDescent="0.25">
      <c r="A213" s="31" t="s">
        <v>771</v>
      </c>
      <c r="B213" s="33" t="s">
        <v>598</v>
      </c>
      <c r="C213" s="31" t="s">
        <v>599</v>
      </c>
      <c r="D213" s="31" t="s">
        <v>600</v>
      </c>
      <c r="E213" s="31" t="s">
        <v>348</v>
      </c>
      <c r="F213" s="31">
        <v>4</v>
      </c>
      <c r="G213" s="31">
        <v>8</v>
      </c>
      <c r="H213" s="31">
        <v>3.9</v>
      </c>
      <c r="I213" s="31">
        <v>4.5</v>
      </c>
      <c r="J213" s="33">
        <v>384</v>
      </c>
      <c r="K213" s="33">
        <v>8192</v>
      </c>
      <c r="L213" s="31">
        <v>8192</v>
      </c>
      <c r="M213" s="31" t="s">
        <v>749</v>
      </c>
      <c r="N213" s="33"/>
      <c r="O213" s="33">
        <f t="shared" si="33"/>
        <v>1.1499999999999999</v>
      </c>
      <c r="P213" s="33">
        <f t="shared" si="20"/>
        <v>1.5</v>
      </c>
      <c r="Q213" s="33">
        <f>Q212/1.015</f>
        <v>0.83791478919602924</v>
      </c>
      <c r="R213" s="33"/>
      <c r="S213" s="34">
        <f t="shared" si="34"/>
        <v>0.80410000000000004</v>
      </c>
      <c r="T213" s="34">
        <f t="shared" si="21"/>
        <v>1.6082000000000001</v>
      </c>
      <c r="U213" s="34">
        <f t="shared" si="22"/>
        <v>3.2164000000000001</v>
      </c>
      <c r="V213" s="34">
        <f t="shared" si="23"/>
        <v>4.8246000000000002</v>
      </c>
      <c r="W213" s="34">
        <f t="shared" si="24"/>
        <v>4.8246000000000002</v>
      </c>
    </row>
    <row r="214" spans="1:23" x14ac:dyDescent="0.25">
      <c r="A214" s="31" t="s">
        <v>771</v>
      </c>
      <c r="B214" s="33" t="s">
        <v>601</v>
      </c>
      <c r="C214" s="31" t="s">
        <v>599</v>
      </c>
      <c r="D214" s="31" t="s">
        <v>600</v>
      </c>
      <c r="E214" s="31" t="s">
        <v>348</v>
      </c>
      <c r="F214" s="31">
        <v>4</v>
      </c>
      <c r="G214" s="31">
        <v>8</v>
      </c>
      <c r="H214" s="31">
        <v>3.6</v>
      </c>
      <c r="I214" s="31">
        <v>4.2</v>
      </c>
      <c r="J214" s="33">
        <v>384</v>
      </c>
      <c r="K214" s="33">
        <v>8192</v>
      </c>
      <c r="L214" s="31">
        <v>8192</v>
      </c>
      <c r="M214" s="31" t="s">
        <v>749</v>
      </c>
      <c r="N214" s="33"/>
      <c r="O214" s="33">
        <f t="shared" si="33"/>
        <v>1.1499999999999999</v>
      </c>
      <c r="P214" s="33">
        <f t="shared" si="20"/>
        <v>1.5</v>
      </c>
      <c r="Q214" s="33">
        <f t="shared" ref="Q214:Q226" si="36">Q213</f>
        <v>0.83791478919602924</v>
      </c>
      <c r="R214" s="33"/>
      <c r="S214" s="34">
        <f t="shared" si="34"/>
        <v>0.74220000000000008</v>
      </c>
      <c r="T214" s="34">
        <f t="shared" si="21"/>
        <v>1.4844000000000002</v>
      </c>
      <c r="U214" s="34">
        <f t="shared" si="22"/>
        <v>2.9688000000000003</v>
      </c>
      <c r="V214" s="34">
        <f t="shared" si="23"/>
        <v>4.4532000000000007</v>
      </c>
      <c r="W214" s="34">
        <f t="shared" si="24"/>
        <v>4.4532000000000007</v>
      </c>
    </row>
    <row r="215" spans="1:23" x14ac:dyDescent="0.25">
      <c r="A215" s="31" t="s">
        <v>771</v>
      </c>
      <c r="B215" s="33" t="s">
        <v>602</v>
      </c>
      <c r="C215" s="31" t="s">
        <v>599</v>
      </c>
      <c r="D215" s="31" t="s">
        <v>600</v>
      </c>
      <c r="E215" s="31" t="s">
        <v>348</v>
      </c>
      <c r="F215" s="31">
        <v>4</v>
      </c>
      <c r="G215" s="31">
        <v>8</v>
      </c>
      <c r="H215" s="31">
        <v>3.2</v>
      </c>
      <c r="I215" s="31">
        <v>4.0999999999999996</v>
      </c>
      <c r="J215" s="33">
        <v>384</v>
      </c>
      <c r="K215" s="33">
        <v>8192</v>
      </c>
      <c r="L215" s="31">
        <v>8192</v>
      </c>
      <c r="M215" s="31" t="s">
        <v>749</v>
      </c>
      <c r="N215" s="33"/>
      <c r="O215" s="33">
        <f t="shared" si="33"/>
        <v>1.1499999999999999</v>
      </c>
      <c r="P215" s="33">
        <f t="shared" si="20"/>
        <v>1.5</v>
      </c>
      <c r="Q215" s="33">
        <f t="shared" si="36"/>
        <v>0.83791478919602924</v>
      </c>
      <c r="R215" s="33"/>
      <c r="S215" s="34">
        <f t="shared" si="34"/>
        <v>0.65970000000000006</v>
      </c>
      <c r="T215" s="34">
        <f t="shared" si="21"/>
        <v>1.3194000000000001</v>
      </c>
      <c r="U215" s="34">
        <f t="shared" si="22"/>
        <v>2.6388000000000003</v>
      </c>
      <c r="V215" s="34">
        <f t="shared" si="23"/>
        <v>3.9582000000000006</v>
      </c>
      <c r="W215" s="34">
        <f t="shared" si="24"/>
        <v>3.9582000000000006</v>
      </c>
    </row>
    <row r="216" spans="1:23" x14ac:dyDescent="0.25">
      <c r="A216" s="31" t="s">
        <v>771</v>
      </c>
      <c r="B216" s="33" t="s">
        <v>603</v>
      </c>
      <c r="C216" s="31" t="s">
        <v>599</v>
      </c>
      <c r="D216" s="31" t="s">
        <v>600</v>
      </c>
      <c r="E216" s="31" t="s">
        <v>348</v>
      </c>
      <c r="F216" s="31">
        <v>4</v>
      </c>
      <c r="G216" s="31">
        <v>8</v>
      </c>
      <c r="H216" s="31">
        <v>3.1</v>
      </c>
      <c r="I216" s="31">
        <v>4</v>
      </c>
      <c r="J216" s="33">
        <v>384</v>
      </c>
      <c r="K216" s="33">
        <v>8192</v>
      </c>
      <c r="L216" s="31">
        <v>8192</v>
      </c>
      <c r="M216" s="31" t="s">
        <v>749</v>
      </c>
      <c r="N216" s="33"/>
      <c r="O216" s="33">
        <f t="shared" si="33"/>
        <v>1.1499999999999999</v>
      </c>
      <c r="P216" s="33">
        <f t="shared" si="20"/>
        <v>1.5</v>
      </c>
      <c r="Q216" s="33">
        <f t="shared" si="36"/>
        <v>0.83791478919602924</v>
      </c>
      <c r="R216" s="33"/>
      <c r="S216" s="34">
        <f t="shared" si="34"/>
        <v>0.6391</v>
      </c>
      <c r="T216" s="34">
        <f t="shared" si="21"/>
        <v>1.2782</v>
      </c>
      <c r="U216" s="34">
        <f t="shared" si="22"/>
        <v>2.5564</v>
      </c>
      <c r="V216" s="34">
        <f t="shared" si="23"/>
        <v>3.8346</v>
      </c>
      <c r="W216" s="34">
        <f t="shared" si="24"/>
        <v>3.8346</v>
      </c>
    </row>
    <row r="217" spans="1:23" x14ac:dyDescent="0.25">
      <c r="A217" s="31" t="s">
        <v>771</v>
      </c>
      <c r="B217" s="33" t="s">
        <v>604</v>
      </c>
      <c r="C217" s="31" t="s">
        <v>599</v>
      </c>
      <c r="D217" s="31" t="s">
        <v>600</v>
      </c>
      <c r="E217" s="31" t="s">
        <v>348</v>
      </c>
      <c r="F217" s="31">
        <v>4</v>
      </c>
      <c r="G217" s="31">
        <v>8</v>
      </c>
      <c r="H217" s="31">
        <v>2.8</v>
      </c>
      <c r="I217" s="31">
        <v>3.7</v>
      </c>
      <c r="J217" s="33">
        <v>384</v>
      </c>
      <c r="K217" s="33">
        <v>8192</v>
      </c>
      <c r="L217" s="31">
        <v>8192</v>
      </c>
      <c r="M217" s="31" t="s">
        <v>749</v>
      </c>
      <c r="N217" s="33"/>
      <c r="O217" s="33">
        <f t="shared" si="33"/>
        <v>1.1499999999999999</v>
      </c>
      <c r="P217" s="33">
        <f t="shared" si="20"/>
        <v>1.5</v>
      </c>
      <c r="Q217" s="33">
        <f t="shared" si="36"/>
        <v>0.83791478919602924</v>
      </c>
      <c r="R217" s="33"/>
      <c r="S217" s="34">
        <f t="shared" si="34"/>
        <v>0.57730000000000004</v>
      </c>
      <c r="T217" s="34">
        <f t="shared" si="21"/>
        <v>1.1546000000000001</v>
      </c>
      <c r="U217" s="34">
        <f t="shared" si="22"/>
        <v>2.3092000000000001</v>
      </c>
      <c r="V217" s="34">
        <f t="shared" si="23"/>
        <v>3.4638</v>
      </c>
      <c r="W217" s="34">
        <f t="shared" si="24"/>
        <v>3.4638</v>
      </c>
    </row>
    <row r="218" spans="1:23" x14ac:dyDescent="0.25">
      <c r="A218" s="31" t="s">
        <v>771</v>
      </c>
      <c r="B218" s="33" t="s">
        <v>605</v>
      </c>
      <c r="C218" s="31" t="s">
        <v>599</v>
      </c>
      <c r="D218" s="31" t="s">
        <v>600</v>
      </c>
      <c r="E218" s="31" t="s">
        <v>348</v>
      </c>
      <c r="F218" s="31">
        <v>3</v>
      </c>
      <c r="G218" s="31">
        <v>6</v>
      </c>
      <c r="H218" s="31">
        <v>3.8</v>
      </c>
      <c r="I218" s="31">
        <v>4.0999999999999996</v>
      </c>
      <c r="J218" s="33">
        <v>288</v>
      </c>
      <c r="K218" s="33">
        <v>6144</v>
      </c>
      <c r="L218" s="31">
        <v>8192</v>
      </c>
      <c r="M218" s="31" t="s">
        <v>749</v>
      </c>
      <c r="N218" s="33"/>
      <c r="O218" s="33">
        <f t="shared" si="33"/>
        <v>1.1499999999999999</v>
      </c>
      <c r="P218" s="33">
        <f t="shared" si="20"/>
        <v>1.5</v>
      </c>
      <c r="Q218" s="33">
        <f t="shared" si="36"/>
        <v>0.83791478919602924</v>
      </c>
      <c r="R218" s="33"/>
      <c r="S218" s="34">
        <f t="shared" si="34"/>
        <v>0.78350000000000009</v>
      </c>
      <c r="T218" s="34">
        <f t="shared" si="21"/>
        <v>1.5670000000000002</v>
      </c>
      <c r="U218" s="34">
        <f t="shared" si="22"/>
        <v>2.7422500000000003</v>
      </c>
      <c r="V218" s="34">
        <f t="shared" si="23"/>
        <v>3.5257500000000004</v>
      </c>
      <c r="W218" s="34">
        <f t="shared" si="24"/>
        <v>3.5257500000000004</v>
      </c>
    </row>
    <row r="219" spans="1:23" x14ac:dyDescent="0.25">
      <c r="A219" s="31" t="s">
        <v>771</v>
      </c>
      <c r="B219" s="33" t="s">
        <v>606</v>
      </c>
      <c r="C219" s="31" t="s">
        <v>599</v>
      </c>
      <c r="D219" s="31" t="s">
        <v>600</v>
      </c>
      <c r="E219" s="31" t="s">
        <v>348</v>
      </c>
      <c r="F219" s="31">
        <v>3</v>
      </c>
      <c r="G219" s="31">
        <v>6</v>
      </c>
      <c r="H219" s="31">
        <v>3.6</v>
      </c>
      <c r="I219" s="31">
        <v>3.9</v>
      </c>
      <c r="J219" s="33">
        <v>288</v>
      </c>
      <c r="K219" s="33">
        <v>6144</v>
      </c>
      <c r="L219" s="31">
        <v>8192</v>
      </c>
      <c r="M219" s="31" t="s">
        <v>749</v>
      </c>
      <c r="N219" s="33"/>
      <c r="O219" s="33">
        <f t="shared" si="33"/>
        <v>1.1499999999999999</v>
      </c>
      <c r="P219" s="33">
        <f t="shared" si="20"/>
        <v>1.5</v>
      </c>
      <c r="Q219" s="33">
        <f t="shared" si="36"/>
        <v>0.83791478919602924</v>
      </c>
      <c r="R219" s="33"/>
      <c r="S219" s="34">
        <f t="shared" si="34"/>
        <v>0.74220000000000008</v>
      </c>
      <c r="T219" s="34">
        <f t="shared" si="21"/>
        <v>1.4844000000000002</v>
      </c>
      <c r="U219" s="34">
        <f t="shared" si="22"/>
        <v>2.5977000000000006</v>
      </c>
      <c r="V219" s="34">
        <f t="shared" si="23"/>
        <v>3.3399000000000005</v>
      </c>
      <c r="W219" s="34">
        <f t="shared" si="24"/>
        <v>3.3399000000000005</v>
      </c>
    </row>
    <row r="220" spans="1:23" x14ac:dyDescent="0.25">
      <c r="A220" s="31" t="s">
        <v>771</v>
      </c>
      <c r="B220" s="33" t="s">
        <v>607</v>
      </c>
      <c r="C220" s="31" t="s">
        <v>599</v>
      </c>
      <c r="D220" s="31" t="s">
        <v>600</v>
      </c>
      <c r="E220" s="31" t="s">
        <v>348</v>
      </c>
      <c r="F220" s="31">
        <v>3</v>
      </c>
      <c r="G220" s="31">
        <v>6</v>
      </c>
      <c r="H220" s="31">
        <v>3.6</v>
      </c>
      <c r="I220" s="31">
        <v>4.2</v>
      </c>
      <c r="J220" s="33">
        <v>288</v>
      </c>
      <c r="K220" s="33">
        <v>6144</v>
      </c>
      <c r="L220" s="31">
        <v>8192</v>
      </c>
      <c r="M220" s="31" t="s">
        <v>749</v>
      </c>
      <c r="N220" s="33"/>
      <c r="O220" s="33">
        <f t="shared" si="33"/>
        <v>1.1499999999999999</v>
      </c>
      <c r="P220" s="33">
        <f t="shared" ref="P220:P226" si="37">IF(M220="O",IF(UPPER(A220)="INTEL",1.46,1.5),1)</f>
        <v>1.5</v>
      </c>
      <c r="Q220" s="33">
        <f t="shared" si="36"/>
        <v>0.83791478919602924</v>
      </c>
      <c r="R220" s="33"/>
      <c r="S220" s="34">
        <f t="shared" si="34"/>
        <v>0.74220000000000008</v>
      </c>
      <c r="T220" s="34">
        <f t="shared" ref="T220:T226" si="38">IF(F220=1,IF(M220="O",S220*P220,S220),S220*2)</f>
        <v>1.4844000000000002</v>
      </c>
      <c r="U220" s="34">
        <f t="shared" ref="U220:U226" si="39">IF(G220&lt;4,W220,IF(F220=2,2*S220*P220,IF(F220=3,2*S220+S220*P220,S220*4)))</f>
        <v>2.5977000000000006</v>
      </c>
      <c r="V220" s="34">
        <f t="shared" ref="V220:V226" si="40">IF(G220&lt;8,W220,IF(F220=4,4*S220*P220,IF(F220=6,4*S220+2*S220*P220,8*S220)))</f>
        <v>3.3399000000000005</v>
      </c>
      <c r="W220" s="34">
        <f t="shared" ref="W220:W226" si="41">F220*P220*S220</f>
        <v>3.3399000000000005</v>
      </c>
    </row>
    <row r="221" spans="1:23" x14ac:dyDescent="0.25">
      <c r="A221" s="31" t="s">
        <v>771</v>
      </c>
      <c r="B221" s="33" t="s">
        <v>608</v>
      </c>
      <c r="C221" s="31" t="s">
        <v>599</v>
      </c>
      <c r="D221" s="31" t="s">
        <v>600</v>
      </c>
      <c r="E221" s="31" t="s">
        <v>348</v>
      </c>
      <c r="F221" s="31">
        <v>3</v>
      </c>
      <c r="G221" s="31">
        <v>6</v>
      </c>
      <c r="H221" s="31">
        <v>3.3</v>
      </c>
      <c r="I221" s="31">
        <v>3.9</v>
      </c>
      <c r="J221" s="33">
        <v>288</v>
      </c>
      <c r="K221" s="33">
        <v>6144</v>
      </c>
      <c r="L221" s="31">
        <v>8192</v>
      </c>
      <c r="M221" s="31" t="s">
        <v>749</v>
      </c>
      <c r="N221" s="33"/>
      <c r="O221" s="33">
        <f t="shared" si="33"/>
        <v>1.1499999999999999</v>
      </c>
      <c r="P221" s="33">
        <f t="shared" si="37"/>
        <v>1.5</v>
      </c>
      <c r="Q221" s="33">
        <f t="shared" si="36"/>
        <v>0.83791478919602924</v>
      </c>
      <c r="R221" s="33"/>
      <c r="S221" s="34">
        <f t="shared" si="34"/>
        <v>0.6804</v>
      </c>
      <c r="T221" s="34">
        <f t="shared" si="38"/>
        <v>1.3608</v>
      </c>
      <c r="U221" s="34">
        <f t="shared" si="39"/>
        <v>2.3814000000000002</v>
      </c>
      <c r="V221" s="34">
        <f t="shared" si="40"/>
        <v>3.0617999999999999</v>
      </c>
      <c r="W221" s="34">
        <f t="shared" si="41"/>
        <v>3.0617999999999999</v>
      </c>
    </row>
    <row r="222" spans="1:23" x14ac:dyDescent="0.25">
      <c r="A222" s="31" t="s">
        <v>771</v>
      </c>
      <c r="B222" s="33" t="s">
        <v>609</v>
      </c>
      <c r="C222" s="31" t="s">
        <v>599</v>
      </c>
      <c r="D222" s="31" t="s">
        <v>600</v>
      </c>
      <c r="E222" s="31" t="s">
        <v>348</v>
      </c>
      <c r="F222" s="31">
        <v>2</v>
      </c>
      <c r="G222" s="31">
        <v>4</v>
      </c>
      <c r="H222" s="31">
        <v>4.2</v>
      </c>
      <c r="I222" s="31">
        <v>4.3</v>
      </c>
      <c r="J222" s="33">
        <v>192</v>
      </c>
      <c r="K222" s="33">
        <v>4096</v>
      </c>
      <c r="L222" s="31">
        <v>8192</v>
      </c>
      <c r="M222" s="31" t="s">
        <v>749</v>
      </c>
      <c r="N222" s="33"/>
      <c r="O222" s="33">
        <f t="shared" si="33"/>
        <v>1.1499999999999999</v>
      </c>
      <c r="P222" s="33">
        <f t="shared" si="37"/>
        <v>1.5</v>
      </c>
      <c r="Q222" s="33">
        <f t="shared" si="36"/>
        <v>0.83791478919602924</v>
      </c>
      <c r="R222" s="33"/>
      <c r="S222" s="34">
        <f t="shared" si="34"/>
        <v>0.8659</v>
      </c>
      <c r="T222" s="34">
        <f t="shared" si="38"/>
        <v>1.7318</v>
      </c>
      <c r="U222" s="34">
        <f t="shared" si="39"/>
        <v>2.5977000000000001</v>
      </c>
      <c r="V222" s="34">
        <f t="shared" si="40"/>
        <v>2.5977000000000001</v>
      </c>
      <c r="W222" s="34">
        <f t="shared" si="41"/>
        <v>2.5977000000000001</v>
      </c>
    </row>
    <row r="223" spans="1:23" x14ac:dyDescent="0.25">
      <c r="A223" s="31" t="s">
        <v>771</v>
      </c>
      <c r="B223" s="33" t="s">
        <v>610</v>
      </c>
      <c r="C223" s="31" t="s">
        <v>599</v>
      </c>
      <c r="D223" s="31" t="s">
        <v>600</v>
      </c>
      <c r="E223" s="31" t="s">
        <v>348</v>
      </c>
      <c r="F223" s="31">
        <v>2</v>
      </c>
      <c r="G223" s="31">
        <v>4</v>
      </c>
      <c r="H223" s="31">
        <v>3.8</v>
      </c>
      <c r="I223" s="31">
        <v>4</v>
      </c>
      <c r="J223" s="33">
        <v>192</v>
      </c>
      <c r="K223" s="33">
        <v>4096</v>
      </c>
      <c r="L223" s="31">
        <v>8192</v>
      </c>
      <c r="M223" s="31" t="s">
        <v>749</v>
      </c>
      <c r="N223" s="33"/>
      <c r="O223" s="33">
        <f t="shared" si="33"/>
        <v>1.1499999999999999</v>
      </c>
      <c r="P223" s="33">
        <f t="shared" si="37"/>
        <v>1.5</v>
      </c>
      <c r="Q223" s="33">
        <f t="shared" si="36"/>
        <v>0.83791478919602924</v>
      </c>
      <c r="R223" s="33"/>
      <c r="S223" s="34">
        <f t="shared" si="34"/>
        <v>0.78350000000000009</v>
      </c>
      <c r="T223" s="34">
        <f t="shared" si="38"/>
        <v>1.5670000000000002</v>
      </c>
      <c r="U223" s="34">
        <f t="shared" si="39"/>
        <v>2.3505000000000003</v>
      </c>
      <c r="V223" s="34">
        <f t="shared" si="40"/>
        <v>2.3505000000000003</v>
      </c>
      <c r="W223" s="34">
        <f t="shared" si="41"/>
        <v>2.3505000000000003</v>
      </c>
    </row>
    <row r="224" spans="1:23" x14ac:dyDescent="0.25">
      <c r="A224" s="31" t="s">
        <v>771</v>
      </c>
      <c r="B224" s="33" t="s">
        <v>611</v>
      </c>
      <c r="C224" s="31" t="s">
        <v>599</v>
      </c>
      <c r="D224" s="31" t="s">
        <v>600</v>
      </c>
      <c r="E224" s="31" t="s">
        <v>348</v>
      </c>
      <c r="F224" s="31">
        <v>2</v>
      </c>
      <c r="G224" s="31">
        <v>4</v>
      </c>
      <c r="H224" s="31">
        <v>3.8</v>
      </c>
      <c r="I224" s="31">
        <v>4</v>
      </c>
      <c r="J224" s="33">
        <v>192</v>
      </c>
      <c r="K224" s="33">
        <v>4096</v>
      </c>
      <c r="L224" s="31">
        <v>4096</v>
      </c>
      <c r="M224" s="31" t="s">
        <v>749</v>
      </c>
      <c r="N224" s="33"/>
      <c r="O224" s="33">
        <f t="shared" si="33"/>
        <v>1.1200000000000001</v>
      </c>
      <c r="P224" s="33">
        <f t="shared" si="37"/>
        <v>1.5</v>
      </c>
      <c r="Q224" s="33">
        <f t="shared" si="36"/>
        <v>0.83791478919602924</v>
      </c>
      <c r="R224" s="33"/>
      <c r="S224" s="34">
        <f t="shared" si="34"/>
        <v>0.76300000000000001</v>
      </c>
      <c r="T224" s="34">
        <f t="shared" si="38"/>
        <v>1.526</v>
      </c>
      <c r="U224" s="34">
        <f t="shared" si="39"/>
        <v>2.2890000000000001</v>
      </c>
      <c r="V224" s="34">
        <f t="shared" si="40"/>
        <v>2.2890000000000001</v>
      </c>
      <c r="W224" s="34">
        <f t="shared" si="41"/>
        <v>2.2890000000000001</v>
      </c>
    </row>
    <row r="225" spans="1:23" x14ac:dyDescent="0.25">
      <c r="A225" s="31" t="s">
        <v>771</v>
      </c>
      <c r="B225" s="33" t="s">
        <v>612</v>
      </c>
      <c r="C225" s="31" t="s">
        <v>599</v>
      </c>
      <c r="D225" s="31" t="s">
        <v>600</v>
      </c>
      <c r="E225" s="31" t="s">
        <v>348</v>
      </c>
      <c r="F225" s="31">
        <v>2</v>
      </c>
      <c r="G225" s="31">
        <v>4</v>
      </c>
      <c r="H225" s="31">
        <v>3.9</v>
      </c>
      <c r="I225" s="31">
        <v>4</v>
      </c>
      <c r="J225" s="33">
        <v>192</v>
      </c>
      <c r="K225" s="33">
        <v>4096</v>
      </c>
      <c r="L225" s="31">
        <v>8192</v>
      </c>
      <c r="M225" s="31" t="s">
        <v>749</v>
      </c>
      <c r="N225" s="33"/>
      <c r="O225" s="33">
        <f t="shared" si="33"/>
        <v>1.1499999999999999</v>
      </c>
      <c r="P225" s="33">
        <f t="shared" si="37"/>
        <v>1.5</v>
      </c>
      <c r="Q225" s="33">
        <f t="shared" si="36"/>
        <v>0.83791478919602924</v>
      </c>
      <c r="R225" s="33"/>
      <c r="S225" s="34">
        <f t="shared" si="34"/>
        <v>0.80410000000000004</v>
      </c>
      <c r="T225" s="34">
        <f t="shared" si="38"/>
        <v>1.6082000000000001</v>
      </c>
      <c r="U225" s="34">
        <f t="shared" si="39"/>
        <v>2.4123000000000001</v>
      </c>
      <c r="V225" s="34">
        <f t="shared" si="40"/>
        <v>2.4123000000000001</v>
      </c>
      <c r="W225" s="34">
        <f t="shared" si="41"/>
        <v>2.4123000000000001</v>
      </c>
    </row>
    <row r="226" spans="1:23" x14ac:dyDescent="0.25">
      <c r="A226" s="31" t="s">
        <v>771</v>
      </c>
      <c r="B226" s="33" t="s">
        <v>613</v>
      </c>
      <c r="C226" s="31" t="s">
        <v>599</v>
      </c>
      <c r="D226" s="31" t="s">
        <v>600</v>
      </c>
      <c r="E226" s="31" t="s">
        <v>348</v>
      </c>
      <c r="F226" s="31">
        <v>2</v>
      </c>
      <c r="G226" s="31">
        <v>4</v>
      </c>
      <c r="H226" s="31">
        <v>3.6</v>
      </c>
      <c r="I226" s="31">
        <v>3.9</v>
      </c>
      <c r="J226" s="33">
        <v>192</v>
      </c>
      <c r="K226" s="33">
        <v>4096</v>
      </c>
      <c r="L226" s="31">
        <v>8192</v>
      </c>
      <c r="M226" s="31" t="s">
        <v>749</v>
      </c>
      <c r="N226" s="33"/>
      <c r="O226" s="33">
        <f t="shared" si="33"/>
        <v>1.1499999999999999</v>
      </c>
      <c r="P226" s="33">
        <f t="shared" si="37"/>
        <v>1.5</v>
      </c>
      <c r="Q226" s="33">
        <f t="shared" si="36"/>
        <v>0.83791478919602924</v>
      </c>
      <c r="R226" s="33"/>
      <c r="S226" s="34">
        <f t="shared" si="34"/>
        <v>0.74220000000000008</v>
      </c>
      <c r="T226" s="34">
        <f t="shared" si="38"/>
        <v>1.4844000000000002</v>
      </c>
      <c r="U226" s="34">
        <f t="shared" si="39"/>
        <v>2.2266000000000004</v>
      </c>
      <c r="V226" s="34">
        <f t="shared" si="40"/>
        <v>2.2266000000000004</v>
      </c>
      <c r="W226" s="34">
        <f t="shared" si="41"/>
        <v>2.2266000000000004</v>
      </c>
    </row>
    <row r="227" spans="1:23" x14ac:dyDescent="0.25">
      <c r="B227" s="495">
        <v>0</v>
      </c>
      <c r="I227" s="4">
        <v>1</v>
      </c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XFD153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0" sqref="D20"/>
    </sheetView>
  </sheetViews>
  <sheetFormatPr defaultColWidth="9" defaultRowHeight="10.8" x14ac:dyDescent="0.25"/>
  <cols>
    <col min="1" max="1" width="9" style="6"/>
    <col min="2" max="2" width="19.69921875" style="6" bestFit="1" customWidth="1"/>
    <col min="3" max="3" width="8.69921875" style="7" bestFit="1" customWidth="1"/>
    <col min="4" max="4" width="9" style="6" bestFit="1" customWidth="1"/>
    <col min="5" max="5" width="7" style="7" bestFit="1" customWidth="1"/>
    <col min="6" max="6" width="4.59765625" style="7" bestFit="1" customWidth="1"/>
    <col min="7" max="7" width="4.3984375" style="7" bestFit="1" customWidth="1"/>
    <col min="8" max="8" width="8.5" style="7" customWidth="1"/>
    <col min="9" max="9" width="8.5" style="7" bestFit="1" customWidth="1"/>
    <col min="10" max="10" width="10.19921875" style="7" bestFit="1" customWidth="1"/>
    <col min="11" max="11" width="8.59765625" style="7" bestFit="1" customWidth="1"/>
    <col min="12" max="12" width="9.8984375" style="7" bestFit="1" customWidth="1"/>
    <col min="13" max="13" width="3" style="6" customWidth="1"/>
    <col min="14" max="14" width="0.69921875" style="6" customWidth="1"/>
    <col min="15" max="15" width="4.69921875" style="6" bestFit="1" customWidth="1"/>
    <col min="16" max="16" width="6.69921875" style="6" bestFit="1" customWidth="1"/>
    <col min="17" max="17" width="6" style="6" bestFit="1" customWidth="1"/>
    <col min="18" max="18" width="6.8984375" style="6" bestFit="1" customWidth="1"/>
    <col min="19" max="20" width="9" style="6"/>
    <col min="21" max="21" width="0.69921875" style="6" customWidth="1"/>
    <col min="22" max="22" width="3.296875" style="6" customWidth="1"/>
    <col min="23" max="23" width="3.69921875" style="6" customWidth="1"/>
    <col min="24" max="24" width="5.09765625" style="390" customWidth="1"/>
    <col min="25" max="25" width="0.69921875" style="6" customWidth="1"/>
    <col min="26" max="26" width="3.59765625" style="6" customWidth="1"/>
    <col min="27" max="27" width="0.69921875" style="6" customWidth="1"/>
    <col min="28" max="28" width="7.69921875" style="26" bestFit="1" customWidth="1"/>
    <col min="29" max="16384" width="9" style="6"/>
  </cols>
  <sheetData>
    <row r="1" spans="1:28" s="51" customFormat="1" ht="11.4" thickBot="1" x14ac:dyDescent="0.3">
      <c r="A1" s="52" t="s">
        <v>886</v>
      </c>
      <c r="B1" s="53" t="s">
        <v>614</v>
      </c>
      <c r="C1" s="23" t="s">
        <v>615</v>
      </c>
      <c r="D1" s="53" t="s">
        <v>616</v>
      </c>
      <c r="E1" s="54" t="s">
        <v>737</v>
      </c>
      <c r="F1" s="54" t="s">
        <v>738</v>
      </c>
      <c r="G1" s="54" t="s">
        <v>739</v>
      </c>
      <c r="H1" s="54" t="s">
        <v>740</v>
      </c>
      <c r="I1" s="54" t="s">
        <v>755</v>
      </c>
      <c r="J1" s="54" t="s">
        <v>741</v>
      </c>
      <c r="K1" s="54" t="s">
        <v>742</v>
      </c>
      <c r="L1" s="54" t="s">
        <v>743</v>
      </c>
      <c r="M1" s="53" t="s">
        <v>744</v>
      </c>
      <c r="N1" s="53"/>
      <c r="O1" s="51" t="s">
        <v>773</v>
      </c>
      <c r="P1" s="51" t="s">
        <v>761</v>
      </c>
      <c r="Q1" s="51" t="s">
        <v>762</v>
      </c>
      <c r="R1" s="51" t="s">
        <v>763</v>
      </c>
      <c r="S1" s="51" t="s">
        <v>764</v>
      </c>
      <c r="T1" s="51" t="s">
        <v>765</v>
      </c>
      <c r="V1" s="51" t="s">
        <v>766</v>
      </c>
      <c r="W1" s="51" t="s">
        <v>731</v>
      </c>
      <c r="X1" s="384" t="s">
        <v>744</v>
      </c>
      <c r="Z1" s="51" t="s">
        <v>1253</v>
      </c>
      <c r="AB1" s="24" t="s">
        <v>793</v>
      </c>
    </row>
    <row r="2" spans="1:28" x14ac:dyDescent="0.25">
      <c r="A2" s="22" t="s">
        <v>887</v>
      </c>
      <c r="B2" s="18" t="s">
        <v>776</v>
      </c>
      <c r="C2" s="19" t="s">
        <v>775</v>
      </c>
      <c r="D2" s="18" t="s">
        <v>777</v>
      </c>
      <c r="E2" s="20">
        <v>3584</v>
      </c>
      <c r="F2" s="20">
        <v>224</v>
      </c>
      <c r="G2" s="20">
        <v>96</v>
      </c>
      <c r="H2" s="20">
        <v>1417</v>
      </c>
      <c r="I2" s="20">
        <v>1531</v>
      </c>
      <c r="J2" s="20">
        <v>2500</v>
      </c>
      <c r="K2" s="20">
        <v>384</v>
      </c>
      <c r="L2" s="21" t="s">
        <v>778</v>
      </c>
      <c r="M2" s="18"/>
      <c r="N2" s="18"/>
      <c r="O2" s="22">
        <f t="shared" ref="O2:O9" si="0">IF(LEFT(L2,1)="G",4*J2,2*J2)</f>
        <v>10000</v>
      </c>
      <c r="P2" s="22">
        <f>E2*I2</f>
        <v>5487104</v>
      </c>
      <c r="Q2" s="22">
        <f>F2*I2</f>
        <v>342944</v>
      </c>
      <c r="R2" s="22">
        <f>G2*I2</f>
        <v>146976</v>
      </c>
      <c r="S2" s="22">
        <f>I2</f>
        <v>1531</v>
      </c>
      <c r="T2" s="22">
        <f t="shared" ref="T2:T9" si="1">O2*K2</f>
        <v>3840000</v>
      </c>
      <c r="U2" s="22"/>
      <c r="V2" s="22">
        <f t="shared" ref="V2:V8" si="2">0.5*(POWER((P2*Q2*R2)/($P$23*$Q$23*$R$23),1/3)+0.5*(S2/$S$23)+0.5*(T2/$T$23))</f>
        <v>5.8070174694871426</v>
      </c>
      <c r="W2" s="22">
        <f>W9*1.03</f>
        <v>1.1844999999999999</v>
      </c>
      <c r="X2" s="385">
        <f>IF(M2="O",0.9,1)</f>
        <v>1</v>
      </c>
      <c r="Y2" s="22"/>
      <c r="Z2" s="22">
        <f t="shared" ref="Z2:Z8" si="3">FLOOR(V2*X2*W2/$W$23,0.0001)</f>
        <v>6.8103000000000007</v>
      </c>
      <c r="AA2" s="22"/>
      <c r="AB2" s="25">
        <f>FLOOR(Z2*100,0.01)</f>
        <v>681.03</v>
      </c>
    </row>
    <row r="3" spans="1:28" x14ac:dyDescent="0.25">
      <c r="A3" s="22" t="s">
        <v>887</v>
      </c>
      <c r="B3" s="18" t="s">
        <v>779</v>
      </c>
      <c r="C3" s="19" t="s">
        <v>775</v>
      </c>
      <c r="D3" s="18" t="s">
        <v>781</v>
      </c>
      <c r="E3" s="20">
        <v>2560</v>
      </c>
      <c r="F3" s="20">
        <v>160</v>
      </c>
      <c r="G3" s="20">
        <v>64</v>
      </c>
      <c r="H3" s="20">
        <v>1607</v>
      </c>
      <c r="I3" s="20">
        <v>1733</v>
      </c>
      <c r="J3" s="20">
        <v>2500</v>
      </c>
      <c r="K3" s="20">
        <v>256</v>
      </c>
      <c r="L3" s="21" t="s">
        <v>778</v>
      </c>
      <c r="M3" s="18"/>
      <c r="N3" s="18"/>
      <c r="O3" s="22">
        <f t="shared" si="0"/>
        <v>10000</v>
      </c>
      <c r="P3" s="22">
        <f t="shared" ref="P3:P66" si="4">E3*I3</f>
        <v>4436480</v>
      </c>
      <c r="Q3" s="22">
        <f t="shared" ref="Q3:Q66" si="5">F3*I3</f>
        <v>277280</v>
      </c>
      <c r="R3" s="22">
        <f t="shared" ref="R3:R66" si="6">G3*I3</f>
        <v>110912</v>
      </c>
      <c r="S3" s="22">
        <f t="shared" ref="S3:S69" si="7">H3</f>
        <v>1607</v>
      </c>
      <c r="T3" s="22">
        <f t="shared" si="1"/>
        <v>2560000</v>
      </c>
      <c r="U3" s="22"/>
      <c r="V3" s="22">
        <f t="shared" si="2"/>
        <v>4.514268521028483</v>
      </c>
      <c r="W3" s="22">
        <f t="shared" ref="W3:W8" si="8">W2</f>
        <v>1.1844999999999999</v>
      </c>
      <c r="X3" s="385">
        <f t="shared" ref="X3:X66" si="9">IF(M3="O",0.9,1)</f>
        <v>1</v>
      </c>
      <c r="Y3" s="22"/>
      <c r="Z3" s="22">
        <f t="shared" si="3"/>
        <v>5.2942</v>
      </c>
      <c r="AA3" s="22"/>
      <c r="AB3" s="25">
        <f t="shared" ref="AB3:AB83" si="10">FLOOR(POWER(Z3,0.5)*100,0.01)</f>
        <v>230.09</v>
      </c>
    </row>
    <row r="4" spans="1:28" x14ac:dyDescent="0.25">
      <c r="A4" s="22" t="s">
        <v>887</v>
      </c>
      <c r="B4" s="18" t="s">
        <v>780</v>
      </c>
      <c r="C4" s="19" t="s">
        <v>775</v>
      </c>
      <c r="D4" s="18" t="s">
        <v>781</v>
      </c>
      <c r="E4" s="20">
        <v>1920</v>
      </c>
      <c r="F4" s="20">
        <v>120</v>
      </c>
      <c r="G4" s="20">
        <v>64</v>
      </c>
      <c r="H4" s="20">
        <v>1506</v>
      </c>
      <c r="I4" s="20">
        <v>1683</v>
      </c>
      <c r="J4" s="20">
        <v>2002</v>
      </c>
      <c r="K4" s="20">
        <v>256</v>
      </c>
      <c r="L4" s="21" t="s">
        <v>745</v>
      </c>
      <c r="M4" s="18"/>
      <c r="N4" s="18"/>
      <c r="O4" s="22">
        <f t="shared" si="0"/>
        <v>8008</v>
      </c>
      <c r="P4" s="22">
        <f t="shared" si="4"/>
        <v>3231360</v>
      </c>
      <c r="Q4" s="22">
        <f t="shared" si="5"/>
        <v>201960</v>
      </c>
      <c r="R4" s="22">
        <f t="shared" si="6"/>
        <v>107712</v>
      </c>
      <c r="S4" s="22">
        <f t="shared" si="7"/>
        <v>1506</v>
      </c>
      <c r="T4" s="22">
        <f t="shared" si="1"/>
        <v>2050048</v>
      </c>
      <c r="U4" s="22"/>
      <c r="V4" s="22">
        <f t="shared" si="2"/>
        <v>3.6714947782590404</v>
      </c>
      <c r="W4" s="22">
        <f t="shared" si="8"/>
        <v>1.1844999999999999</v>
      </c>
      <c r="X4" s="385">
        <f t="shared" si="9"/>
        <v>1</v>
      </c>
      <c r="Y4" s="22"/>
      <c r="Z4" s="22">
        <f t="shared" si="3"/>
        <v>4.3058000000000005</v>
      </c>
      <c r="AA4" s="22"/>
      <c r="AB4" s="25">
        <f t="shared" si="10"/>
        <v>207.5</v>
      </c>
    </row>
    <row r="5" spans="1:28" x14ac:dyDescent="0.25">
      <c r="A5" s="22" t="s">
        <v>887</v>
      </c>
      <c r="B5" s="18" t="s">
        <v>1327</v>
      </c>
      <c r="C5" s="19" t="s">
        <v>775</v>
      </c>
      <c r="D5" s="18" t="s">
        <v>782</v>
      </c>
      <c r="E5" s="20">
        <v>1280</v>
      </c>
      <c r="F5" s="20">
        <v>80</v>
      </c>
      <c r="G5" s="20">
        <v>48</v>
      </c>
      <c r="H5" s="20">
        <v>1506</v>
      </c>
      <c r="I5" s="20">
        <v>1708</v>
      </c>
      <c r="J5" s="20">
        <v>2002</v>
      </c>
      <c r="K5" s="20">
        <v>192</v>
      </c>
      <c r="L5" s="21" t="s">
        <v>745</v>
      </c>
      <c r="M5" s="18"/>
      <c r="N5" s="18"/>
      <c r="O5" s="22">
        <f t="shared" si="0"/>
        <v>8008</v>
      </c>
      <c r="P5" s="22">
        <f t="shared" si="4"/>
        <v>2186240</v>
      </c>
      <c r="Q5" s="22">
        <f t="shared" si="5"/>
        <v>136640</v>
      </c>
      <c r="R5" s="22">
        <f t="shared" si="6"/>
        <v>81984</v>
      </c>
      <c r="S5" s="22">
        <f t="shared" si="7"/>
        <v>1506</v>
      </c>
      <c r="T5" s="22">
        <f t="shared" si="1"/>
        <v>1537536</v>
      </c>
      <c r="U5" s="22"/>
      <c r="V5" s="22">
        <f t="shared" si="2"/>
        <v>2.727230533544212</v>
      </c>
      <c r="W5" s="22">
        <f t="shared" si="8"/>
        <v>1.1844999999999999</v>
      </c>
      <c r="X5" s="385">
        <f t="shared" si="9"/>
        <v>1</v>
      </c>
      <c r="Y5" s="22"/>
      <c r="Z5" s="22">
        <f t="shared" si="3"/>
        <v>3.1984000000000004</v>
      </c>
      <c r="AA5" s="22"/>
      <c r="AB5" s="25">
        <f t="shared" si="10"/>
        <v>178.84</v>
      </c>
    </row>
    <row r="6" spans="1:28" x14ac:dyDescent="0.25">
      <c r="A6" s="22" t="s">
        <v>887</v>
      </c>
      <c r="B6" s="18" t="s">
        <v>1328</v>
      </c>
      <c r="C6" s="19" t="s">
        <v>775</v>
      </c>
      <c r="D6" s="18" t="s">
        <v>782</v>
      </c>
      <c r="E6" s="20">
        <v>1152</v>
      </c>
      <c r="F6" s="20">
        <v>72</v>
      </c>
      <c r="G6" s="20">
        <v>48</v>
      </c>
      <c r="H6" s="20">
        <v>1506</v>
      </c>
      <c r="I6" s="20">
        <v>1708</v>
      </c>
      <c r="J6" s="20">
        <v>2002</v>
      </c>
      <c r="K6" s="20">
        <v>192</v>
      </c>
      <c r="L6" s="21" t="s">
        <v>745</v>
      </c>
      <c r="M6" s="18"/>
      <c r="N6" s="18"/>
      <c r="O6" s="22">
        <f t="shared" si="0"/>
        <v>8008</v>
      </c>
      <c r="P6" s="22">
        <f t="shared" si="4"/>
        <v>1967616</v>
      </c>
      <c r="Q6" s="22">
        <f t="shared" si="5"/>
        <v>122976</v>
      </c>
      <c r="R6" s="22">
        <f t="shared" si="6"/>
        <v>81984</v>
      </c>
      <c r="S6" s="22">
        <f t="shared" si="7"/>
        <v>1506</v>
      </c>
      <c r="T6" s="22">
        <f t="shared" si="1"/>
        <v>1537536</v>
      </c>
      <c r="U6" s="22"/>
      <c r="V6" s="22">
        <f t="shared" si="2"/>
        <v>2.6050003058387903</v>
      </c>
      <c r="W6" s="22">
        <f t="shared" si="8"/>
        <v>1.1844999999999999</v>
      </c>
      <c r="X6" s="385">
        <f t="shared" si="9"/>
        <v>1</v>
      </c>
      <c r="Y6" s="22"/>
      <c r="Z6" s="22">
        <f t="shared" si="3"/>
        <v>3.0550000000000002</v>
      </c>
      <c r="AA6" s="22"/>
      <c r="AB6" s="25">
        <f t="shared" si="10"/>
        <v>174.78</v>
      </c>
    </row>
    <row r="7" spans="1:28" x14ac:dyDescent="0.25">
      <c r="A7" s="22" t="s">
        <v>887</v>
      </c>
      <c r="B7" s="18" t="s">
        <v>1910</v>
      </c>
      <c r="C7" s="19" t="s">
        <v>775</v>
      </c>
      <c r="D7" s="18" t="s">
        <v>1912</v>
      </c>
      <c r="E7" s="20">
        <v>768</v>
      </c>
      <c r="F7" s="20">
        <v>48</v>
      </c>
      <c r="G7" s="20">
        <v>32</v>
      </c>
      <c r="H7" s="20">
        <v>1290</v>
      </c>
      <c r="I7" s="20">
        <v>1382</v>
      </c>
      <c r="J7" s="20">
        <v>1752</v>
      </c>
      <c r="K7" s="20">
        <v>128</v>
      </c>
      <c r="L7" s="21" t="s">
        <v>745</v>
      </c>
      <c r="M7" s="18"/>
      <c r="N7" s="18"/>
      <c r="O7" s="22">
        <f t="shared" si="0"/>
        <v>7008</v>
      </c>
      <c r="P7" s="22">
        <f t="shared" si="4"/>
        <v>1061376</v>
      </c>
      <c r="Q7" s="22">
        <f t="shared" si="5"/>
        <v>66336</v>
      </c>
      <c r="R7" s="22">
        <f t="shared" si="6"/>
        <v>44224</v>
      </c>
      <c r="S7" s="22">
        <f>H7</f>
        <v>1290</v>
      </c>
      <c r="T7" s="22">
        <f t="shared" si="1"/>
        <v>897024</v>
      </c>
      <c r="U7" s="22"/>
      <c r="V7" s="22">
        <f t="shared" si="2"/>
        <v>1.5467271909414846</v>
      </c>
      <c r="W7" s="22">
        <f t="shared" si="8"/>
        <v>1.1844999999999999</v>
      </c>
      <c r="X7" s="385">
        <f t="shared" si="9"/>
        <v>1</v>
      </c>
      <c r="Y7" s="22"/>
      <c r="Z7" s="22">
        <f t="shared" si="3"/>
        <v>1.8139000000000001</v>
      </c>
      <c r="AA7" s="22"/>
      <c r="AB7" s="25">
        <f>FLOOR(POWER(Z7,0.5)*100,0.01)</f>
        <v>134.68</v>
      </c>
    </row>
    <row r="8" spans="1:28" x14ac:dyDescent="0.25">
      <c r="A8" s="22" t="s">
        <v>887</v>
      </c>
      <c r="B8" s="18" t="s">
        <v>1911</v>
      </c>
      <c r="C8" s="19" t="s">
        <v>775</v>
      </c>
      <c r="D8" s="18" t="s">
        <v>1912</v>
      </c>
      <c r="E8" s="20">
        <v>640</v>
      </c>
      <c r="F8" s="20">
        <v>40</v>
      </c>
      <c r="G8" s="20">
        <v>32</v>
      </c>
      <c r="H8" s="20">
        <v>1354</v>
      </c>
      <c r="I8" s="20">
        <v>1455</v>
      </c>
      <c r="J8" s="20">
        <v>1750</v>
      </c>
      <c r="K8" s="20">
        <v>128</v>
      </c>
      <c r="L8" s="21" t="s">
        <v>745</v>
      </c>
      <c r="M8" s="18"/>
      <c r="N8" s="18"/>
      <c r="O8" s="22">
        <f t="shared" si="0"/>
        <v>7000</v>
      </c>
      <c r="P8" s="22">
        <f t="shared" si="4"/>
        <v>931200</v>
      </c>
      <c r="Q8" s="22">
        <f t="shared" si="5"/>
        <v>58200</v>
      </c>
      <c r="R8" s="22">
        <f t="shared" si="6"/>
        <v>46560</v>
      </c>
      <c r="S8" s="22">
        <f>H8</f>
        <v>1354</v>
      </c>
      <c r="T8" s="22">
        <f t="shared" si="1"/>
        <v>896000</v>
      </c>
      <c r="U8" s="22"/>
      <c r="V8" s="22">
        <f t="shared" si="2"/>
        <v>1.500722592258307</v>
      </c>
      <c r="W8" s="22">
        <f t="shared" si="8"/>
        <v>1.1844999999999999</v>
      </c>
      <c r="X8" s="385">
        <f t="shared" si="9"/>
        <v>1</v>
      </c>
      <c r="Y8" s="22"/>
      <c r="Z8" s="22">
        <f t="shared" si="3"/>
        <v>1.76</v>
      </c>
      <c r="AA8" s="22"/>
      <c r="AB8" s="25">
        <f>FLOOR(POWER(Z8,0.5)*100,0.01)</f>
        <v>132.66</v>
      </c>
    </row>
    <row r="9" spans="1:28" x14ac:dyDescent="0.25">
      <c r="A9" s="22" t="s">
        <v>887</v>
      </c>
      <c r="B9" s="18" t="s">
        <v>620</v>
      </c>
      <c r="C9" s="19" t="s">
        <v>621</v>
      </c>
      <c r="D9" s="18" t="s">
        <v>622</v>
      </c>
      <c r="E9" s="20">
        <v>3072</v>
      </c>
      <c r="F9" s="20">
        <v>192</v>
      </c>
      <c r="G9" s="20">
        <v>96</v>
      </c>
      <c r="H9" s="20">
        <v>1000</v>
      </c>
      <c r="I9" s="20">
        <v>1000</v>
      </c>
      <c r="J9" s="20">
        <v>1753</v>
      </c>
      <c r="K9" s="20">
        <v>384</v>
      </c>
      <c r="L9" s="21" t="s">
        <v>745</v>
      </c>
      <c r="M9" s="18"/>
      <c r="N9" s="18"/>
      <c r="O9" s="22">
        <f t="shared" si="0"/>
        <v>7012</v>
      </c>
      <c r="P9" s="22">
        <f t="shared" si="4"/>
        <v>3072000</v>
      </c>
      <c r="Q9" s="22">
        <f t="shared" si="5"/>
        <v>192000</v>
      </c>
      <c r="R9" s="22">
        <f t="shared" si="6"/>
        <v>96000</v>
      </c>
      <c r="S9" s="22">
        <f t="shared" si="7"/>
        <v>1000</v>
      </c>
      <c r="T9" s="22">
        <f t="shared" si="1"/>
        <v>2692608</v>
      </c>
      <c r="U9" s="22"/>
      <c r="V9" s="22">
        <f t="shared" ref="V9:V40" si="11">0.5*(POWER((P9*Q9*R9)/($P$23*$Q$23*$R$23),1/3)+0.5*(S9/$S$23)+0.5*(T9/$T$23))</f>
        <v>3.6017718387389164</v>
      </c>
      <c r="W9" s="22">
        <v>1.1499999999999999</v>
      </c>
      <c r="X9" s="385">
        <f t="shared" si="9"/>
        <v>1</v>
      </c>
      <c r="Y9" s="22"/>
      <c r="Z9" s="22">
        <f t="shared" ref="Z9:Z40" si="12">FLOOR(V9*X9*W9/$W$23,0.0001)</f>
        <v>4.101</v>
      </c>
      <c r="AA9" s="22"/>
      <c r="AB9" s="25">
        <f t="shared" si="10"/>
        <v>202.5</v>
      </c>
    </row>
    <row r="10" spans="1:28" x14ac:dyDescent="0.25">
      <c r="A10" s="22" t="s">
        <v>887</v>
      </c>
      <c r="B10" s="18" t="s">
        <v>626</v>
      </c>
      <c r="C10" s="19" t="s">
        <v>621</v>
      </c>
      <c r="D10" s="18" t="s">
        <v>622</v>
      </c>
      <c r="E10" s="20">
        <v>2816</v>
      </c>
      <c r="F10" s="20">
        <v>176</v>
      </c>
      <c r="G10" s="20">
        <v>96</v>
      </c>
      <c r="H10" s="20">
        <v>1000</v>
      </c>
      <c r="I10" s="20">
        <v>1000</v>
      </c>
      <c r="J10" s="20">
        <v>1753</v>
      </c>
      <c r="K10" s="20">
        <v>384</v>
      </c>
      <c r="L10" s="21" t="s">
        <v>745</v>
      </c>
      <c r="M10" s="18"/>
      <c r="N10" s="18"/>
      <c r="O10" s="22">
        <f t="shared" ref="O10:O80" si="13">IF(LEFT(L10,1)="G",4*J10,2*J10)</f>
        <v>7012</v>
      </c>
      <c r="P10" s="22">
        <f t="shared" si="4"/>
        <v>2816000</v>
      </c>
      <c r="Q10" s="22">
        <f t="shared" si="5"/>
        <v>176000</v>
      </c>
      <c r="R10" s="22">
        <f t="shared" si="6"/>
        <v>96000</v>
      </c>
      <c r="S10" s="22">
        <f t="shared" si="7"/>
        <v>1000</v>
      </c>
      <c r="T10" s="22">
        <f t="shared" ref="T10:T80" si="14">O10*K10</f>
        <v>2692608</v>
      </c>
      <c r="U10" s="22"/>
      <c r="V10" s="22">
        <f t="shared" si="11"/>
        <v>3.4674847296224125</v>
      </c>
      <c r="W10" s="22">
        <f>W9</f>
        <v>1.1499999999999999</v>
      </c>
      <c r="X10" s="385">
        <f t="shared" si="9"/>
        <v>1</v>
      </c>
      <c r="Y10" s="22"/>
      <c r="Z10" s="22">
        <f t="shared" si="12"/>
        <v>3.9481000000000002</v>
      </c>
      <c r="AA10" s="22"/>
      <c r="AB10" s="25">
        <f t="shared" si="10"/>
        <v>198.69</v>
      </c>
    </row>
    <row r="11" spans="1:28" x14ac:dyDescent="0.25">
      <c r="A11" s="22" t="s">
        <v>887</v>
      </c>
      <c r="B11" s="18" t="s">
        <v>627</v>
      </c>
      <c r="C11" s="19" t="s">
        <v>621</v>
      </c>
      <c r="D11" s="18" t="s">
        <v>628</v>
      </c>
      <c r="E11" s="20">
        <v>2048</v>
      </c>
      <c r="F11" s="20">
        <v>128</v>
      </c>
      <c r="G11" s="20">
        <v>64</v>
      </c>
      <c r="H11" s="20">
        <v>1127</v>
      </c>
      <c r="I11" s="20">
        <v>1127</v>
      </c>
      <c r="J11" s="20">
        <v>1753</v>
      </c>
      <c r="K11" s="20">
        <v>256</v>
      </c>
      <c r="L11" s="21" t="s">
        <v>745</v>
      </c>
      <c r="M11" s="18"/>
      <c r="N11" s="18"/>
      <c r="O11" s="22">
        <f t="shared" si="13"/>
        <v>7012</v>
      </c>
      <c r="P11" s="22">
        <f t="shared" si="4"/>
        <v>2308096</v>
      </c>
      <c r="Q11" s="22">
        <f t="shared" si="5"/>
        <v>144256</v>
      </c>
      <c r="R11" s="22">
        <f t="shared" si="6"/>
        <v>72128</v>
      </c>
      <c r="S11" s="22">
        <f t="shared" si="7"/>
        <v>1127</v>
      </c>
      <c r="T11" s="22">
        <f t="shared" si="14"/>
        <v>1795072</v>
      </c>
      <c r="U11" s="22"/>
      <c r="V11" s="22">
        <f t="shared" si="11"/>
        <v>2.715750478978606</v>
      </c>
      <c r="W11" s="22">
        <f>W10</f>
        <v>1.1499999999999999</v>
      </c>
      <c r="X11" s="385">
        <f t="shared" si="9"/>
        <v>1</v>
      </c>
      <c r="Y11" s="22"/>
      <c r="Z11" s="22">
        <f t="shared" si="12"/>
        <v>3.0921000000000003</v>
      </c>
      <c r="AA11" s="22"/>
      <c r="AB11" s="25">
        <f t="shared" si="10"/>
        <v>175.84</v>
      </c>
    </row>
    <row r="12" spans="1:28" x14ac:dyDescent="0.25">
      <c r="A12" s="22" t="s">
        <v>887</v>
      </c>
      <c r="B12" s="18" t="s">
        <v>2962</v>
      </c>
      <c r="C12" s="19" t="s">
        <v>621</v>
      </c>
      <c r="D12" s="18" t="s">
        <v>628</v>
      </c>
      <c r="E12" s="20">
        <v>1664</v>
      </c>
      <c r="F12" s="20">
        <v>104</v>
      </c>
      <c r="G12" s="20">
        <v>56</v>
      </c>
      <c r="H12" s="20">
        <v>1050</v>
      </c>
      <c r="I12" s="20">
        <v>1050</v>
      </c>
      <c r="J12" s="20">
        <v>1753</v>
      </c>
      <c r="K12" s="20">
        <v>256</v>
      </c>
      <c r="L12" s="21" t="s">
        <v>745</v>
      </c>
      <c r="M12" s="18"/>
      <c r="N12" s="18"/>
      <c r="O12" s="22">
        <f t="shared" si="13"/>
        <v>7012</v>
      </c>
      <c r="P12" s="22">
        <f t="shared" si="4"/>
        <v>1747200</v>
      </c>
      <c r="Q12" s="22">
        <f t="shared" si="5"/>
        <v>109200</v>
      </c>
      <c r="R12" s="22">
        <f t="shared" si="6"/>
        <v>58800</v>
      </c>
      <c r="S12" s="22">
        <f t="shared" si="7"/>
        <v>1050</v>
      </c>
      <c r="T12" s="22">
        <f t="shared" si="14"/>
        <v>1795072</v>
      </c>
      <c r="U12" s="22"/>
      <c r="V12" s="22">
        <f t="shared" si="11"/>
        <v>2.2957152944917207</v>
      </c>
      <c r="W12" s="22">
        <f>W11</f>
        <v>1.1499999999999999</v>
      </c>
      <c r="X12" s="385">
        <f t="shared" si="9"/>
        <v>1</v>
      </c>
      <c r="Y12" s="22"/>
      <c r="Z12" s="22">
        <f t="shared" si="12"/>
        <v>2.6139000000000001</v>
      </c>
      <c r="AA12" s="22"/>
      <c r="AB12" s="25">
        <f t="shared" si="10"/>
        <v>161.67000000000002</v>
      </c>
    </row>
    <row r="13" spans="1:28" x14ac:dyDescent="0.25">
      <c r="A13" s="22" t="s">
        <v>887</v>
      </c>
      <c r="B13" s="18" t="s">
        <v>629</v>
      </c>
      <c r="C13" s="19" t="s">
        <v>621</v>
      </c>
      <c r="D13" s="18" t="s">
        <v>630</v>
      </c>
      <c r="E13" s="20">
        <v>1024</v>
      </c>
      <c r="F13" s="20">
        <v>64</v>
      </c>
      <c r="G13" s="20">
        <v>32</v>
      </c>
      <c r="H13" s="20">
        <v>1127</v>
      </c>
      <c r="I13" s="20">
        <v>1127</v>
      </c>
      <c r="J13" s="20">
        <v>1753</v>
      </c>
      <c r="K13" s="20">
        <v>128</v>
      </c>
      <c r="L13" s="21" t="s">
        <v>745</v>
      </c>
      <c r="M13" s="18"/>
      <c r="N13" s="18"/>
      <c r="O13" s="22">
        <f t="shared" si="13"/>
        <v>7012</v>
      </c>
      <c r="P13" s="22">
        <f t="shared" si="4"/>
        <v>1154048</v>
      </c>
      <c r="Q13" s="22">
        <f t="shared" si="5"/>
        <v>72128</v>
      </c>
      <c r="R13" s="22">
        <f t="shared" si="6"/>
        <v>36064</v>
      </c>
      <c r="S13" s="22">
        <f t="shared" si="7"/>
        <v>1127</v>
      </c>
      <c r="T13" s="22">
        <f t="shared" si="14"/>
        <v>897536</v>
      </c>
      <c r="U13" s="22"/>
      <c r="V13" s="22">
        <f t="shared" si="11"/>
        <v>1.4959879845873423</v>
      </c>
      <c r="W13" s="22">
        <f>W12</f>
        <v>1.1499999999999999</v>
      </c>
      <c r="X13" s="385">
        <f t="shared" si="9"/>
        <v>1</v>
      </c>
      <c r="Y13" s="22"/>
      <c r="Z13" s="22">
        <f t="shared" si="12"/>
        <v>1.7033</v>
      </c>
      <c r="AA13" s="22"/>
      <c r="AB13" s="25">
        <f t="shared" si="10"/>
        <v>130.51</v>
      </c>
    </row>
    <row r="14" spans="1:28" x14ac:dyDescent="0.25">
      <c r="A14" s="22" t="s">
        <v>887</v>
      </c>
      <c r="B14" s="18" t="s">
        <v>631</v>
      </c>
      <c r="C14" s="19" t="s">
        <v>621</v>
      </c>
      <c r="D14" s="18" t="s">
        <v>630</v>
      </c>
      <c r="E14" s="20">
        <v>768</v>
      </c>
      <c r="F14" s="20">
        <v>48</v>
      </c>
      <c r="G14" s="20">
        <v>32</v>
      </c>
      <c r="H14" s="20">
        <v>1024</v>
      </c>
      <c r="I14" s="20">
        <v>1024</v>
      </c>
      <c r="J14" s="20">
        <v>1653</v>
      </c>
      <c r="K14" s="20">
        <v>128</v>
      </c>
      <c r="L14" s="21" t="s">
        <v>745</v>
      </c>
      <c r="M14" s="18"/>
      <c r="N14" s="18"/>
      <c r="O14" s="22">
        <f t="shared" si="13"/>
        <v>6612</v>
      </c>
      <c r="P14" s="22">
        <f t="shared" si="4"/>
        <v>786432</v>
      </c>
      <c r="Q14" s="22">
        <f t="shared" si="5"/>
        <v>49152</v>
      </c>
      <c r="R14" s="22">
        <f t="shared" si="6"/>
        <v>32768</v>
      </c>
      <c r="S14" s="22">
        <f t="shared" si="7"/>
        <v>1024</v>
      </c>
      <c r="T14" s="22">
        <f t="shared" si="14"/>
        <v>846336</v>
      </c>
      <c r="U14" s="22"/>
      <c r="V14" s="22">
        <f t="shared" si="11"/>
        <v>1.2284756035072042</v>
      </c>
      <c r="W14" s="22">
        <f>W13</f>
        <v>1.1499999999999999</v>
      </c>
      <c r="X14" s="385">
        <f t="shared" si="9"/>
        <v>1</v>
      </c>
      <c r="Y14" s="22"/>
      <c r="Z14" s="22">
        <f t="shared" si="12"/>
        <v>1.3987000000000001</v>
      </c>
      <c r="AA14" s="22"/>
      <c r="AB14" s="25">
        <f t="shared" si="10"/>
        <v>118.26</v>
      </c>
    </row>
    <row r="15" spans="1:28" x14ac:dyDescent="0.25">
      <c r="A15" s="22" t="s">
        <v>887</v>
      </c>
      <c r="B15" s="18" t="s">
        <v>617</v>
      </c>
      <c r="C15" s="19" t="s">
        <v>618</v>
      </c>
      <c r="D15" s="18" t="s">
        <v>619</v>
      </c>
      <c r="E15" s="21">
        <v>5760</v>
      </c>
      <c r="F15" s="20">
        <v>480</v>
      </c>
      <c r="G15" s="20">
        <v>96</v>
      </c>
      <c r="H15" s="20">
        <v>705</v>
      </c>
      <c r="I15" s="20">
        <v>705</v>
      </c>
      <c r="J15" s="20">
        <v>1750</v>
      </c>
      <c r="K15" s="20">
        <v>384</v>
      </c>
      <c r="L15" s="21" t="s">
        <v>745</v>
      </c>
      <c r="M15" s="18" t="s">
        <v>768</v>
      </c>
      <c r="N15" s="18"/>
      <c r="O15" s="22">
        <f t="shared" si="13"/>
        <v>7000</v>
      </c>
      <c r="P15" s="22">
        <f t="shared" si="4"/>
        <v>4060800</v>
      </c>
      <c r="Q15" s="22">
        <f t="shared" si="5"/>
        <v>338400</v>
      </c>
      <c r="R15" s="22">
        <f t="shared" si="6"/>
        <v>67680</v>
      </c>
      <c r="S15" s="22">
        <f t="shared" si="7"/>
        <v>705</v>
      </c>
      <c r="T15" s="22">
        <f t="shared" si="14"/>
        <v>2688000</v>
      </c>
      <c r="U15" s="22"/>
      <c r="V15" s="22">
        <f t="shared" si="11"/>
        <v>3.9564060552611413</v>
      </c>
      <c r="W15" s="22">
        <v>1</v>
      </c>
      <c r="X15" s="385">
        <f t="shared" si="9"/>
        <v>0.9</v>
      </c>
      <c r="Y15" s="22"/>
      <c r="Z15" s="22">
        <f t="shared" si="12"/>
        <v>3.5255000000000001</v>
      </c>
      <c r="AA15" s="22"/>
      <c r="AB15" s="25">
        <f t="shared" si="10"/>
        <v>187.76</v>
      </c>
    </row>
    <row r="16" spans="1:28" x14ac:dyDescent="0.25">
      <c r="A16" s="22" t="s">
        <v>887</v>
      </c>
      <c r="B16" s="18" t="s">
        <v>623</v>
      </c>
      <c r="C16" s="19" t="s">
        <v>618</v>
      </c>
      <c r="D16" s="18" t="s">
        <v>619</v>
      </c>
      <c r="E16" s="20">
        <v>2880</v>
      </c>
      <c r="F16" s="20">
        <v>240</v>
      </c>
      <c r="G16" s="20">
        <v>48</v>
      </c>
      <c r="H16" s="20">
        <v>705</v>
      </c>
      <c r="I16" s="20">
        <v>889</v>
      </c>
      <c r="J16" s="20">
        <v>1750</v>
      </c>
      <c r="K16" s="20">
        <v>384</v>
      </c>
      <c r="L16" s="21" t="s">
        <v>745</v>
      </c>
      <c r="M16" s="18"/>
      <c r="N16" s="18"/>
      <c r="O16" s="22">
        <f t="shared" si="13"/>
        <v>7000</v>
      </c>
      <c r="P16" s="22">
        <f t="shared" si="4"/>
        <v>2560320</v>
      </c>
      <c r="Q16" s="22">
        <f t="shared" si="5"/>
        <v>213360</v>
      </c>
      <c r="R16" s="22">
        <f t="shared" si="6"/>
        <v>42672</v>
      </c>
      <c r="S16" s="22">
        <f t="shared" si="7"/>
        <v>705</v>
      </c>
      <c r="T16" s="22">
        <f t="shared" si="14"/>
        <v>2688000</v>
      </c>
      <c r="U16" s="22"/>
      <c r="V16" s="22">
        <f t="shared" si="11"/>
        <v>2.9175875859567735</v>
      </c>
      <c r="W16" s="22">
        <f>W15</f>
        <v>1</v>
      </c>
      <c r="X16" s="385">
        <f t="shared" si="9"/>
        <v>1</v>
      </c>
      <c r="Y16" s="22"/>
      <c r="Z16" s="22">
        <f t="shared" si="12"/>
        <v>2.8887</v>
      </c>
      <c r="AA16" s="22"/>
      <c r="AB16" s="25">
        <f t="shared" si="10"/>
        <v>169.96</v>
      </c>
    </row>
    <row r="17" spans="1:16384" x14ac:dyDescent="0.25">
      <c r="A17" s="22" t="s">
        <v>887</v>
      </c>
      <c r="B17" s="18" t="s">
        <v>632</v>
      </c>
      <c r="C17" s="19" t="s">
        <v>618</v>
      </c>
      <c r="D17" s="18" t="s">
        <v>619</v>
      </c>
      <c r="E17" s="20">
        <v>2880</v>
      </c>
      <c r="F17" s="20">
        <v>240</v>
      </c>
      <c r="G17" s="20">
        <v>48</v>
      </c>
      <c r="H17" s="20">
        <v>875</v>
      </c>
      <c r="I17" s="20">
        <v>928</v>
      </c>
      <c r="J17" s="20">
        <v>1750</v>
      </c>
      <c r="K17" s="20">
        <v>384</v>
      </c>
      <c r="L17" s="21" t="s">
        <v>745</v>
      </c>
      <c r="M17" s="18"/>
      <c r="N17" s="18"/>
      <c r="O17" s="22">
        <f t="shared" si="13"/>
        <v>7000</v>
      </c>
      <c r="P17" s="22">
        <f t="shared" si="4"/>
        <v>2672640</v>
      </c>
      <c r="Q17" s="22">
        <f t="shared" si="5"/>
        <v>222720</v>
      </c>
      <c r="R17" s="22">
        <f t="shared" si="6"/>
        <v>44544</v>
      </c>
      <c r="S17" s="22">
        <f t="shared" si="7"/>
        <v>875</v>
      </c>
      <c r="T17" s="22">
        <f t="shared" si="14"/>
        <v>2688000</v>
      </c>
      <c r="U17" s="22"/>
      <c r="V17" s="22">
        <f t="shared" si="11"/>
        <v>3.03701609581513</v>
      </c>
      <c r="W17" s="22">
        <f t="shared" ref="W17:W22" si="15">W16</f>
        <v>1</v>
      </c>
      <c r="X17" s="385">
        <f t="shared" si="9"/>
        <v>1</v>
      </c>
      <c r="Y17" s="22"/>
      <c r="Z17" s="22">
        <f t="shared" si="12"/>
        <v>3.0069000000000004</v>
      </c>
      <c r="AA17" s="22"/>
      <c r="AB17" s="25">
        <f t="shared" si="10"/>
        <v>173.4</v>
      </c>
    </row>
    <row r="18" spans="1:16384" x14ac:dyDescent="0.25">
      <c r="A18" s="22" t="s">
        <v>887</v>
      </c>
      <c r="B18" s="18" t="s">
        <v>633</v>
      </c>
      <c r="C18" s="19" t="s">
        <v>618</v>
      </c>
      <c r="D18" s="18" t="s">
        <v>625</v>
      </c>
      <c r="E18" s="20">
        <v>2304</v>
      </c>
      <c r="F18" s="20">
        <v>192</v>
      </c>
      <c r="G18" s="20">
        <v>48</v>
      </c>
      <c r="H18" s="20">
        <v>863</v>
      </c>
      <c r="I18" s="20">
        <v>900</v>
      </c>
      <c r="J18" s="20">
        <v>1502</v>
      </c>
      <c r="K18" s="20">
        <v>384</v>
      </c>
      <c r="L18" s="21" t="s">
        <v>745</v>
      </c>
      <c r="M18" s="18"/>
      <c r="N18" s="18"/>
      <c r="O18" s="22">
        <f t="shared" si="13"/>
        <v>6008</v>
      </c>
      <c r="P18" s="22">
        <f t="shared" si="4"/>
        <v>2073600</v>
      </c>
      <c r="Q18" s="22">
        <f t="shared" si="5"/>
        <v>172800</v>
      </c>
      <c r="R18" s="22">
        <f t="shared" si="6"/>
        <v>43200</v>
      </c>
      <c r="S18" s="22">
        <f t="shared" si="7"/>
        <v>863</v>
      </c>
      <c r="T18" s="22">
        <f t="shared" si="14"/>
        <v>2307072</v>
      </c>
      <c r="U18" s="22"/>
      <c r="V18" s="22">
        <f t="shared" si="11"/>
        <v>2.5924207833613915</v>
      </c>
      <c r="W18" s="22">
        <f t="shared" si="15"/>
        <v>1</v>
      </c>
      <c r="X18" s="385">
        <f t="shared" si="9"/>
        <v>1</v>
      </c>
      <c r="Y18" s="22"/>
      <c r="Z18" s="22">
        <f t="shared" si="12"/>
        <v>2.5667</v>
      </c>
      <c r="AA18" s="22"/>
      <c r="AB18" s="25">
        <f t="shared" si="10"/>
        <v>160.20000000000002</v>
      </c>
    </row>
    <row r="19" spans="1:16384" x14ac:dyDescent="0.25">
      <c r="A19" s="22" t="s">
        <v>887</v>
      </c>
      <c r="B19" s="18" t="s">
        <v>634</v>
      </c>
      <c r="C19" s="19" t="s">
        <v>618</v>
      </c>
      <c r="D19" s="18" t="s">
        <v>635</v>
      </c>
      <c r="E19" s="20">
        <v>1536</v>
      </c>
      <c r="F19" s="20">
        <v>128</v>
      </c>
      <c r="G19" s="20">
        <v>32</v>
      </c>
      <c r="H19" s="20">
        <v>1046</v>
      </c>
      <c r="I19" s="20">
        <v>1085</v>
      </c>
      <c r="J19" s="20">
        <v>1753</v>
      </c>
      <c r="K19" s="20">
        <v>256</v>
      </c>
      <c r="L19" s="21" t="s">
        <v>745</v>
      </c>
      <c r="M19" s="18"/>
      <c r="N19" s="18"/>
      <c r="O19" s="22">
        <f t="shared" si="13"/>
        <v>7012</v>
      </c>
      <c r="P19" s="22">
        <f t="shared" si="4"/>
        <v>1666560</v>
      </c>
      <c r="Q19" s="22">
        <f t="shared" si="5"/>
        <v>138880</v>
      </c>
      <c r="R19" s="22">
        <f t="shared" si="6"/>
        <v>34720</v>
      </c>
      <c r="S19" s="22">
        <f t="shared" si="7"/>
        <v>1046</v>
      </c>
      <c r="T19" s="22">
        <f t="shared" si="14"/>
        <v>1795072</v>
      </c>
      <c r="U19" s="22"/>
      <c r="V19" s="22">
        <f t="shared" si="11"/>
        <v>2.1485248106604105</v>
      </c>
      <c r="W19" s="22">
        <f t="shared" si="15"/>
        <v>1</v>
      </c>
      <c r="X19" s="385">
        <f t="shared" si="9"/>
        <v>1</v>
      </c>
      <c r="Y19" s="22"/>
      <c r="Z19" s="22">
        <f t="shared" si="12"/>
        <v>2.1272000000000002</v>
      </c>
      <c r="AA19" s="22"/>
      <c r="AB19" s="25">
        <f t="shared" si="10"/>
        <v>145.84</v>
      </c>
    </row>
    <row r="20" spans="1:16384" x14ac:dyDescent="0.25">
      <c r="A20" s="22" t="s">
        <v>887</v>
      </c>
      <c r="B20" s="18" t="s">
        <v>636</v>
      </c>
      <c r="C20" s="19" t="s">
        <v>618</v>
      </c>
      <c r="D20" s="18" t="s">
        <v>635</v>
      </c>
      <c r="E20" s="20">
        <v>1152</v>
      </c>
      <c r="F20" s="20">
        <v>96</v>
      </c>
      <c r="G20" s="20">
        <v>32</v>
      </c>
      <c r="H20" s="20">
        <v>980</v>
      </c>
      <c r="I20" s="20">
        <v>1033</v>
      </c>
      <c r="J20" s="20">
        <v>1501</v>
      </c>
      <c r="K20" s="20">
        <v>256</v>
      </c>
      <c r="L20" s="21" t="s">
        <v>745</v>
      </c>
      <c r="M20" s="18"/>
      <c r="N20" s="18"/>
      <c r="O20" s="22">
        <f>IF(LEFT(L20,1)="G",4*J20,2*J20)</f>
        <v>6004</v>
      </c>
      <c r="P20" s="22">
        <f t="shared" si="4"/>
        <v>1190016</v>
      </c>
      <c r="Q20" s="22">
        <f t="shared" si="5"/>
        <v>99168</v>
      </c>
      <c r="R20" s="22">
        <f t="shared" si="6"/>
        <v>33056</v>
      </c>
      <c r="S20" s="22">
        <f t="shared" si="7"/>
        <v>980</v>
      </c>
      <c r="T20" s="22">
        <f>O20*K20</f>
        <v>1537024</v>
      </c>
      <c r="U20" s="22"/>
      <c r="V20" s="22">
        <f t="shared" si="11"/>
        <v>1.7729359138045029</v>
      </c>
      <c r="W20" s="22">
        <f t="shared" si="15"/>
        <v>1</v>
      </c>
      <c r="X20" s="385">
        <f t="shared" si="9"/>
        <v>1</v>
      </c>
      <c r="Y20" s="22"/>
      <c r="Z20" s="22">
        <f t="shared" si="12"/>
        <v>1.7553000000000001</v>
      </c>
      <c r="AA20" s="22"/>
      <c r="AB20" s="25">
        <f t="shared" si="10"/>
        <v>132.47999999999999</v>
      </c>
    </row>
    <row r="21" spans="1:16384" x14ac:dyDescent="0.25">
      <c r="A21" s="22" t="s">
        <v>887</v>
      </c>
      <c r="B21" s="18" t="s">
        <v>636</v>
      </c>
      <c r="C21" s="19" t="s">
        <v>618</v>
      </c>
      <c r="D21" s="18" t="s">
        <v>635</v>
      </c>
      <c r="E21" s="20">
        <v>1152</v>
      </c>
      <c r="F21" s="20">
        <v>96</v>
      </c>
      <c r="G21" s="20">
        <v>32</v>
      </c>
      <c r="H21" s="20">
        <v>823</v>
      </c>
      <c r="I21" s="20">
        <v>888</v>
      </c>
      <c r="J21" s="20">
        <v>1400</v>
      </c>
      <c r="K21" s="20">
        <v>256</v>
      </c>
      <c r="L21" s="21" t="s">
        <v>745</v>
      </c>
      <c r="M21" s="18"/>
      <c r="N21" s="18"/>
      <c r="O21" s="22">
        <f t="shared" si="13"/>
        <v>5600</v>
      </c>
      <c r="P21" s="22">
        <f t="shared" si="4"/>
        <v>1022976</v>
      </c>
      <c r="Q21" s="22">
        <f t="shared" si="5"/>
        <v>85248</v>
      </c>
      <c r="R21" s="22">
        <f t="shared" si="6"/>
        <v>28416</v>
      </c>
      <c r="S21" s="22">
        <f t="shared" si="7"/>
        <v>823</v>
      </c>
      <c r="T21" s="22">
        <f t="shared" si="14"/>
        <v>1433600</v>
      </c>
      <c r="U21" s="22"/>
      <c r="V21" s="22">
        <f t="shared" si="11"/>
        <v>1.5599348355666174</v>
      </c>
      <c r="W21" s="22">
        <f t="shared" si="15"/>
        <v>1</v>
      </c>
      <c r="X21" s="385">
        <f t="shared" si="9"/>
        <v>1</v>
      </c>
      <c r="Y21" s="22"/>
      <c r="Z21" s="22">
        <f t="shared" si="12"/>
        <v>1.5444</v>
      </c>
      <c r="AA21" s="22"/>
      <c r="AB21" s="25">
        <f t="shared" si="10"/>
        <v>124.27</v>
      </c>
    </row>
    <row r="22" spans="1:16384" x14ac:dyDescent="0.25">
      <c r="A22" s="22" t="s">
        <v>887</v>
      </c>
      <c r="B22" s="18" t="s">
        <v>636</v>
      </c>
      <c r="C22" s="19" t="s">
        <v>618</v>
      </c>
      <c r="D22" s="18" t="s">
        <v>635</v>
      </c>
      <c r="E22" s="20">
        <v>1152</v>
      </c>
      <c r="F22" s="20">
        <v>96</v>
      </c>
      <c r="G22" s="20">
        <v>24</v>
      </c>
      <c r="H22" s="20">
        <v>823</v>
      </c>
      <c r="I22" s="20">
        <v>888</v>
      </c>
      <c r="J22" s="20">
        <v>1450</v>
      </c>
      <c r="K22" s="20">
        <v>192</v>
      </c>
      <c r="L22" s="21" t="s">
        <v>745</v>
      </c>
      <c r="M22" s="18"/>
      <c r="N22" s="18"/>
      <c r="O22" s="22">
        <f t="shared" si="13"/>
        <v>5800</v>
      </c>
      <c r="P22" s="22">
        <f t="shared" si="4"/>
        <v>1022976</v>
      </c>
      <c r="Q22" s="22">
        <f t="shared" si="5"/>
        <v>85248</v>
      </c>
      <c r="R22" s="22">
        <f t="shared" si="6"/>
        <v>21312</v>
      </c>
      <c r="S22" s="22">
        <f t="shared" si="7"/>
        <v>823</v>
      </c>
      <c r="T22" s="22">
        <f t="shared" si="14"/>
        <v>1113600</v>
      </c>
      <c r="U22" s="22"/>
      <c r="V22" s="22">
        <f t="shared" si="11"/>
        <v>1.3674121180487004</v>
      </c>
      <c r="W22" s="22">
        <f t="shared" si="15"/>
        <v>1</v>
      </c>
      <c r="X22" s="385">
        <f t="shared" si="9"/>
        <v>1</v>
      </c>
      <c r="Y22" s="22"/>
      <c r="Z22" s="22">
        <f t="shared" si="12"/>
        <v>1.3538000000000001</v>
      </c>
      <c r="AA22" s="22"/>
      <c r="AB22" s="25">
        <f t="shared" si="10"/>
        <v>116.35000000000001</v>
      </c>
    </row>
    <row r="23" spans="1:16384" s="9" customFormat="1" x14ac:dyDescent="0.25">
      <c r="A23" s="17" t="s">
        <v>887</v>
      </c>
      <c r="B23" s="13" t="s">
        <v>3126</v>
      </c>
      <c r="C23" s="14" t="s">
        <v>621</v>
      </c>
      <c r="D23" s="13" t="s">
        <v>638</v>
      </c>
      <c r="E23" s="15">
        <v>640</v>
      </c>
      <c r="F23" s="15">
        <v>40</v>
      </c>
      <c r="G23" s="15">
        <v>16</v>
      </c>
      <c r="H23" s="15">
        <v>1020</v>
      </c>
      <c r="I23" s="15">
        <v>1085</v>
      </c>
      <c r="J23" s="15">
        <v>1350</v>
      </c>
      <c r="K23" s="15">
        <v>128</v>
      </c>
      <c r="L23" s="16" t="s">
        <v>745</v>
      </c>
      <c r="M23" s="13"/>
      <c r="N23" s="13"/>
      <c r="O23" s="17">
        <f t="shared" si="13"/>
        <v>5400</v>
      </c>
      <c r="P23" s="17">
        <f t="shared" si="4"/>
        <v>694400</v>
      </c>
      <c r="Q23" s="17">
        <f t="shared" si="5"/>
        <v>43400</v>
      </c>
      <c r="R23" s="17">
        <f t="shared" si="6"/>
        <v>17360</v>
      </c>
      <c r="S23" s="17">
        <f t="shared" si="7"/>
        <v>1020</v>
      </c>
      <c r="T23" s="17">
        <f t="shared" si="14"/>
        <v>691200</v>
      </c>
      <c r="U23" s="17"/>
      <c r="V23" s="17">
        <f t="shared" si="11"/>
        <v>1</v>
      </c>
      <c r="W23" s="17">
        <v>1.01</v>
      </c>
      <c r="X23" s="386">
        <f t="shared" si="9"/>
        <v>1</v>
      </c>
      <c r="Y23" s="17"/>
      <c r="Z23" s="17">
        <f t="shared" si="12"/>
        <v>1</v>
      </c>
      <c r="AA23" s="17"/>
      <c r="AB23" s="35">
        <f>FLOOR(POWER(Z23,0.5)*100,0.01)</f>
        <v>100</v>
      </c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6"/>
      <c r="NJ23" s="6"/>
      <c r="NK23" s="6"/>
      <c r="NL23" s="6"/>
      <c r="NM23" s="6"/>
      <c r="NN23" s="6"/>
      <c r="NO23" s="6"/>
      <c r="NP23" s="6"/>
      <c r="NQ23" s="6"/>
      <c r="NR23" s="6"/>
      <c r="NS23" s="6"/>
      <c r="NT23" s="6"/>
      <c r="NU23" s="6"/>
      <c r="NV23" s="6"/>
      <c r="NW23" s="6"/>
      <c r="NX23" s="6"/>
      <c r="NY23" s="6"/>
      <c r="NZ23" s="6"/>
      <c r="OA23" s="6"/>
      <c r="OB23" s="6"/>
      <c r="OC23" s="6"/>
      <c r="OD23" s="6"/>
      <c r="OE23" s="6"/>
      <c r="OF23" s="6"/>
      <c r="OG23" s="6"/>
      <c r="OH23" s="6"/>
      <c r="OI23" s="6"/>
      <c r="OJ23" s="6"/>
      <c r="OK23" s="6"/>
      <c r="OL23" s="6"/>
      <c r="OM23" s="6"/>
      <c r="ON23" s="6"/>
      <c r="OO23" s="6"/>
      <c r="OP23" s="6"/>
      <c r="OQ23" s="6"/>
      <c r="OR23" s="6"/>
      <c r="OS23" s="6"/>
      <c r="OT23" s="6"/>
      <c r="OU23" s="6"/>
      <c r="OV23" s="6"/>
      <c r="OW23" s="6"/>
      <c r="OX23" s="6"/>
      <c r="OY23" s="6"/>
      <c r="OZ23" s="6"/>
      <c r="PA23" s="6"/>
      <c r="PB23" s="6"/>
      <c r="PC23" s="6"/>
      <c r="PD23" s="6"/>
      <c r="PE23" s="6"/>
      <c r="PF23" s="6"/>
      <c r="PG23" s="6"/>
      <c r="PH23" s="6"/>
      <c r="PI23" s="6"/>
      <c r="PJ23" s="6"/>
      <c r="PK23" s="6"/>
      <c r="PL23" s="6"/>
      <c r="PM23" s="6"/>
      <c r="PN23" s="6"/>
      <c r="PO23" s="6"/>
      <c r="PP23" s="6"/>
      <c r="PQ23" s="6"/>
      <c r="PR23" s="6"/>
      <c r="PS23" s="6"/>
      <c r="PT23" s="6"/>
      <c r="PU23" s="6"/>
      <c r="PV23" s="6"/>
      <c r="PW23" s="6"/>
      <c r="PX23" s="6"/>
      <c r="PY23" s="6"/>
      <c r="PZ23" s="6"/>
      <c r="QA23" s="6"/>
      <c r="QB23" s="6"/>
      <c r="QC23" s="6"/>
      <c r="QD23" s="6"/>
      <c r="QE23" s="6"/>
      <c r="QF23" s="6"/>
      <c r="QG23" s="6"/>
      <c r="QH23" s="6"/>
      <c r="QI23" s="6"/>
      <c r="QJ23" s="6"/>
      <c r="QK23" s="6"/>
      <c r="QL23" s="6"/>
      <c r="QM23" s="6"/>
      <c r="QN23" s="6"/>
      <c r="QO23" s="6"/>
      <c r="QP23" s="6"/>
      <c r="QQ23" s="6"/>
      <c r="QR23" s="6"/>
      <c r="QS23" s="6"/>
      <c r="QT23" s="6"/>
      <c r="QU23" s="6"/>
      <c r="QV23" s="6"/>
      <c r="QW23" s="6"/>
      <c r="QX23" s="6"/>
      <c r="QY23" s="6"/>
      <c r="QZ23" s="6"/>
      <c r="RA23" s="6"/>
      <c r="RB23" s="6"/>
      <c r="RC23" s="6"/>
      <c r="RD23" s="6"/>
      <c r="RE23" s="6"/>
      <c r="RF23" s="6"/>
      <c r="RG23" s="6"/>
      <c r="RH23" s="6"/>
      <c r="RI23" s="6"/>
      <c r="RJ23" s="6"/>
      <c r="RK23" s="6"/>
      <c r="RL23" s="6"/>
      <c r="RM23" s="6"/>
      <c r="RN23" s="6"/>
      <c r="RO23" s="6"/>
      <c r="RP23" s="6"/>
      <c r="RQ23" s="6"/>
      <c r="RR23" s="6"/>
      <c r="RS23" s="6"/>
      <c r="RT23" s="6"/>
      <c r="RU23" s="6"/>
      <c r="RV23" s="6"/>
      <c r="RW23" s="6"/>
      <c r="RX23" s="6"/>
      <c r="RY23" s="6"/>
      <c r="RZ23" s="6"/>
      <c r="SA23" s="6"/>
      <c r="SB23" s="6"/>
      <c r="SC23" s="6"/>
      <c r="SD23" s="6"/>
      <c r="SE23" s="6"/>
      <c r="SF23" s="6"/>
      <c r="SG23" s="6"/>
      <c r="SH23" s="6"/>
      <c r="SI23" s="6"/>
      <c r="SJ23" s="6"/>
      <c r="SK23" s="6"/>
      <c r="SL23" s="6"/>
      <c r="SM23" s="6"/>
      <c r="SN23" s="6"/>
      <c r="SO23" s="6"/>
      <c r="SP23" s="6"/>
      <c r="SQ23" s="6"/>
      <c r="SR23" s="6"/>
      <c r="SS23" s="6"/>
      <c r="ST23" s="6"/>
      <c r="SU23" s="6"/>
      <c r="SV23" s="6"/>
      <c r="SW23" s="6"/>
      <c r="SX23" s="6"/>
      <c r="SY23" s="6"/>
      <c r="SZ23" s="6"/>
      <c r="TA23" s="6"/>
      <c r="TB23" s="6"/>
      <c r="TC23" s="6"/>
      <c r="TD23" s="6"/>
      <c r="TE23" s="6"/>
      <c r="TF23" s="6"/>
      <c r="TG23" s="6"/>
      <c r="TH23" s="6"/>
      <c r="TI23" s="6"/>
      <c r="TJ23" s="6"/>
      <c r="TK23" s="6"/>
      <c r="TL23" s="6"/>
      <c r="TM23" s="6"/>
      <c r="TN23" s="6"/>
      <c r="TO23" s="6"/>
      <c r="TP23" s="6"/>
      <c r="TQ23" s="6"/>
      <c r="TR23" s="6"/>
      <c r="TS23" s="6"/>
      <c r="TT23" s="6"/>
      <c r="TU23" s="6"/>
      <c r="TV23" s="6"/>
      <c r="TW23" s="6"/>
      <c r="TX23" s="6"/>
      <c r="TY23" s="6"/>
      <c r="TZ23" s="6"/>
      <c r="UA23" s="6"/>
      <c r="UB23" s="6"/>
      <c r="UC23" s="6"/>
      <c r="UD23" s="6"/>
      <c r="UE23" s="6"/>
      <c r="UF23" s="6"/>
      <c r="UG23" s="6"/>
      <c r="UH23" s="6"/>
      <c r="UI23" s="6"/>
      <c r="UJ23" s="6"/>
      <c r="UK23" s="6"/>
      <c r="UL23" s="6"/>
      <c r="UM23" s="6"/>
      <c r="UN23" s="6"/>
      <c r="UO23" s="6"/>
      <c r="UP23" s="6"/>
      <c r="UQ23" s="6"/>
      <c r="UR23" s="6"/>
      <c r="US23" s="6"/>
      <c r="UT23" s="6"/>
      <c r="UU23" s="6"/>
      <c r="UV23" s="6"/>
      <c r="UW23" s="6"/>
      <c r="UX23" s="6"/>
      <c r="UY23" s="6"/>
      <c r="UZ23" s="6"/>
      <c r="VA23" s="6"/>
      <c r="VB23" s="6"/>
      <c r="VC23" s="6"/>
      <c r="VD23" s="6"/>
      <c r="VE23" s="6"/>
      <c r="VF23" s="6"/>
      <c r="VG23" s="6"/>
      <c r="VH23" s="6"/>
      <c r="VI23" s="6"/>
      <c r="VJ23" s="6"/>
      <c r="VK23" s="6"/>
      <c r="VL23" s="6"/>
      <c r="VM23" s="6"/>
      <c r="VN23" s="6"/>
      <c r="VO23" s="6"/>
      <c r="VP23" s="6"/>
      <c r="VQ23" s="6"/>
      <c r="VR23" s="6"/>
      <c r="VS23" s="6"/>
      <c r="VT23" s="6"/>
      <c r="VU23" s="6"/>
      <c r="VV23" s="6"/>
      <c r="VW23" s="6"/>
      <c r="VX23" s="6"/>
      <c r="VY23" s="6"/>
      <c r="VZ23" s="6"/>
      <c r="WA23" s="6"/>
      <c r="WB23" s="6"/>
      <c r="WC23" s="6"/>
      <c r="WD23" s="6"/>
      <c r="WE23" s="6"/>
      <c r="WF23" s="6"/>
      <c r="WG23" s="6"/>
      <c r="WH23" s="6"/>
      <c r="WI23" s="6"/>
      <c r="WJ23" s="6"/>
      <c r="WK23" s="6"/>
      <c r="WL23" s="6"/>
      <c r="WM23" s="6"/>
      <c r="WN23" s="6"/>
      <c r="WO23" s="6"/>
      <c r="WP23" s="6"/>
      <c r="WQ23" s="6"/>
      <c r="WR23" s="6"/>
      <c r="WS23" s="6"/>
      <c r="WT23" s="6"/>
      <c r="WU23" s="6"/>
      <c r="WV23" s="6"/>
      <c r="WW23" s="6"/>
      <c r="WX23" s="6"/>
      <c r="WY23" s="6"/>
      <c r="WZ23" s="6"/>
      <c r="XA23" s="6"/>
      <c r="XB23" s="6"/>
      <c r="XC23" s="6"/>
      <c r="XD23" s="6"/>
      <c r="XE23" s="6"/>
      <c r="XF23" s="6"/>
      <c r="XG23" s="6"/>
      <c r="XH23" s="6"/>
      <c r="XI23" s="6"/>
      <c r="XJ23" s="6"/>
      <c r="XK23" s="6"/>
      <c r="XL23" s="6"/>
      <c r="XM23" s="6"/>
      <c r="XN23" s="6"/>
      <c r="XO23" s="6"/>
      <c r="XP23" s="6"/>
      <c r="XQ23" s="6"/>
      <c r="XR23" s="6"/>
      <c r="XS23" s="6"/>
      <c r="XT23" s="6"/>
      <c r="XU23" s="6"/>
      <c r="XV23" s="6"/>
      <c r="XW23" s="6"/>
      <c r="XX23" s="6"/>
      <c r="XY23" s="6"/>
      <c r="XZ23" s="6"/>
      <c r="YA23" s="6"/>
      <c r="YB23" s="6"/>
      <c r="YC23" s="6"/>
      <c r="YD23" s="6"/>
      <c r="YE23" s="6"/>
      <c r="YF23" s="6"/>
      <c r="YG23" s="6"/>
      <c r="YH23" s="6"/>
      <c r="YI23" s="6"/>
      <c r="YJ23" s="6"/>
      <c r="YK23" s="6"/>
      <c r="YL23" s="6"/>
      <c r="YM23" s="6"/>
      <c r="YN23" s="6"/>
      <c r="YO23" s="6"/>
      <c r="YP23" s="6"/>
      <c r="YQ23" s="6"/>
      <c r="YR23" s="6"/>
      <c r="YS23" s="6"/>
      <c r="YT23" s="6"/>
      <c r="YU23" s="6"/>
      <c r="YV23" s="6"/>
      <c r="YW23" s="6"/>
      <c r="YX23" s="6"/>
      <c r="YY23" s="6"/>
      <c r="YZ23" s="6"/>
      <c r="ZA23" s="6"/>
      <c r="ZB23" s="6"/>
      <c r="ZC23" s="6"/>
      <c r="ZD23" s="6"/>
      <c r="ZE23" s="6"/>
      <c r="ZF23" s="6"/>
      <c r="ZG23" s="6"/>
      <c r="ZH23" s="6"/>
      <c r="ZI23" s="6"/>
      <c r="ZJ23" s="6"/>
      <c r="ZK23" s="6"/>
      <c r="ZL23" s="6"/>
      <c r="ZM23" s="6"/>
      <c r="ZN23" s="6"/>
      <c r="ZO23" s="6"/>
      <c r="ZP23" s="6"/>
      <c r="ZQ23" s="6"/>
      <c r="ZR23" s="6"/>
      <c r="ZS23" s="6"/>
      <c r="ZT23" s="6"/>
      <c r="ZU23" s="6"/>
      <c r="ZV23" s="6"/>
      <c r="ZW23" s="6"/>
      <c r="ZX23" s="6"/>
      <c r="ZY23" s="6"/>
      <c r="ZZ23" s="6"/>
      <c r="AAA23" s="6"/>
      <c r="AAB23" s="6"/>
      <c r="AAC23" s="6"/>
      <c r="AAD23" s="6"/>
      <c r="AAE23" s="6"/>
      <c r="AAF23" s="6"/>
      <c r="AAG23" s="6"/>
      <c r="AAH23" s="6"/>
      <c r="AAI23" s="6"/>
      <c r="AAJ23" s="6"/>
      <c r="AAK23" s="6"/>
      <c r="AAL23" s="6"/>
      <c r="AAM23" s="6"/>
      <c r="AAN23" s="6"/>
      <c r="AAO23" s="6"/>
      <c r="AAP23" s="6"/>
      <c r="AAQ23" s="6"/>
      <c r="AAR23" s="6"/>
      <c r="AAS23" s="6"/>
      <c r="AAT23" s="6"/>
      <c r="AAU23" s="6"/>
      <c r="AAV23" s="6"/>
      <c r="AAW23" s="6"/>
      <c r="AAX23" s="6"/>
      <c r="AAY23" s="6"/>
      <c r="AAZ23" s="6"/>
      <c r="ABA23" s="6"/>
      <c r="ABB23" s="6"/>
      <c r="ABC23" s="6"/>
      <c r="ABD23" s="6"/>
      <c r="ABE23" s="6"/>
      <c r="ABF23" s="6"/>
      <c r="ABG23" s="6"/>
      <c r="ABH23" s="6"/>
      <c r="ABI23" s="6"/>
      <c r="ABJ23" s="6"/>
      <c r="ABK23" s="6"/>
      <c r="ABL23" s="6"/>
      <c r="ABM23" s="6"/>
      <c r="ABN23" s="6"/>
      <c r="ABO23" s="6"/>
      <c r="ABP23" s="6"/>
      <c r="ABQ23" s="6"/>
      <c r="ABR23" s="6"/>
      <c r="ABS23" s="6"/>
      <c r="ABT23" s="6"/>
      <c r="ABU23" s="6"/>
      <c r="ABV23" s="6"/>
      <c r="ABW23" s="6"/>
      <c r="ABX23" s="6"/>
      <c r="ABY23" s="6"/>
      <c r="ABZ23" s="6"/>
      <c r="ACA23" s="6"/>
      <c r="ACB23" s="6"/>
      <c r="ACC23" s="6"/>
      <c r="ACD23" s="6"/>
      <c r="ACE23" s="6"/>
      <c r="ACF23" s="6"/>
      <c r="ACG23" s="6"/>
      <c r="ACH23" s="6"/>
      <c r="ACI23" s="6"/>
      <c r="ACJ23" s="6"/>
      <c r="ACK23" s="6"/>
      <c r="ACL23" s="6"/>
      <c r="ACM23" s="6"/>
      <c r="ACN23" s="6"/>
      <c r="ACO23" s="6"/>
      <c r="ACP23" s="6"/>
      <c r="ACQ23" s="6"/>
      <c r="ACR23" s="6"/>
      <c r="ACS23" s="6"/>
      <c r="ACT23" s="6"/>
      <c r="ACU23" s="6"/>
      <c r="ACV23" s="6"/>
      <c r="ACW23" s="6"/>
      <c r="ACX23" s="6"/>
      <c r="ACY23" s="6"/>
      <c r="ACZ23" s="6"/>
      <c r="ADA23" s="6"/>
      <c r="ADB23" s="6"/>
      <c r="ADC23" s="6"/>
      <c r="ADD23" s="6"/>
      <c r="ADE23" s="6"/>
      <c r="ADF23" s="6"/>
      <c r="ADG23" s="6"/>
      <c r="ADH23" s="6"/>
      <c r="ADI23" s="6"/>
      <c r="ADJ23" s="6"/>
      <c r="ADK23" s="6"/>
      <c r="ADL23" s="6"/>
      <c r="ADM23" s="6"/>
      <c r="ADN23" s="6"/>
      <c r="ADO23" s="6"/>
      <c r="ADP23" s="6"/>
      <c r="ADQ23" s="6"/>
      <c r="ADR23" s="6"/>
      <c r="ADS23" s="6"/>
      <c r="ADT23" s="6"/>
      <c r="ADU23" s="6"/>
      <c r="ADV23" s="6"/>
      <c r="ADW23" s="6"/>
      <c r="ADX23" s="6"/>
      <c r="ADY23" s="6"/>
      <c r="ADZ23" s="6"/>
      <c r="AEA23" s="6"/>
      <c r="AEB23" s="6"/>
      <c r="AEC23" s="6"/>
      <c r="AED23" s="6"/>
      <c r="AEE23" s="6"/>
      <c r="AEF23" s="6"/>
      <c r="AEG23" s="6"/>
      <c r="AEH23" s="6"/>
      <c r="AEI23" s="6"/>
      <c r="AEJ23" s="6"/>
      <c r="AEK23" s="6"/>
      <c r="AEL23" s="6"/>
      <c r="AEM23" s="6"/>
      <c r="AEN23" s="6"/>
      <c r="AEO23" s="6"/>
      <c r="AEP23" s="6"/>
      <c r="AEQ23" s="6"/>
      <c r="AER23" s="6"/>
      <c r="AES23" s="6"/>
      <c r="AET23" s="6"/>
      <c r="AEU23" s="6"/>
      <c r="AEV23" s="6"/>
      <c r="AEW23" s="6"/>
      <c r="AEX23" s="6"/>
      <c r="AEY23" s="6"/>
      <c r="AEZ23" s="6"/>
      <c r="AFA23" s="6"/>
      <c r="AFB23" s="6"/>
      <c r="AFC23" s="6"/>
      <c r="AFD23" s="6"/>
      <c r="AFE23" s="6"/>
      <c r="AFF23" s="6"/>
      <c r="AFG23" s="6"/>
      <c r="AFH23" s="6"/>
      <c r="AFI23" s="6"/>
      <c r="AFJ23" s="6"/>
      <c r="AFK23" s="6"/>
      <c r="AFL23" s="6"/>
      <c r="AFM23" s="6"/>
      <c r="AFN23" s="6"/>
      <c r="AFO23" s="6"/>
      <c r="AFP23" s="6"/>
      <c r="AFQ23" s="6"/>
      <c r="AFR23" s="6"/>
      <c r="AFS23" s="6"/>
      <c r="AFT23" s="6"/>
      <c r="AFU23" s="6"/>
      <c r="AFV23" s="6"/>
      <c r="AFW23" s="6"/>
      <c r="AFX23" s="6"/>
      <c r="AFY23" s="6"/>
      <c r="AFZ23" s="6"/>
      <c r="AGA23" s="6"/>
      <c r="AGB23" s="6"/>
      <c r="AGC23" s="6"/>
      <c r="AGD23" s="6"/>
      <c r="AGE23" s="6"/>
      <c r="AGF23" s="6"/>
      <c r="AGG23" s="6"/>
      <c r="AGH23" s="6"/>
      <c r="AGI23" s="6"/>
      <c r="AGJ23" s="6"/>
      <c r="AGK23" s="6"/>
      <c r="AGL23" s="6"/>
      <c r="AGM23" s="6"/>
      <c r="AGN23" s="6"/>
      <c r="AGO23" s="6"/>
      <c r="AGP23" s="6"/>
      <c r="AGQ23" s="6"/>
      <c r="AGR23" s="6"/>
      <c r="AGS23" s="6"/>
      <c r="AGT23" s="6"/>
      <c r="AGU23" s="6"/>
      <c r="AGV23" s="6"/>
      <c r="AGW23" s="6"/>
      <c r="AGX23" s="6"/>
      <c r="AGY23" s="6"/>
      <c r="AGZ23" s="6"/>
      <c r="AHA23" s="6"/>
      <c r="AHB23" s="6"/>
      <c r="AHC23" s="6"/>
      <c r="AHD23" s="6"/>
      <c r="AHE23" s="6"/>
      <c r="AHF23" s="6"/>
      <c r="AHG23" s="6"/>
      <c r="AHH23" s="6"/>
      <c r="AHI23" s="6"/>
      <c r="AHJ23" s="6"/>
      <c r="AHK23" s="6"/>
      <c r="AHL23" s="6"/>
      <c r="AHM23" s="6"/>
      <c r="AHN23" s="6"/>
      <c r="AHO23" s="6"/>
      <c r="AHP23" s="6"/>
      <c r="AHQ23" s="6"/>
      <c r="AHR23" s="6"/>
      <c r="AHS23" s="6"/>
      <c r="AHT23" s="6"/>
      <c r="AHU23" s="6"/>
      <c r="AHV23" s="6"/>
      <c r="AHW23" s="6"/>
      <c r="AHX23" s="6"/>
      <c r="AHY23" s="6"/>
      <c r="AHZ23" s="6"/>
      <c r="AIA23" s="6"/>
      <c r="AIB23" s="6"/>
      <c r="AIC23" s="6"/>
      <c r="AID23" s="6"/>
      <c r="AIE23" s="6"/>
      <c r="AIF23" s="6"/>
      <c r="AIG23" s="6"/>
      <c r="AIH23" s="6"/>
      <c r="AII23" s="6"/>
      <c r="AIJ23" s="6"/>
      <c r="AIK23" s="6"/>
      <c r="AIL23" s="6"/>
      <c r="AIM23" s="6"/>
      <c r="AIN23" s="6"/>
      <c r="AIO23" s="6"/>
      <c r="AIP23" s="6"/>
      <c r="AIQ23" s="6"/>
      <c r="AIR23" s="6"/>
      <c r="AIS23" s="6"/>
      <c r="AIT23" s="6"/>
      <c r="AIU23" s="6"/>
      <c r="AIV23" s="6"/>
      <c r="AIW23" s="6"/>
      <c r="AIX23" s="6"/>
      <c r="AIY23" s="6"/>
      <c r="AIZ23" s="6"/>
      <c r="AJA23" s="6"/>
      <c r="AJB23" s="6"/>
      <c r="AJC23" s="6"/>
      <c r="AJD23" s="6"/>
      <c r="AJE23" s="6"/>
      <c r="AJF23" s="6"/>
      <c r="AJG23" s="6"/>
      <c r="AJH23" s="6"/>
      <c r="AJI23" s="6"/>
      <c r="AJJ23" s="6"/>
      <c r="AJK23" s="6"/>
      <c r="AJL23" s="6"/>
      <c r="AJM23" s="6"/>
      <c r="AJN23" s="6"/>
      <c r="AJO23" s="6"/>
      <c r="AJP23" s="6"/>
      <c r="AJQ23" s="6"/>
      <c r="AJR23" s="6"/>
      <c r="AJS23" s="6"/>
      <c r="AJT23" s="6"/>
      <c r="AJU23" s="6"/>
      <c r="AJV23" s="6"/>
      <c r="AJW23" s="6"/>
      <c r="AJX23" s="6"/>
      <c r="AJY23" s="6"/>
      <c r="AJZ23" s="6"/>
      <c r="AKA23" s="6"/>
      <c r="AKB23" s="6"/>
      <c r="AKC23" s="6"/>
      <c r="AKD23" s="6"/>
      <c r="AKE23" s="6"/>
      <c r="AKF23" s="6"/>
      <c r="AKG23" s="6"/>
      <c r="AKH23" s="6"/>
      <c r="AKI23" s="6"/>
      <c r="AKJ23" s="6"/>
      <c r="AKK23" s="6"/>
      <c r="AKL23" s="6"/>
      <c r="AKM23" s="6"/>
      <c r="AKN23" s="6"/>
      <c r="AKO23" s="6"/>
      <c r="AKP23" s="6"/>
      <c r="AKQ23" s="6"/>
      <c r="AKR23" s="6"/>
      <c r="AKS23" s="6"/>
      <c r="AKT23" s="6"/>
      <c r="AKU23" s="6"/>
      <c r="AKV23" s="6"/>
      <c r="AKW23" s="6"/>
      <c r="AKX23" s="6"/>
      <c r="AKY23" s="6"/>
      <c r="AKZ23" s="6"/>
      <c r="ALA23" s="6"/>
      <c r="ALB23" s="6"/>
      <c r="ALC23" s="6"/>
      <c r="ALD23" s="6"/>
      <c r="ALE23" s="6"/>
      <c r="ALF23" s="6"/>
      <c r="ALG23" s="6"/>
      <c r="ALH23" s="6"/>
      <c r="ALI23" s="6"/>
      <c r="ALJ23" s="6"/>
      <c r="ALK23" s="6"/>
      <c r="ALL23" s="6"/>
      <c r="ALM23" s="6"/>
      <c r="ALN23" s="6"/>
      <c r="ALO23" s="6"/>
      <c r="ALP23" s="6"/>
      <c r="ALQ23" s="6"/>
      <c r="ALR23" s="6"/>
      <c r="ALS23" s="6"/>
      <c r="ALT23" s="6"/>
      <c r="ALU23" s="6"/>
      <c r="ALV23" s="6"/>
      <c r="ALW23" s="6"/>
      <c r="ALX23" s="6"/>
      <c r="ALY23" s="6"/>
      <c r="ALZ23" s="6"/>
      <c r="AMA23" s="6"/>
      <c r="AMB23" s="6"/>
      <c r="AMC23" s="6"/>
      <c r="AMD23" s="6"/>
      <c r="AME23" s="6"/>
      <c r="AMF23" s="6"/>
      <c r="AMG23" s="6"/>
      <c r="AMH23" s="6"/>
      <c r="AMI23" s="6"/>
      <c r="AMJ23" s="6"/>
      <c r="AMK23" s="6"/>
      <c r="AML23" s="6"/>
      <c r="AMM23" s="6"/>
      <c r="AMN23" s="6"/>
      <c r="AMO23" s="6"/>
      <c r="AMP23" s="6"/>
      <c r="AMQ23" s="6"/>
      <c r="AMR23" s="6"/>
      <c r="AMS23" s="6"/>
      <c r="AMT23" s="6"/>
      <c r="AMU23" s="6"/>
      <c r="AMV23" s="6"/>
      <c r="AMW23" s="6"/>
      <c r="AMX23" s="6"/>
      <c r="AMY23" s="6"/>
      <c r="AMZ23" s="6"/>
      <c r="ANA23" s="6"/>
      <c r="ANB23" s="6"/>
      <c r="ANC23" s="6"/>
      <c r="AND23" s="6"/>
      <c r="ANE23" s="6"/>
      <c r="ANF23" s="6"/>
      <c r="ANG23" s="6"/>
      <c r="ANH23" s="6"/>
      <c r="ANI23" s="6"/>
      <c r="ANJ23" s="6"/>
      <c r="ANK23" s="6"/>
      <c r="ANL23" s="6"/>
      <c r="ANM23" s="6"/>
      <c r="ANN23" s="6"/>
      <c r="ANO23" s="6"/>
      <c r="ANP23" s="6"/>
      <c r="ANQ23" s="6"/>
      <c r="ANR23" s="6"/>
      <c r="ANS23" s="6"/>
      <c r="ANT23" s="6"/>
      <c r="ANU23" s="6"/>
      <c r="ANV23" s="6"/>
      <c r="ANW23" s="6"/>
      <c r="ANX23" s="6"/>
      <c r="ANY23" s="6"/>
      <c r="ANZ23" s="6"/>
      <c r="AOA23" s="6"/>
      <c r="AOB23" s="6"/>
      <c r="AOC23" s="6"/>
      <c r="AOD23" s="6"/>
      <c r="AOE23" s="6"/>
      <c r="AOF23" s="6"/>
      <c r="AOG23" s="6"/>
      <c r="AOH23" s="6"/>
      <c r="AOI23" s="6"/>
      <c r="AOJ23" s="6"/>
      <c r="AOK23" s="6"/>
      <c r="AOL23" s="6"/>
      <c r="AOM23" s="6"/>
      <c r="AON23" s="6"/>
      <c r="AOO23" s="6"/>
      <c r="AOP23" s="6"/>
      <c r="AOQ23" s="6"/>
      <c r="AOR23" s="6"/>
      <c r="AOS23" s="6"/>
      <c r="AOT23" s="6"/>
      <c r="AOU23" s="6"/>
      <c r="AOV23" s="6"/>
      <c r="AOW23" s="6"/>
      <c r="AOX23" s="6"/>
      <c r="AOY23" s="6"/>
      <c r="AOZ23" s="6"/>
      <c r="APA23" s="6"/>
      <c r="APB23" s="6"/>
      <c r="APC23" s="6"/>
      <c r="APD23" s="6"/>
      <c r="APE23" s="6"/>
      <c r="APF23" s="6"/>
      <c r="APG23" s="6"/>
      <c r="APH23" s="6"/>
      <c r="API23" s="6"/>
      <c r="APJ23" s="6"/>
      <c r="APK23" s="6"/>
      <c r="APL23" s="6"/>
      <c r="APM23" s="6"/>
      <c r="APN23" s="6"/>
      <c r="APO23" s="6"/>
      <c r="APP23" s="6"/>
      <c r="APQ23" s="6"/>
      <c r="APR23" s="6"/>
      <c r="APS23" s="6"/>
      <c r="APT23" s="6"/>
      <c r="APU23" s="6"/>
      <c r="APV23" s="6"/>
      <c r="APW23" s="6"/>
      <c r="APX23" s="6"/>
      <c r="APY23" s="6"/>
      <c r="APZ23" s="6"/>
      <c r="AQA23" s="6"/>
      <c r="AQB23" s="6"/>
      <c r="AQC23" s="6"/>
      <c r="AQD23" s="6"/>
      <c r="AQE23" s="6"/>
      <c r="AQF23" s="6"/>
      <c r="AQG23" s="6"/>
      <c r="AQH23" s="6"/>
      <c r="AQI23" s="6"/>
      <c r="AQJ23" s="6"/>
      <c r="AQK23" s="6"/>
      <c r="AQL23" s="6"/>
      <c r="AQM23" s="6"/>
      <c r="AQN23" s="6"/>
      <c r="AQO23" s="6"/>
      <c r="AQP23" s="6"/>
      <c r="AQQ23" s="6"/>
      <c r="AQR23" s="6"/>
      <c r="AQS23" s="6"/>
      <c r="AQT23" s="6"/>
      <c r="AQU23" s="6"/>
      <c r="AQV23" s="6"/>
      <c r="AQW23" s="6"/>
      <c r="AQX23" s="6"/>
      <c r="AQY23" s="6"/>
      <c r="AQZ23" s="6"/>
      <c r="ARA23" s="6"/>
      <c r="ARB23" s="6"/>
      <c r="ARC23" s="6"/>
      <c r="ARD23" s="6"/>
      <c r="ARE23" s="6"/>
      <c r="ARF23" s="6"/>
      <c r="ARG23" s="6"/>
      <c r="ARH23" s="6"/>
      <c r="ARI23" s="6"/>
      <c r="ARJ23" s="6"/>
      <c r="ARK23" s="6"/>
      <c r="ARL23" s="6"/>
      <c r="ARM23" s="6"/>
      <c r="ARN23" s="6"/>
      <c r="ARO23" s="6"/>
      <c r="ARP23" s="6"/>
      <c r="ARQ23" s="6"/>
      <c r="ARR23" s="6"/>
      <c r="ARS23" s="6"/>
      <c r="ART23" s="6"/>
      <c r="ARU23" s="6"/>
      <c r="ARV23" s="6"/>
      <c r="ARW23" s="6"/>
      <c r="ARX23" s="6"/>
      <c r="ARY23" s="6"/>
      <c r="ARZ23" s="6"/>
      <c r="ASA23" s="6"/>
      <c r="ASB23" s="6"/>
      <c r="ASC23" s="6"/>
      <c r="ASD23" s="6"/>
      <c r="ASE23" s="6"/>
      <c r="ASF23" s="6"/>
      <c r="ASG23" s="6"/>
      <c r="ASH23" s="6"/>
      <c r="ASI23" s="6"/>
      <c r="ASJ23" s="6"/>
      <c r="ASK23" s="6"/>
      <c r="ASL23" s="6"/>
      <c r="ASM23" s="6"/>
      <c r="ASN23" s="6"/>
      <c r="ASO23" s="6"/>
      <c r="ASP23" s="6"/>
      <c r="ASQ23" s="6"/>
      <c r="ASR23" s="6"/>
      <c r="ASS23" s="6"/>
      <c r="AST23" s="6"/>
      <c r="ASU23" s="6"/>
      <c r="ASV23" s="6"/>
      <c r="ASW23" s="6"/>
      <c r="ASX23" s="6"/>
      <c r="ASY23" s="6"/>
      <c r="ASZ23" s="6"/>
      <c r="ATA23" s="6"/>
      <c r="ATB23" s="6"/>
      <c r="ATC23" s="6"/>
      <c r="ATD23" s="6"/>
      <c r="ATE23" s="6"/>
      <c r="ATF23" s="6"/>
      <c r="ATG23" s="6"/>
      <c r="ATH23" s="6"/>
      <c r="ATI23" s="6"/>
      <c r="ATJ23" s="6"/>
      <c r="ATK23" s="6"/>
      <c r="ATL23" s="6"/>
      <c r="ATM23" s="6"/>
      <c r="ATN23" s="6"/>
      <c r="ATO23" s="6"/>
      <c r="ATP23" s="6"/>
      <c r="ATQ23" s="6"/>
      <c r="ATR23" s="6"/>
      <c r="ATS23" s="6"/>
      <c r="ATT23" s="6"/>
      <c r="ATU23" s="6"/>
      <c r="ATV23" s="6"/>
      <c r="ATW23" s="6"/>
      <c r="ATX23" s="6"/>
      <c r="ATY23" s="6"/>
      <c r="ATZ23" s="6"/>
      <c r="AUA23" s="6"/>
      <c r="AUB23" s="6"/>
      <c r="AUC23" s="6"/>
      <c r="AUD23" s="6"/>
      <c r="AUE23" s="6"/>
      <c r="AUF23" s="6"/>
      <c r="AUG23" s="6"/>
      <c r="AUH23" s="6"/>
      <c r="AUI23" s="6"/>
      <c r="AUJ23" s="6"/>
      <c r="AUK23" s="6"/>
      <c r="AUL23" s="6"/>
      <c r="AUM23" s="6"/>
      <c r="AUN23" s="6"/>
      <c r="AUO23" s="6"/>
      <c r="AUP23" s="6"/>
      <c r="AUQ23" s="6"/>
      <c r="AUR23" s="6"/>
      <c r="AUS23" s="6"/>
      <c r="AUT23" s="6"/>
      <c r="AUU23" s="6"/>
      <c r="AUV23" s="6"/>
      <c r="AUW23" s="6"/>
      <c r="AUX23" s="6"/>
      <c r="AUY23" s="6"/>
      <c r="AUZ23" s="6"/>
      <c r="AVA23" s="6"/>
      <c r="AVB23" s="6"/>
      <c r="AVC23" s="6"/>
      <c r="AVD23" s="6"/>
      <c r="AVE23" s="6"/>
      <c r="AVF23" s="6"/>
      <c r="AVG23" s="6"/>
      <c r="AVH23" s="6"/>
      <c r="AVI23" s="6"/>
      <c r="AVJ23" s="6"/>
      <c r="AVK23" s="6"/>
      <c r="AVL23" s="6"/>
      <c r="AVM23" s="6"/>
      <c r="AVN23" s="6"/>
      <c r="AVO23" s="6"/>
      <c r="AVP23" s="6"/>
      <c r="AVQ23" s="6"/>
      <c r="AVR23" s="6"/>
      <c r="AVS23" s="6"/>
      <c r="AVT23" s="6"/>
      <c r="AVU23" s="6"/>
      <c r="AVV23" s="6"/>
      <c r="AVW23" s="6"/>
      <c r="AVX23" s="6"/>
      <c r="AVY23" s="6"/>
      <c r="AVZ23" s="6"/>
      <c r="AWA23" s="6"/>
      <c r="AWB23" s="6"/>
      <c r="AWC23" s="6"/>
      <c r="AWD23" s="6"/>
      <c r="AWE23" s="6"/>
      <c r="AWF23" s="6"/>
      <c r="AWG23" s="6"/>
      <c r="AWH23" s="6"/>
      <c r="AWI23" s="6"/>
      <c r="AWJ23" s="6"/>
      <c r="AWK23" s="6"/>
      <c r="AWL23" s="6"/>
      <c r="AWM23" s="6"/>
      <c r="AWN23" s="6"/>
      <c r="AWO23" s="6"/>
      <c r="AWP23" s="6"/>
      <c r="AWQ23" s="6"/>
      <c r="AWR23" s="6"/>
      <c r="AWS23" s="6"/>
      <c r="AWT23" s="6"/>
      <c r="AWU23" s="6"/>
      <c r="AWV23" s="6"/>
      <c r="AWW23" s="6"/>
      <c r="AWX23" s="6"/>
      <c r="AWY23" s="6"/>
      <c r="AWZ23" s="6"/>
      <c r="AXA23" s="6"/>
      <c r="AXB23" s="6"/>
      <c r="AXC23" s="6"/>
      <c r="AXD23" s="6"/>
      <c r="AXE23" s="6"/>
      <c r="AXF23" s="6"/>
      <c r="AXG23" s="6"/>
      <c r="AXH23" s="6"/>
      <c r="AXI23" s="6"/>
      <c r="AXJ23" s="6"/>
      <c r="AXK23" s="6"/>
      <c r="AXL23" s="6"/>
      <c r="AXM23" s="6"/>
      <c r="AXN23" s="6"/>
      <c r="AXO23" s="6"/>
      <c r="AXP23" s="6"/>
      <c r="AXQ23" s="6"/>
      <c r="AXR23" s="6"/>
      <c r="AXS23" s="6"/>
      <c r="AXT23" s="6"/>
      <c r="AXU23" s="6"/>
      <c r="AXV23" s="6"/>
      <c r="AXW23" s="6"/>
      <c r="AXX23" s="6"/>
      <c r="AXY23" s="6"/>
      <c r="AXZ23" s="6"/>
      <c r="AYA23" s="6"/>
      <c r="AYB23" s="6"/>
      <c r="AYC23" s="6"/>
      <c r="AYD23" s="6"/>
      <c r="AYE23" s="6"/>
      <c r="AYF23" s="6"/>
      <c r="AYG23" s="6"/>
      <c r="AYH23" s="6"/>
      <c r="AYI23" s="6"/>
      <c r="AYJ23" s="6"/>
      <c r="AYK23" s="6"/>
      <c r="AYL23" s="6"/>
      <c r="AYM23" s="6"/>
      <c r="AYN23" s="6"/>
      <c r="AYO23" s="6"/>
      <c r="AYP23" s="6"/>
      <c r="AYQ23" s="6"/>
      <c r="AYR23" s="6"/>
      <c r="AYS23" s="6"/>
      <c r="AYT23" s="6"/>
      <c r="AYU23" s="6"/>
      <c r="AYV23" s="6"/>
      <c r="AYW23" s="6"/>
      <c r="AYX23" s="6"/>
      <c r="AYY23" s="6"/>
      <c r="AYZ23" s="6"/>
      <c r="AZA23" s="6"/>
      <c r="AZB23" s="6"/>
      <c r="AZC23" s="6"/>
      <c r="AZD23" s="6"/>
      <c r="AZE23" s="6"/>
      <c r="AZF23" s="6"/>
      <c r="AZG23" s="6"/>
      <c r="AZH23" s="6"/>
      <c r="AZI23" s="6"/>
      <c r="AZJ23" s="6"/>
      <c r="AZK23" s="6"/>
      <c r="AZL23" s="6"/>
      <c r="AZM23" s="6"/>
      <c r="AZN23" s="6"/>
      <c r="AZO23" s="6"/>
      <c r="AZP23" s="6"/>
      <c r="AZQ23" s="6"/>
      <c r="AZR23" s="6"/>
      <c r="AZS23" s="6"/>
      <c r="AZT23" s="6"/>
      <c r="AZU23" s="6"/>
      <c r="AZV23" s="6"/>
      <c r="AZW23" s="6"/>
      <c r="AZX23" s="6"/>
      <c r="AZY23" s="6"/>
      <c r="AZZ23" s="6"/>
      <c r="BAA23" s="6"/>
      <c r="BAB23" s="6"/>
      <c r="BAC23" s="6"/>
      <c r="BAD23" s="6"/>
      <c r="BAE23" s="6"/>
      <c r="BAF23" s="6"/>
      <c r="BAG23" s="6"/>
      <c r="BAH23" s="6"/>
      <c r="BAI23" s="6"/>
      <c r="BAJ23" s="6"/>
      <c r="BAK23" s="6"/>
      <c r="BAL23" s="6"/>
      <c r="BAM23" s="6"/>
      <c r="BAN23" s="6"/>
      <c r="BAO23" s="6"/>
      <c r="BAP23" s="6"/>
      <c r="BAQ23" s="6"/>
      <c r="BAR23" s="6"/>
      <c r="BAS23" s="6"/>
      <c r="BAT23" s="6"/>
      <c r="BAU23" s="6"/>
      <c r="BAV23" s="6"/>
      <c r="BAW23" s="6"/>
      <c r="BAX23" s="6"/>
      <c r="BAY23" s="6"/>
      <c r="BAZ23" s="6"/>
      <c r="BBA23" s="6"/>
      <c r="BBB23" s="6"/>
      <c r="BBC23" s="6"/>
      <c r="BBD23" s="6"/>
      <c r="BBE23" s="6"/>
      <c r="BBF23" s="6"/>
      <c r="BBG23" s="6"/>
      <c r="BBH23" s="6"/>
      <c r="BBI23" s="6"/>
      <c r="BBJ23" s="6"/>
      <c r="BBK23" s="6"/>
      <c r="BBL23" s="6"/>
      <c r="BBM23" s="6"/>
      <c r="BBN23" s="6"/>
      <c r="BBO23" s="6"/>
      <c r="BBP23" s="6"/>
      <c r="BBQ23" s="6"/>
      <c r="BBR23" s="6"/>
      <c r="BBS23" s="6"/>
      <c r="BBT23" s="6"/>
      <c r="BBU23" s="6"/>
      <c r="BBV23" s="6"/>
      <c r="BBW23" s="6"/>
      <c r="BBX23" s="6"/>
      <c r="BBY23" s="6"/>
      <c r="BBZ23" s="6"/>
      <c r="BCA23" s="6"/>
      <c r="BCB23" s="6"/>
      <c r="BCC23" s="6"/>
      <c r="BCD23" s="6"/>
      <c r="BCE23" s="6"/>
      <c r="BCF23" s="6"/>
      <c r="BCG23" s="6"/>
      <c r="BCH23" s="6"/>
      <c r="BCI23" s="6"/>
      <c r="BCJ23" s="6"/>
      <c r="BCK23" s="6"/>
      <c r="BCL23" s="6"/>
      <c r="BCM23" s="6"/>
      <c r="BCN23" s="6"/>
      <c r="BCO23" s="6"/>
      <c r="BCP23" s="6"/>
      <c r="BCQ23" s="6"/>
      <c r="BCR23" s="6"/>
      <c r="BCS23" s="6"/>
      <c r="BCT23" s="6"/>
      <c r="BCU23" s="6"/>
      <c r="BCV23" s="6"/>
      <c r="BCW23" s="6"/>
      <c r="BCX23" s="6"/>
      <c r="BCY23" s="6"/>
      <c r="BCZ23" s="6"/>
      <c r="BDA23" s="6"/>
      <c r="BDB23" s="6"/>
      <c r="BDC23" s="6"/>
      <c r="BDD23" s="6"/>
      <c r="BDE23" s="6"/>
      <c r="BDF23" s="6"/>
      <c r="BDG23" s="6"/>
      <c r="BDH23" s="6"/>
      <c r="BDI23" s="6"/>
      <c r="BDJ23" s="6"/>
      <c r="BDK23" s="6"/>
      <c r="BDL23" s="6"/>
      <c r="BDM23" s="6"/>
      <c r="BDN23" s="6"/>
      <c r="BDO23" s="6"/>
      <c r="BDP23" s="6"/>
      <c r="BDQ23" s="6"/>
      <c r="BDR23" s="6"/>
      <c r="BDS23" s="6"/>
      <c r="BDT23" s="6"/>
      <c r="BDU23" s="6"/>
      <c r="BDV23" s="6"/>
      <c r="BDW23" s="6"/>
      <c r="BDX23" s="6"/>
      <c r="BDY23" s="6"/>
      <c r="BDZ23" s="6"/>
      <c r="BEA23" s="6"/>
      <c r="BEB23" s="6"/>
      <c r="BEC23" s="6"/>
      <c r="BED23" s="6"/>
      <c r="BEE23" s="6"/>
      <c r="BEF23" s="6"/>
      <c r="BEG23" s="6"/>
      <c r="BEH23" s="6"/>
      <c r="BEI23" s="6"/>
      <c r="BEJ23" s="6"/>
      <c r="BEK23" s="6"/>
      <c r="BEL23" s="6"/>
      <c r="BEM23" s="6"/>
      <c r="BEN23" s="6"/>
      <c r="BEO23" s="6"/>
      <c r="BEP23" s="6"/>
      <c r="BEQ23" s="6"/>
      <c r="BER23" s="6"/>
      <c r="BES23" s="6"/>
      <c r="BET23" s="6"/>
      <c r="BEU23" s="6"/>
      <c r="BEV23" s="6"/>
      <c r="BEW23" s="6"/>
      <c r="BEX23" s="6"/>
      <c r="BEY23" s="6"/>
      <c r="BEZ23" s="6"/>
      <c r="BFA23" s="6"/>
      <c r="BFB23" s="6"/>
      <c r="BFC23" s="6"/>
      <c r="BFD23" s="6"/>
      <c r="BFE23" s="6"/>
      <c r="BFF23" s="6"/>
      <c r="BFG23" s="6"/>
      <c r="BFH23" s="6"/>
      <c r="BFI23" s="6"/>
      <c r="BFJ23" s="6"/>
      <c r="BFK23" s="6"/>
      <c r="BFL23" s="6"/>
      <c r="BFM23" s="6"/>
      <c r="BFN23" s="6"/>
      <c r="BFO23" s="6"/>
      <c r="BFP23" s="6"/>
      <c r="BFQ23" s="6"/>
      <c r="BFR23" s="6"/>
      <c r="BFS23" s="6"/>
      <c r="BFT23" s="6"/>
      <c r="BFU23" s="6"/>
      <c r="BFV23" s="6"/>
      <c r="BFW23" s="6"/>
      <c r="BFX23" s="6"/>
      <c r="BFY23" s="6"/>
      <c r="BFZ23" s="6"/>
      <c r="BGA23" s="6"/>
      <c r="BGB23" s="6"/>
      <c r="BGC23" s="6"/>
      <c r="BGD23" s="6"/>
      <c r="BGE23" s="6"/>
      <c r="BGF23" s="6"/>
      <c r="BGG23" s="6"/>
      <c r="BGH23" s="6"/>
      <c r="BGI23" s="6"/>
      <c r="BGJ23" s="6"/>
      <c r="BGK23" s="6"/>
      <c r="BGL23" s="6"/>
      <c r="BGM23" s="6"/>
      <c r="BGN23" s="6"/>
      <c r="BGO23" s="6"/>
      <c r="BGP23" s="6"/>
      <c r="BGQ23" s="6"/>
      <c r="BGR23" s="6"/>
      <c r="BGS23" s="6"/>
      <c r="BGT23" s="6"/>
      <c r="BGU23" s="6"/>
      <c r="BGV23" s="6"/>
      <c r="BGW23" s="6"/>
      <c r="BGX23" s="6"/>
      <c r="BGY23" s="6"/>
      <c r="BGZ23" s="6"/>
      <c r="BHA23" s="6"/>
      <c r="BHB23" s="6"/>
      <c r="BHC23" s="6"/>
      <c r="BHD23" s="6"/>
      <c r="BHE23" s="6"/>
      <c r="BHF23" s="6"/>
      <c r="BHG23" s="6"/>
      <c r="BHH23" s="6"/>
      <c r="BHI23" s="6"/>
      <c r="BHJ23" s="6"/>
      <c r="BHK23" s="6"/>
      <c r="BHL23" s="6"/>
      <c r="BHM23" s="6"/>
      <c r="BHN23" s="6"/>
      <c r="BHO23" s="6"/>
      <c r="BHP23" s="6"/>
      <c r="BHQ23" s="6"/>
      <c r="BHR23" s="6"/>
      <c r="BHS23" s="6"/>
      <c r="BHT23" s="6"/>
      <c r="BHU23" s="6"/>
      <c r="BHV23" s="6"/>
      <c r="BHW23" s="6"/>
      <c r="BHX23" s="6"/>
      <c r="BHY23" s="6"/>
      <c r="BHZ23" s="6"/>
      <c r="BIA23" s="6"/>
      <c r="BIB23" s="6"/>
      <c r="BIC23" s="6"/>
      <c r="BID23" s="6"/>
      <c r="BIE23" s="6"/>
      <c r="BIF23" s="6"/>
      <c r="BIG23" s="6"/>
      <c r="BIH23" s="6"/>
      <c r="BII23" s="6"/>
      <c r="BIJ23" s="6"/>
      <c r="BIK23" s="6"/>
      <c r="BIL23" s="6"/>
      <c r="BIM23" s="6"/>
      <c r="BIN23" s="6"/>
      <c r="BIO23" s="6"/>
      <c r="BIP23" s="6"/>
      <c r="BIQ23" s="6"/>
      <c r="BIR23" s="6"/>
      <c r="BIS23" s="6"/>
      <c r="BIT23" s="6"/>
      <c r="BIU23" s="6"/>
      <c r="BIV23" s="6"/>
      <c r="BIW23" s="6"/>
      <c r="BIX23" s="6"/>
      <c r="BIY23" s="6"/>
      <c r="BIZ23" s="6"/>
      <c r="BJA23" s="6"/>
      <c r="BJB23" s="6"/>
      <c r="BJC23" s="6"/>
      <c r="BJD23" s="6"/>
      <c r="BJE23" s="6"/>
      <c r="BJF23" s="6"/>
      <c r="BJG23" s="6"/>
      <c r="BJH23" s="6"/>
      <c r="BJI23" s="6"/>
      <c r="BJJ23" s="6"/>
      <c r="BJK23" s="6"/>
      <c r="BJL23" s="6"/>
      <c r="BJM23" s="6"/>
      <c r="BJN23" s="6"/>
      <c r="BJO23" s="6"/>
      <c r="BJP23" s="6"/>
      <c r="BJQ23" s="6"/>
      <c r="BJR23" s="6"/>
      <c r="BJS23" s="6"/>
      <c r="BJT23" s="6"/>
      <c r="BJU23" s="6"/>
      <c r="BJV23" s="6"/>
      <c r="BJW23" s="6"/>
      <c r="BJX23" s="6"/>
      <c r="BJY23" s="6"/>
      <c r="BJZ23" s="6"/>
      <c r="BKA23" s="6"/>
      <c r="BKB23" s="6"/>
      <c r="BKC23" s="6"/>
      <c r="BKD23" s="6"/>
      <c r="BKE23" s="6"/>
      <c r="BKF23" s="6"/>
      <c r="BKG23" s="6"/>
      <c r="BKH23" s="6"/>
      <c r="BKI23" s="6"/>
      <c r="BKJ23" s="6"/>
      <c r="BKK23" s="6"/>
      <c r="BKL23" s="6"/>
      <c r="BKM23" s="6"/>
      <c r="BKN23" s="6"/>
      <c r="BKO23" s="6"/>
      <c r="BKP23" s="6"/>
      <c r="BKQ23" s="6"/>
      <c r="BKR23" s="6"/>
      <c r="BKS23" s="6"/>
      <c r="BKT23" s="6"/>
      <c r="BKU23" s="6"/>
      <c r="BKV23" s="6"/>
      <c r="BKW23" s="6"/>
      <c r="BKX23" s="6"/>
      <c r="BKY23" s="6"/>
      <c r="BKZ23" s="6"/>
      <c r="BLA23" s="6"/>
      <c r="BLB23" s="6"/>
      <c r="BLC23" s="6"/>
      <c r="BLD23" s="6"/>
      <c r="BLE23" s="6"/>
      <c r="BLF23" s="6"/>
      <c r="BLG23" s="6"/>
      <c r="BLH23" s="6"/>
      <c r="BLI23" s="6"/>
      <c r="BLJ23" s="6"/>
      <c r="BLK23" s="6"/>
      <c r="BLL23" s="6"/>
      <c r="BLM23" s="6"/>
      <c r="BLN23" s="6"/>
      <c r="BLO23" s="6"/>
      <c r="BLP23" s="6"/>
      <c r="BLQ23" s="6"/>
      <c r="BLR23" s="6"/>
      <c r="BLS23" s="6"/>
      <c r="BLT23" s="6"/>
      <c r="BLU23" s="6"/>
      <c r="BLV23" s="6"/>
      <c r="BLW23" s="6"/>
      <c r="BLX23" s="6"/>
      <c r="BLY23" s="6"/>
      <c r="BLZ23" s="6"/>
      <c r="BMA23" s="6"/>
      <c r="BMB23" s="6"/>
      <c r="BMC23" s="6"/>
      <c r="BMD23" s="6"/>
      <c r="BME23" s="6"/>
      <c r="BMF23" s="6"/>
      <c r="BMG23" s="6"/>
      <c r="BMH23" s="6"/>
      <c r="BMI23" s="6"/>
      <c r="BMJ23" s="6"/>
      <c r="BMK23" s="6"/>
      <c r="BML23" s="6"/>
      <c r="BMM23" s="6"/>
      <c r="BMN23" s="6"/>
      <c r="BMO23" s="6"/>
      <c r="BMP23" s="6"/>
      <c r="BMQ23" s="6"/>
      <c r="BMR23" s="6"/>
      <c r="BMS23" s="6"/>
      <c r="BMT23" s="6"/>
      <c r="BMU23" s="6"/>
      <c r="BMV23" s="6"/>
      <c r="BMW23" s="6"/>
      <c r="BMX23" s="6"/>
      <c r="BMY23" s="6"/>
      <c r="BMZ23" s="6"/>
      <c r="BNA23" s="6"/>
      <c r="BNB23" s="6"/>
      <c r="BNC23" s="6"/>
      <c r="BND23" s="6"/>
      <c r="BNE23" s="6"/>
      <c r="BNF23" s="6"/>
      <c r="BNG23" s="6"/>
      <c r="BNH23" s="6"/>
      <c r="BNI23" s="6"/>
      <c r="BNJ23" s="6"/>
      <c r="BNK23" s="6"/>
      <c r="BNL23" s="6"/>
      <c r="BNM23" s="6"/>
      <c r="BNN23" s="6"/>
      <c r="BNO23" s="6"/>
      <c r="BNP23" s="6"/>
      <c r="BNQ23" s="6"/>
      <c r="BNR23" s="6"/>
      <c r="BNS23" s="6"/>
      <c r="BNT23" s="6"/>
      <c r="BNU23" s="6"/>
      <c r="BNV23" s="6"/>
      <c r="BNW23" s="6"/>
      <c r="BNX23" s="6"/>
      <c r="BNY23" s="6"/>
      <c r="BNZ23" s="6"/>
      <c r="BOA23" s="6"/>
      <c r="BOB23" s="6"/>
      <c r="BOC23" s="6"/>
      <c r="BOD23" s="6"/>
      <c r="BOE23" s="6"/>
      <c r="BOF23" s="6"/>
      <c r="BOG23" s="6"/>
      <c r="BOH23" s="6"/>
      <c r="BOI23" s="6"/>
      <c r="BOJ23" s="6"/>
      <c r="BOK23" s="6"/>
      <c r="BOL23" s="6"/>
      <c r="BOM23" s="6"/>
      <c r="BON23" s="6"/>
      <c r="BOO23" s="6"/>
      <c r="BOP23" s="6"/>
      <c r="BOQ23" s="6"/>
      <c r="BOR23" s="6"/>
      <c r="BOS23" s="6"/>
      <c r="BOT23" s="6"/>
      <c r="BOU23" s="6"/>
      <c r="BOV23" s="6"/>
      <c r="BOW23" s="6"/>
      <c r="BOX23" s="6"/>
      <c r="BOY23" s="6"/>
      <c r="BOZ23" s="6"/>
      <c r="BPA23" s="6"/>
      <c r="BPB23" s="6"/>
      <c r="BPC23" s="6"/>
      <c r="BPD23" s="6"/>
      <c r="BPE23" s="6"/>
      <c r="BPF23" s="6"/>
      <c r="BPG23" s="6"/>
      <c r="BPH23" s="6"/>
      <c r="BPI23" s="6"/>
      <c r="BPJ23" s="6"/>
      <c r="BPK23" s="6"/>
      <c r="BPL23" s="6"/>
      <c r="BPM23" s="6"/>
      <c r="BPN23" s="6"/>
      <c r="BPO23" s="6"/>
      <c r="BPP23" s="6"/>
      <c r="BPQ23" s="6"/>
      <c r="BPR23" s="6"/>
      <c r="BPS23" s="6"/>
      <c r="BPT23" s="6"/>
      <c r="BPU23" s="6"/>
      <c r="BPV23" s="6"/>
      <c r="BPW23" s="6"/>
      <c r="BPX23" s="6"/>
      <c r="BPY23" s="6"/>
      <c r="BPZ23" s="6"/>
      <c r="BQA23" s="6"/>
      <c r="BQB23" s="6"/>
      <c r="BQC23" s="6"/>
      <c r="BQD23" s="6"/>
      <c r="BQE23" s="6"/>
      <c r="BQF23" s="6"/>
      <c r="BQG23" s="6"/>
      <c r="BQH23" s="6"/>
      <c r="BQI23" s="6"/>
      <c r="BQJ23" s="6"/>
      <c r="BQK23" s="6"/>
      <c r="BQL23" s="6"/>
      <c r="BQM23" s="6"/>
      <c r="BQN23" s="6"/>
      <c r="BQO23" s="6"/>
      <c r="BQP23" s="6"/>
      <c r="BQQ23" s="6"/>
      <c r="BQR23" s="6"/>
      <c r="BQS23" s="6"/>
      <c r="BQT23" s="6"/>
      <c r="BQU23" s="6"/>
      <c r="BQV23" s="6"/>
      <c r="BQW23" s="6"/>
      <c r="BQX23" s="6"/>
      <c r="BQY23" s="6"/>
      <c r="BQZ23" s="6"/>
      <c r="BRA23" s="6"/>
      <c r="BRB23" s="6"/>
      <c r="BRC23" s="6"/>
      <c r="BRD23" s="6"/>
      <c r="BRE23" s="6"/>
      <c r="BRF23" s="6"/>
      <c r="BRG23" s="6"/>
      <c r="BRH23" s="6"/>
      <c r="BRI23" s="6"/>
      <c r="BRJ23" s="6"/>
      <c r="BRK23" s="6"/>
      <c r="BRL23" s="6"/>
      <c r="BRM23" s="6"/>
      <c r="BRN23" s="6"/>
      <c r="BRO23" s="6"/>
      <c r="BRP23" s="6"/>
      <c r="BRQ23" s="6"/>
      <c r="BRR23" s="6"/>
      <c r="BRS23" s="6"/>
      <c r="BRT23" s="6"/>
      <c r="BRU23" s="6"/>
      <c r="BRV23" s="6"/>
      <c r="BRW23" s="6"/>
      <c r="BRX23" s="6"/>
      <c r="BRY23" s="6"/>
      <c r="BRZ23" s="6"/>
      <c r="BSA23" s="6"/>
      <c r="BSB23" s="6"/>
      <c r="BSC23" s="6"/>
      <c r="BSD23" s="6"/>
      <c r="BSE23" s="6"/>
      <c r="BSF23" s="6"/>
      <c r="BSG23" s="6"/>
      <c r="BSH23" s="6"/>
      <c r="BSI23" s="6"/>
      <c r="BSJ23" s="6"/>
      <c r="BSK23" s="6"/>
      <c r="BSL23" s="6"/>
      <c r="BSM23" s="6"/>
      <c r="BSN23" s="6"/>
      <c r="BSO23" s="6"/>
      <c r="BSP23" s="6"/>
      <c r="BSQ23" s="6"/>
      <c r="BSR23" s="6"/>
      <c r="BSS23" s="6"/>
      <c r="BST23" s="6"/>
      <c r="BSU23" s="6"/>
      <c r="BSV23" s="6"/>
      <c r="BSW23" s="6"/>
      <c r="BSX23" s="6"/>
      <c r="BSY23" s="6"/>
      <c r="BSZ23" s="6"/>
      <c r="BTA23" s="6"/>
      <c r="BTB23" s="6"/>
      <c r="BTC23" s="6"/>
      <c r="BTD23" s="6"/>
      <c r="BTE23" s="6"/>
      <c r="BTF23" s="6"/>
      <c r="BTG23" s="6"/>
      <c r="BTH23" s="6"/>
      <c r="BTI23" s="6"/>
      <c r="BTJ23" s="6"/>
      <c r="BTK23" s="6"/>
      <c r="BTL23" s="6"/>
      <c r="BTM23" s="6"/>
      <c r="BTN23" s="6"/>
      <c r="BTO23" s="6"/>
      <c r="BTP23" s="6"/>
      <c r="BTQ23" s="6"/>
      <c r="BTR23" s="6"/>
      <c r="BTS23" s="6"/>
      <c r="BTT23" s="6"/>
      <c r="BTU23" s="6"/>
      <c r="BTV23" s="6"/>
      <c r="BTW23" s="6"/>
      <c r="BTX23" s="6"/>
      <c r="BTY23" s="6"/>
      <c r="BTZ23" s="6"/>
      <c r="BUA23" s="6"/>
      <c r="BUB23" s="6"/>
      <c r="BUC23" s="6"/>
      <c r="BUD23" s="6"/>
      <c r="BUE23" s="6"/>
      <c r="BUF23" s="6"/>
      <c r="BUG23" s="6"/>
      <c r="BUH23" s="6"/>
      <c r="BUI23" s="6"/>
      <c r="BUJ23" s="6"/>
      <c r="BUK23" s="6"/>
      <c r="BUL23" s="6"/>
      <c r="BUM23" s="6"/>
      <c r="BUN23" s="6"/>
      <c r="BUO23" s="6"/>
      <c r="BUP23" s="6"/>
      <c r="BUQ23" s="6"/>
      <c r="BUR23" s="6"/>
      <c r="BUS23" s="6"/>
      <c r="BUT23" s="6"/>
      <c r="BUU23" s="6"/>
      <c r="BUV23" s="6"/>
      <c r="BUW23" s="6"/>
      <c r="BUX23" s="6"/>
      <c r="BUY23" s="6"/>
      <c r="BUZ23" s="6"/>
      <c r="BVA23" s="6"/>
      <c r="BVB23" s="6"/>
      <c r="BVC23" s="6"/>
      <c r="BVD23" s="6"/>
      <c r="BVE23" s="6"/>
      <c r="BVF23" s="6"/>
      <c r="BVG23" s="6"/>
      <c r="BVH23" s="6"/>
      <c r="BVI23" s="6"/>
      <c r="BVJ23" s="6"/>
      <c r="BVK23" s="6"/>
      <c r="BVL23" s="6"/>
      <c r="BVM23" s="6"/>
      <c r="BVN23" s="6"/>
      <c r="BVO23" s="6"/>
      <c r="BVP23" s="6"/>
      <c r="BVQ23" s="6"/>
      <c r="BVR23" s="6"/>
      <c r="BVS23" s="6"/>
      <c r="BVT23" s="6"/>
      <c r="BVU23" s="6"/>
      <c r="BVV23" s="6"/>
      <c r="BVW23" s="6"/>
      <c r="BVX23" s="6"/>
      <c r="BVY23" s="6"/>
      <c r="BVZ23" s="6"/>
      <c r="BWA23" s="6"/>
      <c r="BWB23" s="6"/>
      <c r="BWC23" s="6"/>
      <c r="BWD23" s="6"/>
      <c r="BWE23" s="6"/>
      <c r="BWF23" s="6"/>
      <c r="BWG23" s="6"/>
      <c r="BWH23" s="6"/>
      <c r="BWI23" s="6"/>
      <c r="BWJ23" s="6"/>
      <c r="BWK23" s="6"/>
      <c r="BWL23" s="6"/>
      <c r="BWM23" s="6"/>
      <c r="BWN23" s="6"/>
      <c r="BWO23" s="6"/>
      <c r="BWP23" s="6"/>
      <c r="BWQ23" s="6"/>
      <c r="BWR23" s="6"/>
      <c r="BWS23" s="6"/>
      <c r="BWT23" s="6"/>
      <c r="BWU23" s="6"/>
      <c r="BWV23" s="6"/>
      <c r="BWW23" s="6"/>
      <c r="BWX23" s="6"/>
      <c r="BWY23" s="6"/>
      <c r="BWZ23" s="6"/>
      <c r="BXA23" s="6"/>
      <c r="BXB23" s="6"/>
      <c r="BXC23" s="6"/>
      <c r="BXD23" s="6"/>
      <c r="BXE23" s="6"/>
      <c r="BXF23" s="6"/>
      <c r="BXG23" s="6"/>
      <c r="BXH23" s="6"/>
      <c r="BXI23" s="6"/>
      <c r="BXJ23" s="6"/>
      <c r="BXK23" s="6"/>
      <c r="BXL23" s="6"/>
      <c r="BXM23" s="6"/>
      <c r="BXN23" s="6"/>
      <c r="BXO23" s="6"/>
      <c r="BXP23" s="6"/>
      <c r="BXQ23" s="6"/>
      <c r="BXR23" s="6"/>
      <c r="BXS23" s="6"/>
      <c r="BXT23" s="6"/>
      <c r="BXU23" s="6"/>
      <c r="BXV23" s="6"/>
      <c r="BXW23" s="6"/>
      <c r="BXX23" s="6"/>
      <c r="BXY23" s="6"/>
      <c r="BXZ23" s="6"/>
      <c r="BYA23" s="6"/>
      <c r="BYB23" s="6"/>
      <c r="BYC23" s="6"/>
      <c r="BYD23" s="6"/>
      <c r="BYE23" s="6"/>
      <c r="BYF23" s="6"/>
      <c r="BYG23" s="6"/>
      <c r="BYH23" s="6"/>
      <c r="BYI23" s="6"/>
      <c r="BYJ23" s="6"/>
      <c r="BYK23" s="6"/>
      <c r="BYL23" s="6"/>
      <c r="BYM23" s="6"/>
      <c r="BYN23" s="6"/>
      <c r="BYO23" s="6"/>
      <c r="BYP23" s="6"/>
      <c r="BYQ23" s="6"/>
      <c r="BYR23" s="6"/>
      <c r="BYS23" s="6"/>
      <c r="BYT23" s="6"/>
      <c r="BYU23" s="6"/>
      <c r="BYV23" s="6"/>
      <c r="BYW23" s="6"/>
      <c r="BYX23" s="6"/>
      <c r="BYY23" s="6"/>
      <c r="BYZ23" s="6"/>
      <c r="BZA23" s="6"/>
      <c r="BZB23" s="6"/>
      <c r="BZC23" s="6"/>
      <c r="BZD23" s="6"/>
      <c r="BZE23" s="6"/>
      <c r="BZF23" s="6"/>
      <c r="BZG23" s="6"/>
      <c r="BZH23" s="6"/>
      <c r="BZI23" s="6"/>
      <c r="BZJ23" s="6"/>
      <c r="BZK23" s="6"/>
      <c r="BZL23" s="6"/>
      <c r="BZM23" s="6"/>
      <c r="BZN23" s="6"/>
      <c r="BZO23" s="6"/>
      <c r="BZP23" s="6"/>
      <c r="BZQ23" s="6"/>
      <c r="BZR23" s="6"/>
      <c r="BZS23" s="6"/>
      <c r="BZT23" s="6"/>
      <c r="BZU23" s="6"/>
      <c r="BZV23" s="6"/>
      <c r="BZW23" s="6"/>
      <c r="BZX23" s="6"/>
      <c r="BZY23" s="6"/>
      <c r="BZZ23" s="6"/>
      <c r="CAA23" s="6"/>
      <c r="CAB23" s="6"/>
      <c r="CAC23" s="6"/>
      <c r="CAD23" s="6"/>
      <c r="CAE23" s="6"/>
      <c r="CAF23" s="6"/>
      <c r="CAG23" s="6"/>
      <c r="CAH23" s="6"/>
      <c r="CAI23" s="6"/>
      <c r="CAJ23" s="6"/>
      <c r="CAK23" s="6"/>
      <c r="CAL23" s="6"/>
      <c r="CAM23" s="6"/>
      <c r="CAN23" s="6"/>
      <c r="CAO23" s="6"/>
      <c r="CAP23" s="6"/>
      <c r="CAQ23" s="6"/>
      <c r="CAR23" s="6"/>
      <c r="CAS23" s="6"/>
      <c r="CAT23" s="6"/>
      <c r="CAU23" s="6"/>
      <c r="CAV23" s="6"/>
      <c r="CAW23" s="6"/>
      <c r="CAX23" s="6"/>
      <c r="CAY23" s="6"/>
      <c r="CAZ23" s="6"/>
      <c r="CBA23" s="6"/>
      <c r="CBB23" s="6"/>
      <c r="CBC23" s="6"/>
      <c r="CBD23" s="6"/>
      <c r="CBE23" s="6"/>
      <c r="CBF23" s="6"/>
      <c r="CBG23" s="6"/>
      <c r="CBH23" s="6"/>
      <c r="CBI23" s="6"/>
      <c r="CBJ23" s="6"/>
      <c r="CBK23" s="6"/>
      <c r="CBL23" s="6"/>
      <c r="CBM23" s="6"/>
      <c r="CBN23" s="6"/>
      <c r="CBO23" s="6"/>
      <c r="CBP23" s="6"/>
      <c r="CBQ23" s="6"/>
      <c r="CBR23" s="6"/>
      <c r="CBS23" s="6"/>
      <c r="CBT23" s="6"/>
      <c r="CBU23" s="6"/>
      <c r="CBV23" s="6"/>
      <c r="CBW23" s="6"/>
      <c r="CBX23" s="6"/>
      <c r="CBY23" s="6"/>
      <c r="CBZ23" s="6"/>
      <c r="CCA23" s="6"/>
      <c r="CCB23" s="6"/>
      <c r="CCC23" s="6"/>
      <c r="CCD23" s="6"/>
      <c r="CCE23" s="6"/>
      <c r="CCF23" s="6"/>
      <c r="CCG23" s="6"/>
      <c r="CCH23" s="6"/>
      <c r="CCI23" s="6"/>
      <c r="CCJ23" s="6"/>
      <c r="CCK23" s="6"/>
      <c r="CCL23" s="6"/>
      <c r="CCM23" s="6"/>
      <c r="CCN23" s="6"/>
      <c r="CCO23" s="6"/>
      <c r="CCP23" s="6"/>
      <c r="CCQ23" s="6"/>
      <c r="CCR23" s="6"/>
      <c r="CCS23" s="6"/>
      <c r="CCT23" s="6"/>
      <c r="CCU23" s="6"/>
      <c r="CCV23" s="6"/>
      <c r="CCW23" s="6"/>
      <c r="CCX23" s="6"/>
      <c r="CCY23" s="6"/>
      <c r="CCZ23" s="6"/>
      <c r="CDA23" s="6"/>
      <c r="CDB23" s="6"/>
      <c r="CDC23" s="6"/>
      <c r="CDD23" s="6"/>
      <c r="CDE23" s="6"/>
      <c r="CDF23" s="6"/>
      <c r="CDG23" s="6"/>
      <c r="CDH23" s="6"/>
      <c r="CDI23" s="6"/>
      <c r="CDJ23" s="6"/>
      <c r="CDK23" s="6"/>
      <c r="CDL23" s="6"/>
      <c r="CDM23" s="6"/>
      <c r="CDN23" s="6"/>
      <c r="CDO23" s="6"/>
      <c r="CDP23" s="6"/>
      <c r="CDQ23" s="6"/>
      <c r="CDR23" s="6"/>
      <c r="CDS23" s="6"/>
      <c r="CDT23" s="6"/>
      <c r="CDU23" s="6"/>
      <c r="CDV23" s="6"/>
      <c r="CDW23" s="6"/>
      <c r="CDX23" s="6"/>
      <c r="CDY23" s="6"/>
      <c r="CDZ23" s="6"/>
      <c r="CEA23" s="6"/>
      <c r="CEB23" s="6"/>
      <c r="CEC23" s="6"/>
      <c r="CED23" s="6"/>
      <c r="CEE23" s="6"/>
      <c r="CEF23" s="6"/>
      <c r="CEG23" s="6"/>
      <c r="CEH23" s="6"/>
      <c r="CEI23" s="6"/>
      <c r="CEJ23" s="6"/>
      <c r="CEK23" s="6"/>
      <c r="CEL23" s="6"/>
      <c r="CEM23" s="6"/>
      <c r="CEN23" s="6"/>
      <c r="CEO23" s="6"/>
      <c r="CEP23" s="6"/>
      <c r="CEQ23" s="6"/>
      <c r="CER23" s="6"/>
      <c r="CES23" s="6"/>
      <c r="CET23" s="6"/>
      <c r="CEU23" s="6"/>
      <c r="CEV23" s="6"/>
      <c r="CEW23" s="6"/>
      <c r="CEX23" s="6"/>
      <c r="CEY23" s="6"/>
      <c r="CEZ23" s="6"/>
      <c r="CFA23" s="6"/>
      <c r="CFB23" s="6"/>
      <c r="CFC23" s="6"/>
      <c r="CFD23" s="6"/>
      <c r="CFE23" s="6"/>
      <c r="CFF23" s="6"/>
      <c r="CFG23" s="6"/>
      <c r="CFH23" s="6"/>
      <c r="CFI23" s="6"/>
      <c r="CFJ23" s="6"/>
      <c r="CFK23" s="6"/>
      <c r="CFL23" s="6"/>
      <c r="CFM23" s="6"/>
      <c r="CFN23" s="6"/>
      <c r="CFO23" s="6"/>
      <c r="CFP23" s="6"/>
      <c r="CFQ23" s="6"/>
      <c r="CFR23" s="6"/>
      <c r="CFS23" s="6"/>
      <c r="CFT23" s="6"/>
      <c r="CFU23" s="6"/>
      <c r="CFV23" s="6"/>
      <c r="CFW23" s="6"/>
      <c r="CFX23" s="6"/>
      <c r="CFY23" s="6"/>
      <c r="CFZ23" s="6"/>
      <c r="CGA23" s="6"/>
      <c r="CGB23" s="6"/>
      <c r="CGC23" s="6"/>
      <c r="CGD23" s="6"/>
      <c r="CGE23" s="6"/>
      <c r="CGF23" s="6"/>
      <c r="CGG23" s="6"/>
      <c r="CGH23" s="6"/>
      <c r="CGI23" s="6"/>
      <c r="CGJ23" s="6"/>
      <c r="CGK23" s="6"/>
      <c r="CGL23" s="6"/>
      <c r="CGM23" s="6"/>
      <c r="CGN23" s="6"/>
      <c r="CGO23" s="6"/>
      <c r="CGP23" s="6"/>
      <c r="CGQ23" s="6"/>
      <c r="CGR23" s="6"/>
      <c r="CGS23" s="6"/>
      <c r="CGT23" s="6"/>
      <c r="CGU23" s="6"/>
      <c r="CGV23" s="6"/>
      <c r="CGW23" s="6"/>
      <c r="CGX23" s="6"/>
      <c r="CGY23" s="6"/>
      <c r="CGZ23" s="6"/>
      <c r="CHA23" s="6"/>
      <c r="CHB23" s="6"/>
      <c r="CHC23" s="6"/>
      <c r="CHD23" s="6"/>
      <c r="CHE23" s="6"/>
      <c r="CHF23" s="6"/>
      <c r="CHG23" s="6"/>
      <c r="CHH23" s="6"/>
      <c r="CHI23" s="6"/>
      <c r="CHJ23" s="6"/>
      <c r="CHK23" s="6"/>
      <c r="CHL23" s="6"/>
      <c r="CHM23" s="6"/>
      <c r="CHN23" s="6"/>
      <c r="CHO23" s="6"/>
      <c r="CHP23" s="6"/>
      <c r="CHQ23" s="6"/>
      <c r="CHR23" s="6"/>
      <c r="CHS23" s="6"/>
      <c r="CHT23" s="6"/>
      <c r="CHU23" s="6"/>
      <c r="CHV23" s="6"/>
      <c r="CHW23" s="6"/>
      <c r="CHX23" s="6"/>
      <c r="CHY23" s="6"/>
      <c r="CHZ23" s="6"/>
      <c r="CIA23" s="6"/>
      <c r="CIB23" s="6"/>
      <c r="CIC23" s="6"/>
      <c r="CID23" s="6"/>
      <c r="CIE23" s="6"/>
      <c r="CIF23" s="6"/>
      <c r="CIG23" s="6"/>
      <c r="CIH23" s="6"/>
      <c r="CII23" s="6"/>
      <c r="CIJ23" s="6"/>
      <c r="CIK23" s="6"/>
      <c r="CIL23" s="6"/>
      <c r="CIM23" s="6"/>
      <c r="CIN23" s="6"/>
      <c r="CIO23" s="6"/>
      <c r="CIP23" s="6"/>
      <c r="CIQ23" s="6"/>
      <c r="CIR23" s="6"/>
      <c r="CIS23" s="6"/>
      <c r="CIT23" s="6"/>
      <c r="CIU23" s="6"/>
      <c r="CIV23" s="6"/>
      <c r="CIW23" s="6"/>
      <c r="CIX23" s="6"/>
      <c r="CIY23" s="6"/>
      <c r="CIZ23" s="6"/>
      <c r="CJA23" s="6"/>
      <c r="CJB23" s="6"/>
      <c r="CJC23" s="6"/>
      <c r="CJD23" s="6"/>
      <c r="CJE23" s="6"/>
      <c r="CJF23" s="6"/>
      <c r="CJG23" s="6"/>
      <c r="CJH23" s="6"/>
      <c r="CJI23" s="6"/>
      <c r="CJJ23" s="6"/>
      <c r="CJK23" s="6"/>
      <c r="CJL23" s="6"/>
      <c r="CJM23" s="6"/>
      <c r="CJN23" s="6"/>
      <c r="CJO23" s="6"/>
      <c r="CJP23" s="6"/>
      <c r="CJQ23" s="6"/>
      <c r="CJR23" s="6"/>
      <c r="CJS23" s="6"/>
      <c r="CJT23" s="6"/>
      <c r="CJU23" s="6"/>
      <c r="CJV23" s="6"/>
      <c r="CJW23" s="6"/>
      <c r="CJX23" s="6"/>
      <c r="CJY23" s="6"/>
      <c r="CJZ23" s="6"/>
      <c r="CKA23" s="6"/>
      <c r="CKB23" s="6"/>
      <c r="CKC23" s="6"/>
      <c r="CKD23" s="6"/>
      <c r="CKE23" s="6"/>
      <c r="CKF23" s="6"/>
      <c r="CKG23" s="6"/>
      <c r="CKH23" s="6"/>
      <c r="CKI23" s="6"/>
      <c r="CKJ23" s="6"/>
      <c r="CKK23" s="6"/>
      <c r="CKL23" s="6"/>
      <c r="CKM23" s="6"/>
      <c r="CKN23" s="6"/>
      <c r="CKO23" s="6"/>
      <c r="CKP23" s="6"/>
      <c r="CKQ23" s="6"/>
      <c r="CKR23" s="6"/>
      <c r="CKS23" s="6"/>
      <c r="CKT23" s="6"/>
      <c r="CKU23" s="6"/>
      <c r="CKV23" s="6"/>
      <c r="CKW23" s="6"/>
      <c r="CKX23" s="6"/>
      <c r="CKY23" s="6"/>
      <c r="CKZ23" s="6"/>
      <c r="CLA23" s="6"/>
      <c r="CLB23" s="6"/>
      <c r="CLC23" s="6"/>
      <c r="CLD23" s="6"/>
      <c r="CLE23" s="6"/>
      <c r="CLF23" s="6"/>
      <c r="CLG23" s="6"/>
      <c r="CLH23" s="6"/>
      <c r="CLI23" s="6"/>
      <c r="CLJ23" s="6"/>
      <c r="CLK23" s="6"/>
      <c r="CLL23" s="6"/>
      <c r="CLM23" s="6"/>
      <c r="CLN23" s="6"/>
      <c r="CLO23" s="6"/>
      <c r="CLP23" s="6"/>
      <c r="CLQ23" s="6"/>
      <c r="CLR23" s="6"/>
      <c r="CLS23" s="6"/>
      <c r="CLT23" s="6"/>
      <c r="CLU23" s="6"/>
      <c r="CLV23" s="6"/>
      <c r="CLW23" s="6"/>
      <c r="CLX23" s="6"/>
      <c r="CLY23" s="6"/>
      <c r="CLZ23" s="6"/>
      <c r="CMA23" s="6"/>
      <c r="CMB23" s="6"/>
      <c r="CMC23" s="6"/>
      <c r="CMD23" s="6"/>
      <c r="CME23" s="6"/>
      <c r="CMF23" s="6"/>
      <c r="CMG23" s="6"/>
      <c r="CMH23" s="6"/>
      <c r="CMI23" s="6"/>
      <c r="CMJ23" s="6"/>
      <c r="CMK23" s="6"/>
      <c r="CML23" s="6"/>
      <c r="CMM23" s="6"/>
      <c r="CMN23" s="6"/>
      <c r="CMO23" s="6"/>
      <c r="CMP23" s="6"/>
      <c r="CMQ23" s="6"/>
      <c r="CMR23" s="6"/>
      <c r="CMS23" s="6"/>
      <c r="CMT23" s="6"/>
      <c r="CMU23" s="6"/>
      <c r="CMV23" s="6"/>
      <c r="CMW23" s="6"/>
      <c r="CMX23" s="6"/>
      <c r="CMY23" s="6"/>
      <c r="CMZ23" s="6"/>
      <c r="CNA23" s="6"/>
      <c r="CNB23" s="6"/>
      <c r="CNC23" s="6"/>
      <c r="CND23" s="6"/>
      <c r="CNE23" s="6"/>
      <c r="CNF23" s="6"/>
      <c r="CNG23" s="6"/>
      <c r="CNH23" s="6"/>
      <c r="CNI23" s="6"/>
      <c r="CNJ23" s="6"/>
      <c r="CNK23" s="6"/>
      <c r="CNL23" s="6"/>
      <c r="CNM23" s="6"/>
      <c r="CNN23" s="6"/>
      <c r="CNO23" s="6"/>
      <c r="CNP23" s="6"/>
      <c r="CNQ23" s="6"/>
      <c r="CNR23" s="6"/>
      <c r="CNS23" s="6"/>
      <c r="CNT23" s="6"/>
      <c r="CNU23" s="6"/>
      <c r="CNV23" s="6"/>
      <c r="CNW23" s="6"/>
      <c r="CNX23" s="6"/>
      <c r="CNY23" s="6"/>
      <c r="CNZ23" s="6"/>
      <c r="COA23" s="6"/>
      <c r="COB23" s="6"/>
      <c r="COC23" s="6"/>
      <c r="COD23" s="6"/>
      <c r="COE23" s="6"/>
      <c r="COF23" s="6"/>
      <c r="COG23" s="6"/>
      <c r="COH23" s="6"/>
      <c r="COI23" s="6"/>
      <c r="COJ23" s="6"/>
      <c r="COK23" s="6"/>
      <c r="COL23" s="6"/>
      <c r="COM23" s="6"/>
      <c r="CON23" s="6"/>
      <c r="COO23" s="6"/>
      <c r="COP23" s="6"/>
      <c r="COQ23" s="6"/>
      <c r="COR23" s="6"/>
      <c r="COS23" s="6"/>
      <c r="COT23" s="6"/>
      <c r="COU23" s="6"/>
      <c r="COV23" s="6"/>
      <c r="COW23" s="6"/>
      <c r="COX23" s="6"/>
      <c r="COY23" s="6"/>
      <c r="COZ23" s="6"/>
      <c r="CPA23" s="6"/>
      <c r="CPB23" s="6"/>
      <c r="CPC23" s="6"/>
      <c r="CPD23" s="6"/>
      <c r="CPE23" s="6"/>
      <c r="CPF23" s="6"/>
      <c r="CPG23" s="6"/>
      <c r="CPH23" s="6"/>
      <c r="CPI23" s="6"/>
      <c r="CPJ23" s="6"/>
      <c r="CPK23" s="6"/>
      <c r="CPL23" s="6"/>
      <c r="CPM23" s="6"/>
      <c r="CPN23" s="6"/>
      <c r="CPO23" s="6"/>
      <c r="CPP23" s="6"/>
      <c r="CPQ23" s="6"/>
      <c r="CPR23" s="6"/>
      <c r="CPS23" s="6"/>
      <c r="CPT23" s="6"/>
      <c r="CPU23" s="6"/>
      <c r="CPV23" s="6"/>
      <c r="CPW23" s="6"/>
      <c r="CPX23" s="6"/>
      <c r="CPY23" s="6"/>
      <c r="CPZ23" s="6"/>
      <c r="CQA23" s="6"/>
      <c r="CQB23" s="6"/>
      <c r="CQC23" s="6"/>
      <c r="CQD23" s="6"/>
      <c r="CQE23" s="6"/>
      <c r="CQF23" s="6"/>
      <c r="CQG23" s="6"/>
      <c r="CQH23" s="6"/>
      <c r="CQI23" s="6"/>
      <c r="CQJ23" s="6"/>
      <c r="CQK23" s="6"/>
      <c r="CQL23" s="6"/>
      <c r="CQM23" s="6"/>
      <c r="CQN23" s="6"/>
      <c r="CQO23" s="6"/>
      <c r="CQP23" s="6"/>
      <c r="CQQ23" s="6"/>
      <c r="CQR23" s="6"/>
      <c r="CQS23" s="6"/>
      <c r="CQT23" s="6"/>
      <c r="CQU23" s="6"/>
      <c r="CQV23" s="6"/>
      <c r="CQW23" s="6"/>
      <c r="CQX23" s="6"/>
      <c r="CQY23" s="6"/>
      <c r="CQZ23" s="6"/>
      <c r="CRA23" s="6"/>
      <c r="CRB23" s="6"/>
      <c r="CRC23" s="6"/>
      <c r="CRD23" s="6"/>
      <c r="CRE23" s="6"/>
      <c r="CRF23" s="6"/>
      <c r="CRG23" s="6"/>
      <c r="CRH23" s="6"/>
      <c r="CRI23" s="6"/>
      <c r="CRJ23" s="6"/>
      <c r="CRK23" s="6"/>
      <c r="CRL23" s="6"/>
      <c r="CRM23" s="6"/>
      <c r="CRN23" s="6"/>
      <c r="CRO23" s="6"/>
      <c r="CRP23" s="6"/>
      <c r="CRQ23" s="6"/>
      <c r="CRR23" s="6"/>
      <c r="CRS23" s="6"/>
      <c r="CRT23" s="6"/>
      <c r="CRU23" s="6"/>
      <c r="CRV23" s="6"/>
      <c r="CRW23" s="6"/>
      <c r="CRX23" s="6"/>
      <c r="CRY23" s="6"/>
      <c r="CRZ23" s="6"/>
      <c r="CSA23" s="6"/>
      <c r="CSB23" s="6"/>
      <c r="CSC23" s="6"/>
      <c r="CSD23" s="6"/>
      <c r="CSE23" s="6"/>
      <c r="CSF23" s="6"/>
      <c r="CSG23" s="6"/>
      <c r="CSH23" s="6"/>
      <c r="CSI23" s="6"/>
      <c r="CSJ23" s="6"/>
      <c r="CSK23" s="6"/>
      <c r="CSL23" s="6"/>
      <c r="CSM23" s="6"/>
      <c r="CSN23" s="6"/>
      <c r="CSO23" s="6"/>
      <c r="CSP23" s="6"/>
      <c r="CSQ23" s="6"/>
      <c r="CSR23" s="6"/>
      <c r="CSS23" s="6"/>
      <c r="CST23" s="6"/>
      <c r="CSU23" s="6"/>
      <c r="CSV23" s="6"/>
      <c r="CSW23" s="6"/>
      <c r="CSX23" s="6"/>
      <c r="CSY23" s="6"/>
      <c r="CSZ23" s="6"/>
      <c r="CTA23" s="6"/>
      <c r="CTB23" s="6"/>
      <c r="CTC23" s="6"/>
      <c r="CTD23" s="6"/>
      <c r="CTE23" s="6"/>
      <c r="CTF23" s="6"/>
      <c r="CTG23" s="6"/>
      <c r="CTH23" s="6"/>
      <c r="CTI23" s="6"/>
      <c r="CTJ23" s="6"/>
      <c r="CTK23" s="6"/>
      <c r="CTL23" s="6"/>
      <c r="CTM23" s="6"/>
      <c r="CTN23" s="6"/>
      <c r="CTO23" s="6"/>
      <c r="CTP23" s="6"/>
      <c r="CTQ23" s="6"/>
      <c r="CTR23" s="6"/>
      <c r="CTS23" s="6"/>
      <c r="CTT23" s="6"/>
      <c r="CTU23" s="6"/>
      <c r="CTV23" s="6"/>
      <c r="CTW23" s="6"/>
      <c r="CTX23" s="6"/>
      <c r="CTY23" s="6"/>
      <c r="CTZ23" s="6"/>
      <c r="CUA23" s="6"/>
      <c r="CUB23" s="6"/>
      <c r="CUC23" s="6"/>
      <c r="CUD23" s="6"/>
      <c r="CUE23" s="6"/>
      <c r="CUF23" s="6"/>
      <c r="CUG23" s="6"/>
      <c r="CUH23" s="6"/>
      <c r="CUI23" s="6"/>
      <c r="CUJ23" s="6"/>
      <c r="CUK23" s="6"/>
      <c r="CUL23" s="6"/>
      <c r="CUM23" s="6"/>
      <c r="CUN23" s="6"/>
      <c r="CUO23" s="6"/>
      <c r="CUP23" s="6"/>
      <c r="CUQ23" s="6"/>
      <c r="CUR23" s="6"/>
      <c r="CUS23" s="6"/>
      <c r="CUT23" s="6"/>
      <c r="CUU23" s="6"/>
      <c r="CUV23" s="6"/>
      <c r="CUW23" s="6"/>
      <c r="CUX23" s="6"/>
      <c r="CUY23" s="6"/>
      <c r="CUZ23" s="6"/>
      <c r="CVA23" s="6"/>
      <c r="CVB23" s="6"/>
      <c r="CVC23" s="6"/>
      <c r="CVD23" s="6"/>
      <c r="CVE23" s="6"/>
      <c r="CVF23" s="6"/>
      <c r="CVG23" s="6"/>
      <c r="CVH23" s="6"/>
      <c r="CVI23" s="6"/>
      <c r="CVJ23" s="6"/>
      <c r="CVK23" s="6"/>
      <c r="CVL23" s="6"/>
      <c r="CVM23" s="6"/>
      <c r="CVN23" s="6"/>
      <c r="CVO23" s="6"/>
      <c r="CVP23" s="6"/>
      <c r="CVQ23" s="6"/>
      <c r="CVR23" s="6"/>
      <c r="CVS23" s="6"/>
      <c r="CVT23" s="6"/>
      <c r="CVU23" s="6"/>
      <c r="CVV23" s="6"/>
      <c r="CVW23" s="6"/>
      <c r="CVX23" s="6"/>
      <c r="CVY23" s="6"/>
      <c r="CVZ23" s="6"/>
      <c r="CWA23" s="6"/>
      <c r="CWB23" s="6"/>
      <c r="CWC23" s="6"/>
      <c r="CWD23" s="6"/>
      <c r="CWE23" s="6"/>
      <c r="CWF23" s="6"/>
      <c r="CWG23" s="6"/>
      <c r="CWH23" s="6"/>
      <c r="CWI23" s="6"/>
      <c r="CWJ23" s="6"/>
      <c r="CWK23" s="6"/>
      <c r="CWL23" s="6"/>
      <c r="CWM23" s="6"/>
      <c r="CWN23" s="6"/>
      <c r="CWO23" s="6"/>
      <c r="CWP23" s="6"/>
      <c r="CWQ23" s="6"/>
      <c r="CWR23" s="6"/>
      <c r="CWS23" s="6"/>
      <c r="CWT23" s="6"/>
      <c r="CWU23" s="6"/>
      <c r="CWV23" s="6"/>
      <c r="CWW23" s="6"/>
      <c r="CWX23" s="6"/>
      <c r="CWY23" s="6"/>
      <c r="CWZ23" s="6"/>
      <c r="CXA23" s="6"/>
      <c r="CXB23" s="6"/>
      <c r="CXC23" s="6"/>
      <c r="CXD23" s="6"/>
      <c r="CXE23" s="6"/>
      <c r="CXF23" s="6"/>
      <c r="CXG23" s="6"/>
      <c r="CXH23" s="6"/>
      <c r="CXI23" s="6"/>
      <c r="CXJ23" s="6"/>
      <c r="CXK23" s="6"/>
      <c r="CXL23" s="6"/>
      <c r="CXM23" s="6"/>
      <c r="CXN23" s="6"/>
      <c r="CXO23" s="6"/>
      <c r="CXP23" s="6"/>
      <c r="CXQ23" s="6"/>
      <c r="CXR23" s="6"/>
      <c r="CXS23" s="6"/>
      <c r="CXT23" s="6"/>
      <c r="CXU23" s="6"/>
      <c r="CXV23" s="6"/>
      <c r="CXW23" s="6"/>
      <c r="CXX23" s="6"/>
      <c r="CXY23" s="6"/>
      <c r="CXZ23" s="6"/>
      <c r="CYA23" s="6"/>
      <c r="CYB23" s="6"/>
      <c r="CYC23" s="6"/>
      <c r="CYD23" s="6"/>
      <c r="CYE23" s="6"/>
      <c r="CYF23" s="6"/>
      <c r="CYG23" s="6"/>
      <c r="CYH23" s="6"/>
      <c r="CYI23" s="6"/>
      <c r="CYJ23" s="6"/>
      <c r="CYK23" s="6"/>
      <c r="CYL23" s="6"/>
      <c r="CYM23" s="6"/>
      <c r="CYN23" s="6"/>
      <c r="CYO23" s="6"/>
      <c r="CYP23" s="6"/>
      <c r="CYQ23" s="6"/>
      <c r="CYR23" s="6"/>
      <c r="CYS23" s="6"/>
      <c r="CYT23" s="6"/>
      <c r="CYU23" s="6"/>
      <c r="CYV23" s="6"/>
      <c r="CYW23" s="6"/>
      <c r="CYX23" s="6"/>
      <c r="CYY23" s="6"/>
      <c r="CYZ23" s="6"/>
      <c r="CZA23" s="6"/>
      <c r="CZB23" s="6"/>
      <c r="CZC23" s="6"/>
      <c r="CZD23" s="6"/>
      <c r="CZE23" s="6"/>
      <c r="CZF23" s="6"/>
      <c r="CZG23" s="6"/>
      <c r="CZH23" s="6"/>
      <c r="CZI23" s="6"/>
      <c r="CZJ23" s="6"/>
      <c r="CZK23" s="6"/>
      <c r="CZL23" s="6"/>
      <c r="CZM23" s="6"/>
      <c r="CZN23" s="6"/>
      <c r="CZO23" s="6"/>
      <c r="CZP23" s="6"/>
      <c r="CZQ23" s="6"/>
      <c r="CZR23" s="6"/>
      <c r="CZS23" s="6"/>
      <c r="CZT23" s="6"/>
      <c r="CZU23" s="6"/>
      <c r="CZV23" s="6"/>
      <c r="CZW23" s="6"/>
      <c r="CZX23" s="6"/>
      <c r="CZY23" s="6"/>
      <c r="CZZ23" s="6"/>
      <c r="DAA23" s="6"/>
      <c r="DAB23" s="6"/>
      <c r="DAC23" s="6"/>
      <c r="DAD23" s="6"/>
      <c r="DAE23" s="6"/>
      <c r="DAF23" s="6"/>
      <c r="DAG23" s="6"/>
      <c r="DAH23" s="6"/>
      <c r="DAI23" s="6"/>
      <c r="DAJ23" s="6"/>
      <c r="DAK23" s="6"/>
      <c r="DAL23" s="6"/>
      <c r="DAM23" s="6"/>
      <c r="DAN23" s="6"/>
      <c r="DAO23" s="6"/>
      <c r="DAP23" s="6"/>
      <c r="DAQ23" s="6"/>
      <c r="DAR23" s="6"/>
      <c r="DAS23" s="6"/>
      <c r="DAT23" s="6"/>
      <c r="DAU23" s="6"/>
      <c r="DAV23" s="6"/>
      <c r="DAW23" s="6"/>
      <c r="DAX23" s="6"/>
      <c r="DAY23" s="6"/>
      <c r="DAZ23" s="6"/>
      <c r="DBA23" s="6"/>
      <c r="DBB23" s="6"/>
      <c r="DBC23" s="6"/>
      <c r="DBD23" s="6"/>
      <c r="DBE23" s="6"/>
      <c r="DBF23" s="6"/>
      <c r="DBG23" s="6"/>
      <c r="DBH23" s="6"/>
      <c r="DBI23" s="6"/>
      <c r="DBJ23" s="6"/>
      <c r="DBK23" s="6"/>
      <c r="DBL23" s="6"/>
      <c r="DBM23" s="6"/>
      <c r="DBN23" s="6"/>
      <c r="DBO23" s="6"/>
      <c r="DBP23" s="6"/>
      <c r="DBQ23" s="6"/>
      <c r="DBR23" s="6"/>
      <c r="DBS23" s="6"/>
      <c r="DBT23" s="6"/>
      <c r="DBU23" s="6"/>
      <c r="DBV23" s="6"/>
      <c r="DBW23" s="6"/>
      <c r="DBX23" s="6"/>
      <c r="DBY23" s="6"/>
      <c r="DBZ23" s="6"/>
      <c r="DCA23" s="6"/>
      <c r="DCB23" s="6"/>
      <c r="DCC23" s="6"/>
      <c r="DCD23" s="6"/>
      <c r="DCE23" s="6"/>
      <c r="DCF23" s="6"/>
      <c r="DCG23" s="6"/>
      <c r="DCH23" s="6"/>
      <c r="DCI23" s="6"/>
      <c r="DCJ23" s="6"/>
      <c r="DCK23" s="6"/>
      <c r="DCL23" s="6"/>
      <c r="DCM23" s="6"/>
      <c r="DCN23" s="6"/>
      <c r="DCO23" s="6"/>
      <c r="DCP23" s="6"/>
      <c r="DCQ23" s="6"/>
      <c r="DCR23" s="6"/>
      <c r="DCS23" s="6"/>
      <c r="DCT23" s="6"/>
      <c r="DCU23" s="6"/>
      <c r="DCV23" s="6"/>
      <c r="DCW23" s="6"/>
      <c r="DCX23" s="6"/>
      <c r="DCY23" s="6"/>
      <c r="DCZ23" s="6"/>
      <c r="DDA23" s="6"/>
      <c r="DDB23" s="6"/>
      <c r="DDC23" s="6"/>
      <c r="DDD23" s="6"/>
      <c r="DDE23" s="6"/>
      <c r="DDF23" s="6"/>
      <c r="DDG23" s="6"/>
      <c r="DDH23" s="6"/>
      <c r="DDI23" s="6"/>
      <c r="DDJ23" s="6"/>
      <c r="DDK23" s="6"/>
      <c r="DDL23" s="6"/>
      <c r="DDM23" s="6"/>
      <c r="DDN23" s="6"/>
      <c r="DDO23" s="6"/>
      <c r="DDP23" s="6"/>
      <c r="DDQ23" s="6"/>
      <c r="DDR23" s="6"/>
      <c r="DDS23" s="6"/>
      <c r="DDT23" s="6"/>
      <c r="DDU23" s="6"/>
      <c r="DDV23" s="6"/>
      <c r="DDW23" s="6"/>
      <c r="DDX23" s="6"/>
      <c r="DDY23" s="6"/>
      <c r="DDZ23" s="6"/>
      <c r="DEA23" s="6"/>
      <c r="DEB23" s="6"/>
      <c r="DEC23" s="6"/>
      <c r="DED23" s="6"/>
      <c r="DEE23" s="6"/>
      <c r="DEF23" s="6"/>
      <c r="DEG23" s="6"/>
      <c r="DEH23" s="6"/>
      <c r="DEI23" s="6"/>
      <c r="DEJ23" s="6"/>
      <c r="DEK23" s="6"/>
      <c r="DEL23" s="6"/>
      <c r="DEM23" s="6"/>
      <c r="DEN23" s="6"/>
      <c r="DEO23" s="6"/>
      <c r="DEP23" s="6"/>
      <c r="DEQ23" s="6"/>
      <c r="DER23" s="6"/>
      <c r="DES23" s="6"/>
      <c r="DET23" s="6"/>
      <c r="DEU23" s="6"/>
      <c r="DEV23" s="6"/>
      <c r="DEW23" s="6"/>
      <c r="DEX23" s="6"/>
      <c r="DEY23" s="6"/>
      <c r="DEZ23" s="6"/>
      <c r="DFA23" s="6"/>
      <c r="DFB23" s="6"/>
      <c r="DFC23" s="6"/>
      <c r="DFD23" s="6"/>
      <c r="DFE23" s="6"/>
      <c r="DFF23" s="6"/>
      <c r="DFG23" s="6"/>
      <c r="DFH23" s="6"/>
      <c r="DFI23" s="6"/>
      <c r="DFJ23" s="6"/>
      <c r="DFK23" s="6"/>
      <c r="DFL23" s="6"/>
      <c r="DFM23" s="6"/>
      <c r="DFN23" s="6"/>
      <c r="DFO23" s="6"/>
      <c r="DFP23" s="6"/>
      <c r="DFQ23" s="6"/>
      <c r="DFR23" s="6"/>
      <c r="DFS23" s="6"/>
      <c r="DFT23" s="6"/>
      <c r="DFU23" s="6"/>
      <c r="DFV23" s="6"/>
      <c r="DFW23" s="6"/>
      <c r="DFX23" s="6"/>
      <c r="DFY23" s="6"/>
      <c r="DFZ23" s="6"/>
      <c r="DGA23" s="6"/>
      <c r="DGB23" s="6"/>
      <c r="DGC23" s="6"/>
      <c r="DGD23" s="6"/>
      <c r="DGE23" s="6"/>
      <c r="DGF23" s="6"/>
      <c r="DGG23" s="6"/>
      <c r="DGH23" s="6"/>
      <c r="DGI23" s="6"/>
      <c r="DGJ23" s="6"/>
      <c r="DGK23" s="6"/>
      <c r="DGL23" s="6"/>
      <c r="DGM23" s="6"/>
      <c r="DGN23" s="6"/>
      <c r="DGO23" s="6"/>
      <c r="DGP23" s="6"/>
      <c r="DGQ23" s="6"/>
      <c r="DGR23" s="6"/>
      <c r="DGS23" s="6"/>
      <c r="DGT23" s="6"/>
      <c r="DGU23" s="6"/>
      <c r="DGV23" s="6"/>
      <c r="DGW23" s="6"/>
      <c r="DGX23" s="6"/>
      <c r="DGY23" s="6"/>
      <c r="DGZ23" s="6"/>
      <c r="DHA23" s="6"/>
      <c r="DHB23" s="6"/>
      <c r="DHC23" s="6"/>
      <c r="DHD23" s="6"/>
      <c r="DHE23" s="6"/>
      <c r="DHF23" s="6"/>
      <c r="DHG23" s="6"/>
      <c r="DHH23" s="6"/>
      <c r="DHI23" s="6"/>
      <c r="DHJ23" s="6"/>
      <c r="DHK23" s="6"/>
      <c r="DHL23" s="6"/>
      <c r="DHM23" s="6"/>
      <c r="DHN23" s="6"/>
      <c r="DHO23" s="6"/>
      <c r="DHP23" s="6"/>
      <c r="DHQ23" s="6"/>
      <c r="DHR23" s="6"/>
      <c r="DHS23" s="6"/>
      <c r="DHT23" s="6"/>
      <c r="DHU23" s="6"/>
      <c r="DHV23" s="6"/>
      <c r="DHW23" s="6"/>
      <c r="DHX23" s="6"/>
      <c r="DHY23" s="6"/>
      <c r="DHZ23" s="6"/>
      <c r="DIA23" s="6"/>
      <c r="DIB23" s="6"/>
      <c r="DIC23" s="6"/>
      <c r="DID23" s="6"/>
      <c r="DIE23" s="6"/>
      <c r="DIF23" s="6"/>
      <c r="DIG23" s="6"/>
      <c r="DIH23" s="6"/>
      <c r="DII23" s="6"/>
      <c r="DIJ23" s="6"/>
      <c r="DIK23" s="6"/>
      <c r="DIL23" s="6"/>
      <c r="DIM23" s="6"/>
      <c r="DIN23" s="6"/>
      <c r="DIO23" s="6"/>
      <c r="DIP23" s="6"/>
      <c r="DIQ23" s="6"/>
      <c r="DIR23" s="6"/>
      <c r="DIS23" s="6"/>
      <c r="DIT23" s="6"/>
      <c r="DIU23" s="6"/>
      <c r="DIV23" s="6"/>
      <c r="DIW23" s="6"/>
      <c r="DIX23" s="6"/>
      <c r="DIY23" s="6"/>
      <c r="DIZ23" s="6"/>
      <c r="DJA23" s="6"/>
      <c r="DJB23" s="6"/>
      <c r="DJC23" s="6"/>
      <c r="DJD23" s="6"/>
      <c r="DJE23" s="6"/>
      <c r="DJF23" s="6"/>
      <c r="DJG23" s="6"/>
      <c r="DJH23" s="6"/>
      <c r="DJI23" s="6"/>
      <c r="DJJ23" s="6"/>
      <c r="DJK23" s="6"/>
      <c r="DJL23" s="6"/>
      <c r="DJM23" s="6"/>
      <c r="DJN23" s="6"/>
      <c r="DJO23" s="6"/>
      <c r="DJP23" s="6"/>
      <c r="DJQ23" s="6"/>
      <c r="DJR23" s="6"/>
      <c r="DJS23" s="6"/>
      <c r="DJT23" s="6"/>
      <c r="DJU23" s="6"/>
      <c r="DJV23" s="6"/>
      <c r="DJW23" s="6"/>
      <c r="DJX23" s="6"/>
      <c r="DJY23" s="6"/>
      <c r="DJZ23" s="6"/>
      <c r="DKA23" s="6"/>
      <c r="DKB23" s="6"/>
      <c r="DKC23" s="6"/>
      <c r="DKD23" s="6"/>
      <c r="DKE23" s="6"/>
      <c r="DKF23" s="6"/>
      <c r="DKG23" s="6"/>
      <c r="DKH23" s="6"/>
      <c r="DKI23" s="6"/>
      <c r="DKJ23" s="6"/>
      <c r="DKK23" s="6"/>
      <c r="DKL23" s="6"/>
      <c r="DKM23" s="6"/>
      <c r="DKN23" s="6"/>
      <c r="DKO23" s="6"/>
      <c r="DKP23" s="6"/>
      <c r="DKQ23" s="6"/>
      <c r="DKR23" s="6"/>
      <c r="DKS23" s="6"/>
      <c r="DKT23" s="6"/>
      <c r="DKU23" s="6"/>
      <c r="DKV23" s="6"/>
      <c r="DKW23" s="6"/>
      <c r="DKX23" s="6"/>
      <c r="DKY23" s="6"/>
      <c r="DKZ23" s="6"/>
      <c r="DLA23" s="6"/>
      <c r="DLB23" s="6"/>
      <c r="DLC23" s="6"/>
      <c r="DLD23" s="6"/>
      <c r="DLE23" s="6"/>
      <c r="DLF23" s="6"/>
      <c r="DLG23" s="6"/>
      <c r="DLH23" s="6"/>
      <c r="DLI23" s="6"/>
      <c r="DLJ23" s="6"/>
      <c r="DLK23" s="6"/>
      <c r="DLL23" s="6"/>
      <c r="DLM23" s="6"/>
      <c r="DLN23" s="6"/>
      <c r="DLO23" s="6"/>
      <c r="DLP23" s="6"/>
      <c r="DLQ23" s="6"/>
      <c r="DLR23" s="6"/>
      <c r="DLS23" s="6"/>
      <c r="DLT23" s="6"/>
      <c r="DLU23" s="6"/>
      <c r="DLV23" s="6"/>
      <c r="DLW23" s="6"/>
      <c r="DLX23" s="6"/>
      <c r="DLY23" s="6"/>
      <c r="DLZ23" s="6"/>
      <c r="DMA23" s="6"/>
      <c r="DMB23" s="6"/>
      <c r="DMC23" s="6"/>
      <c r="DMD23" s="6"/>
      <c r="DME23" s="6"/>
      <c r="DMF23" s="6"/>
      <c r="DMG23" s="6"/>
      <c r="DMH23" s="6"/>
      <c r="DMI23" s="6"/>
      <c r="DMJ23" s="6"/>
      <c r="DMK23" s="6"/>
      <c r="DML23" s="6"/>
      <c r="DMM23" s="6"/>
      <c r="DMN23" s="6"/>
      <c r="DMO23" s="6"/>
      <c r="DMP23" s="6"/>
      <c r="DMQ23" s="6"/>
      <c r="DMR23" s="6"/>
      <c r="DMS23" s="6"/>
      <c r="DMT23" s="6"/>
      <c r="DMU23" s="6"/>
      <c r="DMV23" s="6"/>
      <c r="DMW23" s="6"/>
      <c r="DMX23" s="6"/>
      <c r="DMY23" s="6"/>
      <c r="DMZ23" s="6"/>
      <c r="DNA23" s="6"/>
      <c r="DNB23" s="6"/>
      <c r="DNC23" s="6"/>
      <c r="DND23" s="6"/>
      <c r="DNE23" s="6"/>
      <c r="DNF23" s="6"/>
      <c r="DNG23" s="6"/>
      <c r="DNH23" s="6"/>
      <c r="DNI23" s="6"/>
      <c r="DNJ23" s="6"/>
      <c r="DNK23" s="6"/>
      <c r="DNL23" s="6"/>
      <c r="DNM23" s="6"/>
      <c r="DNN23" s="6"/>
      <c r="DNO23" s="6"/>
      <c r="DNP23" s="6"/>
      <c r="DNQ23" s="6"/>
      <c r="DNR23" s="6"/>
      <c r="DNS23" s="6"/>
      <c r="DNT23" s="6"/>
      <c r="DNU23" s="6"/>
      <c r="DNV23" s="6"/>
      <c r="DNW23" s="6"/>
      <c r="DNX23" s="6"/>
      <c r="DNY23" s="6"/>
      <c r="DNZ23" s="6"/>
      <c r="DOA23" s="6"/>
      <c r="DOB23" s="6"/>
      <c r="DOC23" s="6"/>
      <c r="DOD23" s="6"/>
      <c r="DOE23" s="6"/>
      <c r="DOF23" s="6"/>
      <c r="DOG23" s="6"/>
      <c r="DOH23" s="6"/>
      <c r="DOI23" s="6"/>
      <c r="DOJ23" s="6"/>
      <c r="DOK23" s="6"/>
      <c r="DOL23" s="6"/>
      <c r="DOM23" s="6"/>
      <c r="DON23" s="6"/>
      <c r="DOO23" s="6"/>
      <c r="DOP23" s="6"/>
      <c r="DOQ23" s="6"/>
      <c r="DOR23" s="6"/>
      <c r="DOS23" s="6"/>
      <c r="DOT23" s="6"/>
      <c r="DOU23" s="6"/>
      <c r="DOV23" s="6"/>
      <c r="DOW23" s="6"/>
      <c r="DOX23" s="6"/>
      <c r="DOY23" s="6"/>
      <c r="DOZ23" s="6"/>
      <c r="DPA23" s="6"/>
      <c r="DPB23" s="6"/>
      <c r="DPC23" s="6"/>
      <c r="DPD23" s="6"/>
      <c r="DPE23" s="6"/>
      <c r="DPF23" s="6"/>
      <c r="DPG23" s="6"/>
      <c r="DPH23" s="6"/>
      <c r="DPI23" s="6"/>
      <c r="DPJ23" s="6"/>
      <c r="DPK23" s="6"/>
      <c r="DPL23" s="6"/>
      <c r="DPM23" s="6"/>
      <c r="DPN23" s="6"/>
      <c r="DPO23" s="6"/>
      <c r="DPP23" s="6"/>
      <c r="DPQ23" s="6"/>
      <c r="DPR23" s="6"/>
      <c r="DPS23" s="6"/>
      <c r="DPT23" s="6"/>
      <c r="DPU23" s="6"/>
      <c r="DPV23" s="6"/>
      <c r="DPW23" s="6"/>
      <c r="DPX23" s="6"/>
      <c r="DPY23" s="6"/>
      <c r="DPZ23" s="6"/>
      <c r="DQA23" s="6"/>
      <c r="DQB23" s="6"/>
      <c r="DQC23" s="6"/>
      <c r="DQD23" s="6"/>
      <c r="DQE23" s="6"/>
      <c r="DQF23" s="6"/>
      <c r="DQG23" s="6"/>
      <c r="DQH23" s="6"/>
      <c r="DQI23" s="6"/>
      <c r="DQJ23" s="6"/>
      <c r="DQK23" s="6"/>
      <c r="DQL23" s="6"/>
      <c r="DQM23" s="6"/>
      <c r="DQN23" s="6"/>
      <c r="DQO23" s="6"/>
      <c r="DQP23" s="6"/>
      <c r="DQQ23" s="6"/>
      <c r="DQR23" s="6"/>
      <c r="DQS23" s="6"/>
      <c r="DQT23" s="6"/>
      <c r="DQU23" s="6"/>
      <c r="DQV23" s="6"/>
      <c r="DQW23" s="6"/>
      <c r="DQX23" s="6"/>
      <c r="DQY23" s="6"/>
      <c r="DQZ23" s="6"/>
      <c r="DRA23" s="6"/>
      <c r="DRB23" s="6"/>
      <c r="DRC23" s="6"/>
      <c r="DRD23" s="6"/>
      <c r="DRE23" s="6"/>
      <c r="DRF23" s="6"/>
      <c r="DRG23" s="6"/>
      <c r="DRH23" s="6"/>
      <c r="DRI23" s="6"/>
      <c r="DRJ23" s="6"/>
      <c r="DRK23" s="6"/>
      <c r="DRL23" s="6"/>
      <c r="DRM23" s="6"/>
      <c r="DRN23" s="6"/>
      <c r="DRO23" s="6"/>
      <c r="DRP23" s="6"/>
      <c r="DRQ23" s="6"/>
      <c r="DRR23" s="6"/>
      <c r="DRS23" s="6"/>
      <c r="DRT23" s="6"/>
      <c r="DRU23" s="6"/>
      <c r="DRV23" s="6"/>
      <c r="DRW23" s="6"/>
      <c r="DRX23" s="6"/>
      <c r="DRY23" s="6"/>
      <c r="DRZ23" s="6"/>
      <c r="DSA23" s="6"/>
      <c r="DSB23" s="6"/>
      <c r="DSC23" s="6"/>
      <c r="DSD23" s="6"/>
      <c r="DSE23" s="6"/>
      <c r="DSF23" s="6"/>
      <c r="DSG23" s="6"/>
      <c r="DSH23" s="6"/>
      <c r="DSI23" s="6"/>
      <c r="DSJ23" s="6"/>
      <c r="DSK23" s="6"/>
      <c r="DSL23" s="6"/>
      <c r="DSM23" s="6"/>
      <c r="DSN23" s="6"/>
      <c r="DSO23" s="6"/>
      <c r="DSP23" s="6"/>
      <c r="DSQ23" s="6"/>
      <c r="DSR23" s="6"/>
      <c r="DSS23" s="6"/>
      <c r="DST23" s="6"/>
      <c r="DSU23" s="6"/>
      <c r="DSV23" s="6"/>
      <c r="DSW23" s="6"/>
      <c r="DSX23" s="6"/>
      <c r="DSY23" s="6"/>
      <c r="DSZ23" s="6"/>
      <c r="DTA23" s="6"/>
      <c r="DTB23" s="6"/>
      <c r="DTC23" s="6"/>
      <c r="DTD23" s="6"/>
      <c r="DTE23" s="6"/>
      <c r="DTF23" s="6"/>
      <c r="DTG23" s="6"/>
      <c r="DTH23" s="6"/>
      <c r="DTI23" s="6"/>
      <c r="DTJ23" s="6"/>
      <c r="DTK23" s="6"/>
      <c r="DTL23" s="6"/>
      <c r="DTM23" s="6"/>
      <c r="DTN23" s="6"/>
      <c r="DTO23" s="6"/>
      <c r="DTP23" s="6"/>
      <c r="DTQ23" s="6"/>
      <c r="DTR23" s="6"/>
      <c r="DTS23" s="6"/>
      <c r="DTT23" s="6"/>
      <c r="DTU23" s="6"/>
      <c r="DTV23" s="6"/>
      <c r="DTW23" s="6"/>
      <c r="DTX23" s="6"/>
      <c r="DTY23" s="6"/>
      <c r="DTZ23" s="6"/>
      <c r="DUA23" s="6"/>
      <c r="DUB23" s="6"/>
      <c r="DUC23" s="6"/>
      <c r="DUD23" s="6"/>
      <c r="DUE23" s="6"/>
      <c r="DUF23" s="6"/>
      <c r="DUG23" s="6"/>
      <c r="DUH23" s="6"/>
      <c r="DUI23" s="6"/>
      <c r="DUJ23" s="6"/>
      <c r="DUK23" s="6"/>
      <c r="DUL23" s="6"/>
      <c r="DUM23" s="6"/>
      <c r="DUN23" s="6"/>
      <c r="DUO23" s="6"/>
      <c r="DUP23" s="6"/>
      <c r="DUQ23" s="6"/>
      <c r="DUR23" s="6"/>
      <c r="DUS23" s="6"/>
      <c r="DUT23" s="6"/>
      <c r="DUU23" s="6"/>
      <c r="DUV23" s="6"/>
      <c r="DUW23" s="6"/>
      <c r="DUX23" s="6"/>
      <c r="DUY23" s="6"/>
      <c r="DUZ23" s="6"/>
      <c r="DVA23" s="6"/>
      <c r="DVB23" s="6"/>
      <c r="DVC23" s="6"/>
      <c r="DVD23" s="6"/>
      <c r="DVE23" s="6"/>
      <c r="DVF23" s="6"/>
      <c r="DVG23" s="6"/>
      <c r="DVH23" s="6"/>
      <c r="DVI23" s="6"/>
      <c r="DVJ23" s="6"/>
      <c r="DVK23" s="6"/>
      <c r="DVL23" s="6"/>
      <c r="DVM23" s="6"/>
      <c r="DVN23" s="6"/>
      <c r="DVO23" s="6"/>
      <c r="DVP23" s="6"/>
      <c r="DVQ23" s="6"/>
      <c r="DVR23" s="6"/>
      <c r="DVS23" s="6"/>
      <c r="DVT23" s="6"/>
      <c r="DVU23" s="6"/>
      <c r="DVV23" s="6"/>
      <c r="DVW23" s="6"/>
      <c r="DVX23" s="6"/>
      <c r="DVY23" s="6"/>
      <c r="DVZ23" s="6"/>
      <c r="DWA23" s="6"/>
      <c r="DWB23" s="6"/>
      <c r="DWC23" s="6"/>
      <c r="DWD23" s="6"/>
      <c r="DWE23" s="6"/>
      <c r="DWF23" s="6"/>
      <c r="DWG23" s="6"/>
      <c r="DWH23" s="6"/>
      <c r="DWI23" s="6"/>
      <c r="DWJ23" s="6"/>
      <c r="DWK23" s="6"/>
      <c r="DWL23" s="6"/>
      <c r="DWM23" s="6"/>
      <c r="DWN23" s="6"/>
      <c r="DWO23" s="6"/>
      <c r="DWP23" s="6"/>
      <c r="DWQ23" s="6"/>
      <c r="DWR23" s="6"/>
      <c r="DWS23" s="6"/>
      <c r="DWT23" s="6"/>
      <c r="DWU23" s="6"/>
      <c r="DWV23" s="6"/>
      <c r="DWW23" s="6"/>
      <c r="DWX23" s="6"/>
      <c r="DWY23" s="6"/>
      <c r="DWZ23" s="6"/>
      <c r="DXA23" s="6"/>
      <c r="DXB23" s="6"/>
      <c r="DXC23" s="6"/>
      <c r="DXD23" s="6"/>
      <c r="DXE23" s="6"/>
      <c r="DXF23" s="6"/>
      <c r="DXG23" s="6"/>
      <c r="DXH23" s="6"/>
      <c r="DXI23" s="6"/>
      <c r="DXJ23" s="6"/>
      <c r="DXK23" s="6"/>
      <c r="DXL23" s="6"/>
      <c r="DXM23" s="6"/>
      <c r="DXN23" s="6"/>
      <c r="DXO23" s="6"/>
      <c r="DXP23" s="6"/>
      <c r="DXQ23" s="6"/>
      <c r="DXR23" s="6"/>
      <c r="DXS23" s="6"/>
      <c r="DXT23" s="6"/>
      <c r="DXU23" s="6"/>
      <c r="DXV23" s="6"/>
      <c r="DXW23" s="6"/>
      <c r="DXX23" s="6"/>
      <c r="DXY23" s="6"/>
      <c r="DXZ23" s="6"/>
      <c r="DYA23" s="6"/>
      <c r="DYB23" s="6"/>
      <c r="DYC23" s="6"/>
      <c r="DYD23" s="6"/>
      <c r="DYE23" s="6"/>
      <c r="DYF23" s="6"/>
      <c r="DYG23" s="6"/>
      <c r="DYH23" s="6"/>
      <c r="DYI23" s="6"/>
      <c r="DYJ23" s="6"/>
      <c r="DYK23" s="6"/>
      <c r="DYL23" s="6"/>
      <c r="DYM23" s="6"/>
      <c r="DYN23" s="6"/>
      <c r="DYO23" s="6"/>
      <c r="DYP23" s="6"/>
      <c r="DYQ23" s="6"/>
      <c r="DYR23" s="6"/>
      <c r="DYS23" s="6"/>
      <c r="DYT23" s="6"/>
      <c r="DYU23" s="6"/>
      <c r="DYV23" s="6"/>
      <c r="DYW23" s="6"/>
      <c r="DYX23" s="6"/>
      <c r="DYY23" s="6"/>
      <c r="DYZ23" s="6"/>
      <c r="DZA23" s="6"/>
      <c r="DZB23" s="6"/>
      <c r="DZC23" s="6"/>
      <c r="DZD23" s="6"/>
      <c r="DZE23" s="6"/>
      <c r="DZF23" s="6"/>
      <c r="DZG23" s="6"/>
      <c r="DZH23" s="6"/>
      <c r="DZI23" s="6"/>
      <c r="DZJ23" s="6"/>
      <c r="DZK23" s="6"/>
      <c r="DZL23" s="6"/>
      <c r="DZM23" s="6"/>
      <c r="DZN23" s="6"/>
      <c r="DZO23" s="6"/>
      <c r="DZP23" s="6"/>
      <c r="DZQ23" s="6"/>
      <c r="DZR23" s="6"/>
      <c r="DZS23" s="6"/>
      <c r="DZT23" s="6"/>
      <c r="DZU23" s="6"/>
      <c r="DZV23" s="6"/>
      <c r="DZW23" s="6"/>
      <c r="DZX23" s="6"/>
      <c r="DZY23" s="6"/>
      <c r="DZZ23" s="6"/>
      <c r="EAA23" s="6"/>
      <c r="EAB23" s="6"/>
      <c r="EAC23" s="6"/>
      <c r="EAD23" s="6"/>
      <c r="EAE23" s="6"/>
      <c r="EAF23" s="6"/>
      <c r="EAG23" s="6"/>
      <c r="EAH23" s="6"/>
      <c r="EAI23" s="6"/>
      <c r="EAJ23" s="6"/>
      <c r="EAK23" s="6"/>
      <c r="EAL23" s="6"/>
      <c r="EAM23" s="6"/>
      <c r="EAN23" s="6"/>
      <c r="EAO23" s="6"/>
      <c r="EAP23" s="6"/>
      <c r="EAQ23" s="6"/>
      <c r="EAR23" s="6"/>
      <c r="EAS23" s="6"/>
      <c r="EAT23" s="6"/>
      <c r="EAU23" s="6"/>
      <c r="EAV23" s="6"/>
      <c r="EAW23" s="6"/>
      <c r="EAX23" s="6"/>
      <c r="EAY23" s="6"/>
      <c r="EAZ23" s="6"/>
      <c r="EBA23" s="6"/>
      <c r="EBB23" s="6"/>
      <c r="EBC23" s="6"/>
      <c r="EBD23" s="6"/>
      <c r="EBE23" s="6"/>
      <c r="EBF23" s="6"/>
      <c r="EBG23" s="6"/>
      <c r="EBH23" s="6"/>
      <c r="EBI23" s="6"/>
      <c r="EBJ23" s="6"/>
      <c r="EBK23" s="6"/>
      <c r="EBL23" s="6"/>
      <c r="EBM23" s="6"/>
      <c r="EBN23" s="6"/>
      <c r="EBO23" s="6"/>
      <c r="EBP23" s="6"/>
      <c r="EBQ23" s="6"/>
      <c r="EBR23" s="6"/>
      <c r="EBS23" s="6"/>
      <c r="EBT23" s="6"/>
      <c r="EBU23" s="6"/>
      <c r="EBV23" s="6"/>
      <c r="EBW23" s="6"/>
      <c r="EBX23" s="6"/>
      <c r="EBY23" s="6"/>
      <c r="EBZ23" s="6"/>
      <c r="ECA23" s="6"/>
      <c r="ECB23" s="6"/>
      <c r="ECC23" s="6"/>
      <c r="ECD23" s="6"/>
      <c r="ECE23" s="6"/>
      <c r="ECF23" s="6"/>
      <c r="ECG23" s="6"/>
      <c r="ECH23" s="6"/>
      <c r="ECI23" s="6"/>
      <c r="ECJ23" s="6"/>
      <c r="ECK23" s="6"/>
      <c r="ECL23" s="6"/>
      <c r="ECM23" s="6"/>
      <c r="ECN23" s="6"/>
      <c r="ECO23" s="6"/>
      <c r="ECP23" s="6"/>
      <c r="ECQ23" s="6"/>
      <c r="ECR23" s="6"/>
      <c r="ECS23" s="6"/>
      <c r="ECT23" s="6"/>
      <c r="ECU23" s="6"/>
      <c r="ECV23" s="6"/>
      <c r="ECW23" s="6"/>
      <c r="ECX23" s="6"/>
      <c r="ECY23" s="6"/>
      <c r="ECZ23" s="6"/>
      <c r="EDA23" s="6"/>
      <c r="EDB23" s="6"/>
      <c r="EDC23" s="6"/>
      <c r="EDD23" s="6"/>
      <c r="EDE23" s="6"/>
      <c r="EDF23" s="6"/>
      <c r="EDG23" s="6"/>
      <c r="EDH23" s="6"/>
      <c r="EDI23" s="6"/>
      <c r="EDJ23" s="6"/>
      <c r="EDK23" s="6"/>
      <c r="EDL23" s="6"/>
      <c r="EDM23" s="6"/>
      <c r="EDN23" s="6"/>
      <c r="EDO23" s="6"/>
      <c r="EDP23" s="6"/>
      <c r="EDQ23" s="6"/>
      <c r="EDR23" s="6"/>
      <c r="EDS23" s="6"/>
      <c r="EDT23" s="6"/>
      <c r="EDU23" s="6"/>
      <c r="EDV23" s="6"/>
      <c r="EDW23" s="6"/>
      <c r="EDX23" s="6"/>
      <c r="EDY23" s="6"/>
      <c r="EDZ23" s="6"/>
      <c r="EEA23" s="6"/>
      <c r="EEB23" s="6"/>
      <c r="EEC23" s="6"/>
      <c r="EED23" s="6"/>
      <c r="EEE23" s="6"/>
      <c r="EEF23" s="6"/>
      <c r="EEG23" s="6"/>
      <c r="EEH23" s="6"/>
      <c r="EEI23" s="6"/>
      <c r="EEJ23" s="6"/>
      <c r="EEK23" s="6"/>
      <c r="EEL23" s="6"/>
      <c r="EEM23" s="6"/>
      <c r="EEN23" s="6"/>
      <c r="EEO23" s="6"/>
      <c r="EEP23" s="6"/>
      <c r="EEQ23" s="6"/>
      <c r="EER23" s="6"/>
      <c r="EES23" s="6"/>
      <c r="EET23" s="6"/>
      <c r="EEU23" s="6"/>
      <c r="EEV23" s="6"/>
      <c r="EEW23" s="6"/>
      <c r="EEX23" s="6"/>
      <c r="EEY23" s="6"/>
      <c r="EEZ23" s="6"/>
      <c r="EFA23" s="6"/>
      <c r="EFB23" s="6"/>
      <c r="EFC23" s="6"/>
      <c r="EFD23" s="6"/>
      <c r="EFE23" s="6"/>
      <c r="EFF23" s="6"/>
      <c r="EFG23" s="6"/>
      <c r="EFH23" s="6"/>
      <c r="EFI23" s="6"/>
      <c r="EFJ23" s="6"/>
      <c r="EFK23" s="6"/>
      <c r="EFL23" s="6"/>
      <c r="EFM23" s="6"/>
      <c r="EFN23" s="6"/>
      <c r="EFO23" s="6"/>
      <c r="EFP23" s="6"/>
      <c r="EFQ23" s="6"/>
      <c r="EFR23" s="6"/>
      <c r="EFS23" s="6"/>
      <c r="EFT23" s="6"/>
      <c r="EFU23" s="6"/>
      <c r="EFV23" s="6"/>
      <c r="EFW23" s="6"/>
      <c r="EFX23" s="6"/>
      <c r="EFY23" s="6"/>
      <c r="EFZ23" s="6"/>
      <c r="EGA23" s="6"/>
      <c r="EGB23" s="6"/>
      <c r="EGC23" s="6"/>
      <c r="EGD23" s="6"/>
      <c r="EGE23" s="6"/>
      <c r="EGF23" s="6"/>
      <c r="EGG23" s="6"/>
      <c r="EGH23" s="6"/>
      <c r="EGI23" s="6"/>
      <c r="EGJ23" s="6"/>
      <c r="EGK23" s="6"/>
      <c r="EGL23" s="6"/>
      <c r="EGM23" s="6"/>
      <c r="EGN23" s="6"/>
      <c r="EGO23" s="6"/>
      <c r="EGP23" s="6"/>
      <c r="EGQ23" s="6"/>
      <c r="EGR23" s="6"/>
      <c r="EGS23" s="6"/>
      <c r="EGT23" s="6"/>
      <c r="EGU23" s="6"/>
      <c r="EGV23" s="6"/>
      <c r="EGW23" s="6"/>
      <c r="EGX23" s="6"/>
      <c r="EGY23" s="6"/>
      <c r="EGZ23" s="6"/>
      <c r="EHA23" s="6"/>
      <c r="EHB23" s="6"/>
      <c r="EHC23" s="6"/>
      <c r="EHD23" s="6"/>
      <c r="EHE23" s="6"/>
      <c r="EHF23" s="6"/>
      <c r="EHG23" s="6"/>
      <c r="EHH23" s="6"/>
      <c r="EHI23" s="6"/>
      <c r="EHJ23" s="6"/>
      <c r="EHK23" s="6"/>
      <c r="EHL23" s="6"/>
      <c r="EHM23" s="6"/>
      <c r="EHN23" s="6"/>
      <c r="EHO23" s="6"/>
      <c r="EHP23" s="6"/>
      <c r="EHQ23" s="6"/>
      <c r="EHR23" s="6"/>
      <c r="EHS23" s="6"/>
      <c r="EHT23" s="6"/>
      <c r="EHU23" s="6"/>
      <c r="EHV23" s="6"/>
      <c r="EHW23" s="6"/>
      <c r="EHX23" s="6"/>
      <c r="EHY23" s="6"/>
      <c r="EHZ23" s="6"/>
      <c r="EIA23" s="6"/>
      <c r="EIB23" s="6"/>
      <c r="EIC23" s="6"/>
      <c r="EID23" s="6"/>
      <c r="EIE23" s="6"/>
      <c r="EIF23" s="6"/>
      <c r="EIG23" s="6"/>
      <c r="EIH23" s="6"/>
      <c r="EII23" s="6"/>
      <c r="EIJ23" s="6"/>
      <c r="EIK23" s="6"/>
      <c r="EIL23" s="6"/>
      <c r="EIM23" s="6"/>
      <c r="EIN23" s="6"/>
      <c r="EIO23" s="6"/>
      <c r="EIP23" s="6"/>
      <c r="EIQ23" s="6"/>
      <c r="EIR23" s="6"/>
      <c r="EIS23" s="6"/>
      <c r="EIT23" s="6"/>
      <c r="EIU23" s="6"/>
      <c r="EIV23" s="6"/>
      <c r="EIW23" s="6"/>
      <c r="EIX23" s="6"/>
      <c r="EIY23" s="6"/>
      <c r="EIZ23" s="6"/>
      <c r="EJA23" s="6"/>
      <c r="EJB23" s="6"/>
      <c r="EJC23" s="6"/>
      <c r="EJD23" s="6"/>
      <c r="EJE23" s="6"/>
      <c r="EJF23" s="6"/>
      <c r="EJG23" s="6"/>
      <c r="EJH23" s="6"/>
      <c r="EJI23" s="6"/>
      <c r="EJJ23" s="6"/>
      <c r="EJK23" s="6"/>
      <c r="EJL23" s="6"/>
      <c r="EJM23" s="6"/>
      <c r="EJN23" s="6"/>
      <c r="EJO23" s="6"/>
      <c r="EJP23" s="6"/>
      <c r="EJQ23" s="6"/>
      <c r="EJR23" s="6"/>
      <c r="EJS23" s="6"/>
      <c r="EJT23" s="6"/>
      <c r="EJU23" s="6"/>
      <c r="EJV23" s="6"/>
      <c r="EJW23" s="6"/>
      <c r="EJX23" s="6"/>
      <c r="EJY23" s="6"/>
      <c r="EJZ23" s="6"/>
      <c r="EKA23" s="6"/>
      <c r="EKB23" s="6"/>
      <c r="EKC23" s="6"/>
      <c r="EKD23" s="6"/>
      <c r="EKE23" s="6"/>
      <c r="EKF23" s="6"/>
      <c r="EKG23" s="6"/>
      <c r="EKH23" s="6"/>
      <c r="EKI23" s="6"/>
      <c r="EKJ23" s="6"/>
      <c r="EKK23" s="6"/>
      <c r="EKL23" s="6"/>
      <c r="EKM23" s="6"/>
      <c r="EKN23" s="6"/>
      <c r="EKO23" s="6"/>
      <c r="EKP23" s="6"/>
      <c r="EKQ23" s="6"/>
      <c r="EKR23" s="6"/>
      <c r="EKS23" s="6"/>
      <c r="EKT23" s="6"/>
      <c r="EKU23" s="6"/>
      <c r="EKV23" s="6"/>
      <c r="EKW23" s="6"/>
      <c r="EKX23" s="6"/>
      <c r="EKY23" s="6"/>
      <c r="EKZ23" s="6"/>
      <c r="ELA23" s="6"/>
      <c r="ELB23" s="6"/>
      <c r="ELC23" s="6"/>
      <c r="ELD23" s="6"/>
      <c r="ELE23" s="6"/>
      <c r="ELF23" s="6"/>
      <c r="ELG23" s="6"/>
      <c r="ELH23" s="6"/>
      <c r="ELI23" s="6"/>
      <c r="ELJ23" s="6"/>
      <c r="ELK23" s="6"/>
      <c r="ELL23" s="6"/>
      <c r="ELM23" s="6"/>
      <c r="ELN23" s="6"/>
      <c r="ELO23" s="6"/>
      <c r="ELP23" s="6"/>
      <c r="ELQ23" s="6"/>
      <c r="ELR23" s="6"/>
      <c r="ELS23" s="6"/>
      <c r="ELT23" s="6"/>
      <c r="ELU23" s="6"/>
      <c r="ELV23" s="6"/>
      <c r="ELW23" s="6"/>
      <c r="ELX23" s="6"/>
      <c r="ELY23" s="6"/>
      <c r="ELZ23" s="6"/>
      <c r="EMA23" s="6"/>
      <c r="EMB23" s="6"/>
      <c r="EMC23" s="6"/>
      <c r="EMD23" s="6"/>
      <c r="EME23" s="6"/>
      <c r="EMF23" s="6"/>
      <c r="EMG23" s="6"/>
      <c r="EMH23" s="6"/>
      <c r="EMI23" s="6"/>
      <c r="EMJ23" s="6"/>
      <c r="EMK23" s="6"/>
      <c r="EML23" s="6"/>
      <c r="EMM23" s="6"/>
      <c r="EMN23" s="6"/>
      <c r="EMO23" s="6"/>
      <c r="EMP23" s="6"/>
      <c r="EMQ23" s="6"/>
      <c r="EMR23" s="6"/>
      <c r="EMS23" s="6"/>
      <c r="EMT23" s="6"/>
      <c r="EMU23" s="6"/>
      <c r="EMV23" s="6"/>
      <c r="EMW23" s="6"/>
      <c r="EMX23" s="6"/>
      <c r="EMY23" s="6"/>
      <c r="EMZ23" s="6"/>
      <c r="ENA23" s="6"/>
      <c r="ENB23" s="6"/>
      <c r="ENC23" s="6"/>
      <c r="END23" s="6"/>
      <c r="ENE23" s="6"/>
      <c r="ENF23" s="6"/>
      <c r="ENG23" s="6"/>
      <c r="ENH23" s="6"/>
      <c r="ENI23" s="6"/>
      <c r="ENJ23" s="6"/>
      <c r="ENK23" s="6"/>
      <c r="ENL23" s="6"/>
      <c r="ENM23" s="6"/>
      <c r="ENN23" s="6"/>
      <c r="ENO23" s="6"/>
      <c r="ENP23" s="6"/>
      <c r="ENQ23" s="6"/>
      <c r="ENR23" s="6"/>
      <c r="ENS23" s="6"/>
      <c r="ENT23" s="6"/>
      <c r="ENU23" s="6"/>
      <c r="ENV23" s="6"/>
      <c r="ENW23" s="6"/>
      <c r="ENX23" s="6"/>
      <c r="ENY23" s="6"/>
      <c r="ENZ23" s="6"/>
      <c r="EOA23" s="6"/>
      <c r="EOB23" s="6"/>
      <c r="EOC23" s="6"/>
      <c r="EOD23" s="6"/>
      <c r="EOE23" s="6"/>
      <c r="EOF23" s="6"/>
      <c r="EOG23" s="6"/>
      <c r="EOH23" s="6"/>
      <c r="EOI23" s="6"/>
      <c r="EOJ23" s="6"/>
      <c r="EOK23" s="6"/>
      <c r="EOL23" s="6"/>
      <c r="EOM23" s="6"/>
      <c r="EON23" s="6"/>
      <c r="EOO23" s="6"/>
      <c r="EOP23" s="6"/>
      <c r="EOQ23" s="6"/>
      <c r="EOR23" s="6"/>
      <c r="EOS23" s="6"/>
      <c r="EOT23" s="6"/>
      <c r="EOU23" s="6"/>
      <c r="EOV23" s="6"/>
      <c r="EOW23" s="6"/>
      <c r="EOX23" s="6"/>
      <c r="EOY23" s="6"/>
      <c r="EOZ23" s="6"/>
      <c r="EPA23" s="6"/>
      <c r="EPB23" s="6"/>
      <c r="EPC23" s="6"/>
      <c r="EPD23" s="6"/>
      <c r="EPE23" s="6"/>
      <c r="EPF23" s="6"/>
      <c r="EPG23" s="6"/>
      <c r="EPH23" s="6"/>
      <c r="EPI23" s="6"/>
      <c r="EPJ23" s="6"/>
      <c r="EPK23" s="6"/>
      <c r="EPL23" s="6"/>
      <c r="EPM23" s="6"/>
      <c r="EPN23" s="6"/>
      <c r="EPO23" s="6"/>
      <c r="EPP23" s="6"/>
      <c r="EPQ23" s="6"/>
      <c r="EPR23" s="6"/>
      <c r="EPS23" s="6"/>
      <c r="EPT23" s="6"/>
      <c r="EPU23" s="6"/>
      <c r="EPV23" s="6"/>
      <c r="EPW23" s="6"/>
      <c r="EPX23" s="6"/>
      <c r="EPY23" s="6"/>
      <c r="EPZ23" s="6"/>
      <c r="EQA23" s="6"/>
      <c r="EQB23" s="6"/>
      <c r="EQC23" s="6"/>
      <c r="EQD23" s="6"/>
      <c r="EQE23" s="6"/>
      <c r="EQF23" s="6"/>
      <c r="EQG23" s="6"/>
      <c r="EQH23" s="6"/>
      <c r="EQI23" s="6"/>
      <c r="EQJ23" s="6"/>
      <c r="EQK23" s="6"/>
      <c r="EQL23" s="6"/>
      <c r="EQM23" s="6"/>
      <c r="EQN23" s="6"/>
      <c r="EQO23" s="6"/>
      <c r="EQP23" s="6"/>
      <c r="EQQ23" s="6"/>
      <c r="EQR23" s="6"/>
      <c r="EQS23" s="6"/>
      <c r="EQT23" s="6"/>
      <c r="EQU23" s="6"/>
      <c r="EQV23" s="6"/>
      <c r="EQW23" s="6"/>
      <c r="EQX23" s="6"/>
      <c r="EQY23" s="6"/>
      <c r="EQZ23" s="6"/>
      <c r="ERA23" s="6"/>
      <c r="ERB23" s="6"/>
      <c r="ERC23" s="6"/>
      <c r="ERD23" s="6"/>
      <c r="ERE23" s="6"/>
      <c r="ERF23" s="6"/>
      <c r="ERG23" s="6"/>
      <c r="ERH23" s="6"/>
      <c r="ERI23" s="6"/>
      <c r="ERJ23" s="6"/>
      <c r="ERK23" s="6"/>
      <c r="ERL23" s="6"/>
      <c r="ERM23" s="6"/>
      <c r="ERN23" s="6"/>
      <c r="ERO23" s="6"/>
      <c r="ERP23" s="6"/>
      <c r="ERQ23" s="6"/>
      <c r="ERR23" s="6"/>
      <c r="ERS23" s="6"/>
      <c r="ERT23" s="6"/>
      <c r="ERU23" s="6"/>
      <c r="ERV23" s="6"/>
      <c r="ERW23" s="6"/>
      <c r="ERX23" s="6"/>
      <c r="ERY23" s="6"/>
      <c r="ERZ23" s="6"/>
      <c r="ESA23" s="6"/>
      <c r="ESB23" s="6"/>
      <c r="ESC23" s="6"/>
      <c r="ESD23" s="6"/>
      <c r="ESE23" s="6"/>
      <c r="ESF23" s="6"/>
      <c r="ESG23" s="6"/>
      <c r="ESH23" s="6"/>
      <c r="ESI23" s="6"/>
      <c r="ESJ23" s="6"/>
      <c r="ESK23" s="6"/>
      <c r="ESL23" s="6"/>
      <c r="ESM23" s="6"/>
      <c r="ESN23" s="6"/>
      <c r="ESO23" s="6"/>
      <c r="ESP23" s="6"/>
      <c r="ESQ23" s="6"/>
      <c r="ESR23" s="6"/>
      <c r="ESS23" s="6"/>
      <c r="EST23" s="6"/>
      <c r="ESU23" s="6"/>
      <c r="ESV23" s="6"/>
      <c r="ESW23" s="6"/>
      <c r="ESX23" s="6"/>
      <c r="ESY23" s="6"/>
      <c r="ESZ23" s="6"/>
      <c r="ETA23" s="6"/>
      <c r="ETB23" s="6"/>
      <c r="ETC23" s="6"/>
      <c r="ETD23" s="6"/>
      <c r="ETE23" s="6"/>
      <c r="ETF23" s="6"/>
      <c r="ETG23" s="6"/>
      <c r="ETH23" s="6"/>
      <c r="ETI23" s="6"/>
      <c r="ETJ23" s="6"/>
      <c r="ETK23" s="6"/>
      <c r="ETL23" s="6"/>
      <c r="ETM23" s="6"/>
      <c r="ETN23" s="6"/>
      <c r="ETO23" s="6"/>
      <c r="ETP23" s="6"/>
      <c r="ETQ23" s="6"/>
      <c r="ETR23" s="6"/>
      <c r="ETS23" s="6"/>
      <c r="ETT23" s="6"/>
      <c r="ETU23" s="6"/>
      <c r="ETV23" s="6"/>
      <c r="ETW23" s="6"/>
      <c r="ETX23" s="6"/>
      <c r="ETY23" s="6"/>
      <c r="ETZ23" s="6"/>
      <c r="EUA23" s="6"/>
      <c r="EUB23" s="6"/>
      <c r="EUC23" s="6"/>
      <c r="EUD23" s="6"/>
      <c r="EUE23" s="6"/>
      <c r="EUF23" s="6"/>
      <c r="EUG23" s="6"/>
      <c r="EUH23" s="6"/>
      <c r="EUI23" s="6"/>
      <c r="EUJ23" s="6"/>
      <c r="EUK23" s="6"/>
      <c r="EUL23" s="6"/>
      <c r="EUM23" s="6"/>
      <c r="EUN23" s="6"/>
      <c r="EUO23" s="6"/>
      <c r="EUP23" s="6"/>
      <c r="EUQ23" s="6"/>
      <c r="EUR23" s="6"/>
      <c r="EUS23" s="6"/>
      <c r="EUT23" s="6"/>
      <c r="EUU23" s="6"/>
      <c r="EUV23" s="6"/>
      <c r="EUW23" s="6"/>
      <c r="EUX23" s="6"/>
      <c r="EUY23" s="6"/>
      <c r="EUZ23" s="6"/>
      <c r="EVA23" s="6"/>
      <c r="EVB23" s="6"/>
      <c r="EVC23" s="6"/>
      <c r="EVD23" s="6"/>
      <c r="EVE23" s="6"/>
      <c r="EVF23" s="6"/>
      <c r="EVG23" s="6"/>
      <c r="EVH23" s="6"/>
      <c r="EVI23" s="6"/>
      <c r="EVJ23" s="6"/>
      <c r="EVK23" s="6"/>
      <c r="EVL23" s="6"/>
      <c r="EVM23" s="6"/>
      <c r="EVN23" s="6"/>
      <c r="EVO23" s="6"/>
      <c r="EVP23" s="6"/>
      <c r="EVQ23" s="6"/>
      <c r="EVR23" s="6"/>
      <c r="EVS23" s="6"/>
      <c r="EVT23" s="6"/>
      <c r="EVU23" s="6"/>
      <c r="EVV23" s="6"/>
      <c r="EVW23" s="6"/>
      <c r="EVX23" s="6"/>
      <c r="EVY23" s="6"/>
      <c r="EVZ23" s="6"/>
      <c r="EWA23" s="6"/>
      <c r="EWB23" s="6"/>
      <c r="EWC23" s="6"/>
      <c r="EWD23" s="6"/>
      <c r="EWE23" s="6"/>
      <c r="EWF23" s="6"/>
      <c r="EWG23" s="6"/>
      <c r="EWH23" s="6"/>
      <c r="EWI23" s="6"/>
      <c r="EWJ23" s="6"/>
      <c r="EWK23" s="6"/>
      <c r="EWL23" s="6"/>
      <c r="EWM23" s="6"/>
      <c r="EWN23" s="6"/>
      <c r="EWO23" s="6"/>
      <c r="EWP23" s="6"/>
      <c r="EWQ23" s="6"/>
      <c r="EWR23" s="6"/>
      <c r="EWS23" s="6"/>
      <c r="EWT23" s="6"/>
      <c r="EWU23" s="6"/>
      <c r="EWV23" s="6"/>
      <c r="EWW23" s="6"/>
      <c r="EWX23" s="6"/>
      <c r="EWY23" s="6"/>
      <c r="EWZ23" s="6"/>
      <c r="EXA23" s="6"/>
      <c r="EXB23" s="6"/>
      <c r="EXC23" s="6"/>
      <c r="EXD23" s="6"/>
      <c r="EXE23" s="6"/>
      <c r="EXF23" s="6"/>
      <c r="EXG23" s="6"/>
      <c r="EXH23" s="6"/>
      <c r="EXI23" s="6"/>
      <c r="EXJ23" s="6"/>
      <c r="EXK23" s="6"/>
      <c r="EXL23" s="6"/>
      <c r="EXM23" s="6"/>
      <c r="EXN23" s="6"/>
      <c r="EXO23" s="6"/>
      <c r="EXP23" s="6"/>
      <c r="EXQ23" s="6"/>
      <c r="EXR23" s="6"/>
      <c r="EXS23" s="6"/>
      <c r="EXT23" s="6"/>
      <c r="EXU23" s="6"/>
      <c r="EXV23" s="6"/>
      <c r="EXW23" s="6"/>
      <c r="EXX23" s="6"/>
      <c r="EXY23" s="6"/>
      <c r="EXZ23" s="6"/>
      <c r="EYA23" s="6"/>
      <c r="EYB23" s="6"/>
      <c r="EYC23" s="6"/>
      <c r="EYD23" s="6"/>
      <c r="EYE23" s="6"/>
      <c r="EYF23" s="6"/>
      <c r="EYG23" s="6"/>
      <c r="EYH23" s="6"/>
      <c r="EYI23" s="6"/>
      <c r="EYJ23" s="6"/>
      <c r="EYK23" s="6"/>
      <c r="EYL23" s="6"/>
      <c r="EYM23" s="6"/>
      <c r="EYN23" s="6"/>
      <c r="EYO23" s="6"/>
      <c r="EYP23" s="6"/>
      <c r="EYQ23" s="6"/>
      <c r="EYR23" s="6"/>
      <c r="EYS23" s="6"/>
      <c r="EYT23" s="6"/>
      <c r="EYU23" s="6"/>
      <c r="EYV23" s="6"/>
      <c r="EYW23" s="6"/>
      <c r="EYX23" s="6"/>
      <c r="EYY23" s="6"/>
      <c r="EYZ23" s="6"/>
      <c r="EZA23" s="6"/>
      <c r="EZB23" s="6"/>
      <c r="EZC23" s="6"/>
      <c r="EZD23" s="6"/>
      <c r="EZE23" s="6"/>
      <c r="EZF23" s="6"/>
      <c r="EZG23" s="6"/>
      <c r="EZH23" s="6"/>
      <c r="EZI23" s="6"/>
      <c r="EZJ23" s="6"/>
      <c r="EZK23" s="6"/>
      <c r="EZL23" s="6"/>
      <c r="EZM23" s="6"/>
      <c r="EZN23" s="6"/>
      <c r="EZO23" s="6"/>
      <c r="EZP23" s="6"/>
      <c r="EZQ23" s="6"/>
      <c r="EZR23" s="6"/>
      <c r="EZS23" s="6"/>
      <c r="EZT23" s="6"/>
      <c r="EZU23" s="6"/>
      <c r="EZV23" s="6"/>
      <c r="EZW23" s="6"/>
      <c r="EZX23" s="6"/>
      <c r="EZY23" s="6"/>
      <c r="EZZ23" s="6"/>
      <c r="FAA23" s="6"/>
      <c r="FAB23" s="6"/>
      <c r="FAC23" s="6"/>
      <c r="FAD23" s="6"/>
      <c r="FAE23" s="6"/>
      <c r="FAF23" s="6"/>
      <c r="FAG23" s="6"/>
      <c r="FAH23" s="6"/>
      <c r="FAI23" s="6"/>
      <c r="FAJ23" s="6"/>
      <c r="FAK23" s="6"/>
      <c r="FAL23" s="6"/>
      <c r="FAM23" s="6"/>
      <c r="FAN23" s="6"/>
      <c r="FAO23" s="6"/>
      <c r="FAP23" s="6"/>
      <c r="FAQ23" s="6"/>
      <c r="FAR23" s="6"/>
      <c r="FAS23" s="6"/>
      <c r="FAT23" s="6"/>
      <c r="FAU23" s="6"/>
      <c r="FAV23" s="6"/>
      <c r="FAW23" s="6"/>
      <c r="FAX23" s="6"/>
      <c r="FAY23" s="6"/>
      <c r="FAZ23" s="6"/>
      <c r="FBA23" s="6"/>
      <c r="FBB23" s="6"/>
      <c r="FBC23" s="6"/>
      <c r="FBD23" s="6"/>
      <c r="FBE23" s="6"/>
      <c r="FBF23" s="6"/>
      <c r="FBG23" s="6"/>
      <c r="FBH23" s="6"/>
      <c r="FBI23" s="6"/>
      <c r="FBJ23" s="6"/>
      <c r="FBK23" s="6"/>
      <c r="FBL23" s="6"/>
      <c r="FBM23" s="6"/>
      <c r="FBN23" s="6"/>
      <c r="FBO23" s="6"/>
      <c r="FBP23" s="6"/>
      <c r="FBQ23" s="6"/>
      <c r="FBR23" s="6"/>
      <c r="FBS23" s="6"/>
      <c r="FBT23" s="6"/>
      <c r="FBU23" s="6"/>
      <c r="FBV23" s="6"/>
      <c r="FBW23" s="6"/>
      <c r="FBX23" s="6"/>
      <c r="FBY23" s="6"/>
      <c r="FBZ23" s="6"/>
      <c r="FCA23" s="6"/>
      <c r="FCB23" s="6"/>
      <c r="FCC23" s="6"/>
      <c r="FCD23" s="6"/>
      <c r="FCE23" s="6"/>
      <c r="FCF23" s="6"/>
      <c r="FCG23" s="6"/>
      <c r="FCH23" s="6"/>
      <c r="FCI23" s="6"/>
      <c r="FCJ23" s="6"/>
      <c r="FCK23" s="6"/>
      <c r="FCL23" s="6"/>
      <c r="FCM23" s="6"/>
      <c r="FCN23" s="6"/>
      <c r="FCO23" s="6"/>
      <c r="FCP23" s="6"/>
      <c r="FCQ23" s="6"/>
      <c r="FCR23" s="6"/>
      <c r="FCS23" s="6"/>
      <c r="FCT23" s="6"/>
      <c r="FCU23" s="6"/>
      <c r="FCV23" s="6"/>
      <c r="FCW23" s="6"/>
      <c r="FCX23" s="6"/>
      <c r="FCY23" s="6"/>
      <c r="FCZ23" s="6"/>
      <c r="FDA23" s="6"/>
      <c r="FDB23" s="6"/>
      <c r="FDC23" s="6"/>
      <c r="FDD23" s="6"/>
      <c r="FDE23" s="6"/>
      <c r="FDF23" s="6"/>
      <c r="FDG23" s="6"/>
      <c r="FDH23" s="6"/>
      <c r="FDI23" s="6"/>
      <c r="FDJ23" s="6"/>
      <c r="FDK23" s="6"/>
      <c r="FDL23" s="6"/>
      <c r="FDM23" s="6"/>
      <c r="FDN23" s="6"/>
      <c r="FDO23" s="6"/>
      <c r="FDP23" s="6"/>
      <c r="FDQ23" s="6"/>
      <c r="FDR23" s="6"/>
      <c r="FDS23" s="6"/>
      <c r="FDT23" s="6"/>
      <c r="FDU23" s="6"/>
      <c r="FDV23" s="6"/>
      <c r="FDW23" s="6"/>
      <c r="FDX23" s="6"/>
      <c r="FDY23" s="6"/>
      <c r="FDZ23" s="6"/>
      <c r="FEA23" s="6"/>
      <c r="FEB23" s="6"/>
      <c r="FEC23" s="6"/>
      <c r="FED23" s="6"/>
      <c r="FEE23" s="6"/>
      <c r="FEF23" s="6"/>
      <c r="FEG23" s="6"/>
      <c r="FEH23" s="6"/>
      <c r="FEI23" s="6"/>
      <c r="FEJ23" s="6"/>
      <c r="FEK23" s="6"/>
      <c r="FEL23" s="6"/>
      <c r="FEM23" s="6"/>
      <c r="FEN23" s="6"/>
      <c r="FEO23" s="6"/>
      <c r="FEP23" s="6"/>
      <c r="FEQ23" s="6"/>
      <c r="FER23" s="6"/>
      <c r="FES23" s="6"/>
      <c r="FET23" s="6"/>
      <c r="FEU23" s="6"/>
      <c r="FEV23" s="6"/>
      <c r="FEW23" s="6"/>
      <c r="FEX23" s="6"/>
      <c r="FEY23" s="6"/>
      <c r="FEZ23" s="6"/>
      <c r="FFA23" s="6"/>
      <c r="FFB23" s="6"/>
      <c r="FFC23" s="6"/>
      <c r="FFD23" s="6"/>
      <c r="FFE23" s="6"/>
      <c r="FFF23" s="6"/>
      <c r="FFG23" s="6"/>
      <c r="FFH23" s="6"/>
      <c r="FFI23" s="6"/>
      <c r="FFJ23" s="6"/>
      <c r="FFK23" s="6"/>
      <c r="FFL23" s="6"/>
      <c r="FFM23" s="6"/>
      <c r="FFN23" s="6"/>
      <c r="FFO23" s="6"/>
      <c r="FFP23" s="6"/>
      <c r="FFQ23" s="6"/>
      <c r="FFR23" s="6"/>
      <c r="FFS23" s="6"/>
      <c r="FFT23" s="6"/>
      <c r="FFU23" s="6"/>
      <c r="FFV23" s="6"/>
      <c r="FFW23" s="6"/>
      <c r="FFX23" s="6"/>
      <c r="FFY23" s="6"/>
      <c r="FFZ23" s="6"/>
      <c r="FGA23" s="6"/>
      <c r="FGB23" s="6"/>
      <c r="FGC23" s="6"/>
      <c r="FGD23" s="6"/>
      <c r="FGE23" s="6"/>
      <c r="FGF23" s="6"/>
      <c r="FGG23" s="6"/>
      <c r="FGH23" s="6"/>
      <c r="FGI23" s="6"/>
      <c r="FGJ23" s="6"/>
      <c r="FGK23" s="6"/>
      <c r="FGL23" s="6"/>
      <c r="FGM23" s="6"/>
      <c r="FGN23" s="6"/>
      <c r="FGO23" s="6"/>
      <c r="FGP23" s="6"/>
      <c r="FGQ23" s="6"/>
      <c r="FGR23" s="6"/>
      <c r="FGS23" s="6"/>
      <c r="FGT23" s="6"/>
      <c r="FGU23" s="6"/>
      <c r="FGV23" s="6"/>
      <c r="FGW23" s="6"/>
      <c r="FGX23" s="6"/>
      <c r="FGY23" s="6"/>
      <c r="FGZ23" s="6"/>
      <c r="FHA23" s="6"/>
      <c r="FHB23" s="6"/>
      <c r="FHC23" s="6"/>
      <c r="FHD23" s="6"/>
      <c r="FHE23" s="6"/>
      <c r="FHF23" s="6"/>
      <c r="FHG23" s="6"/>
      <c r="FHH23" s="6"/>
      <c r="FHI23" s="6"/>
      <c r="FHJ23" s="6"/>
      <c r="FHK23" s="6"/>
      <c r="FHL23" s="6"/>
      <c r="FHM23" s="6"/>
      <c r="FHN23" s="6"/>
      <c r="FHO23" s="6"/>
      <c r="FHP23" s="6"/>
      <c r="FHQ23" s="6"/>
      <c r="FHR23" s="6"/>
      <c r="FHS23" s="6"/>
      <c r="FHT23" s="6"/>
      <c r="FHU23" s="6"/>
      <c r="FHV23" s="6"/>
      <c r="FHW23" s="6"/>
      <c r="FHX23" s="6"/>
      <c r="FHY23" s="6"/>
      <c r="FHZ23" s="6"/>
      <c r="FIA23" s="6"/>
      <c r="FIB23" s="6"/>
      <c r="FIC23" s="6"/>
      <c r="FID23" s="6"/>
      <c r="FIE23" s="6"/>
      <c r="FIF23" s="6"/>
      <c r="FIG23" s="6"/>
      <c r="FIH23" s="6"/>
      <c r="FII23" s="6"/>
      <c r="FIJ23" s="6"/>
      <c r="FIK23" s="6"/>
      <c r="FIL23" s="6"/>
      <c r="FIM23" s="6"/>
      <c r="FIN23" s="6"/>
      <c r="FIO23" s="6"/>
      <c r="FIP23" s="6"/>
      <c r="FIQ23" s="6"/>
      <c r="FIR23" s="6"/>
      <c r="FIS23" s="6"/>
      <c r="FIT23" s="6"/>
      <c r="FIU23" s="6"/>
      <c r="FIV23" s="6"/>
      <c r="FIW23" s="6"/>
      <c r="FIX23" s="6"/>
      <c r="FIY23" s="6"/>
      <c r="FIZ23" s="6"/>
      <c r="FJA23" s="6"/>
      <c r="FJB23" s="6"/>
      <c r="FJC23" s="6"/>
      <c r="FJD23" s="6"/>
      <c r="FJE23" s="6"/>
      <c r="FJF23" s="6"/>
      <c r="FJG23" s="6"/>
      <c r="FJH23" s="6"/>
      <c r="FJI23" s="6"/>
      <c r="FJJ23" s="6"/>
      <c r="FJK23" s="6"/>
      <c r="FJL23" s="6"/>
      <c r="FJM23" s="6"/>
      <c r="FJN23" s="6"/>
      <c r="FJO23" s="6"/>
      <c r="FJP23" s="6"/>
      <c r="FJQ23" s="6"/>
      <c r="FJR23" s="6"/>
      <c r="FJS23" s="6"/>
      <c r="FJT23" s="6"/>
      <c r="FJU23" s="6"/>
      <c r="FJV23" s="6"/>
      <c r="FJW23" s="6"/>
      <c r="FJX23" s="6"/>
      <c r="FJY23" s="6"/>
      <c r="FJZ23" s="6"/>
      <c r="FKA23" s="6"/>
      <c r="FKB23" s="6"/>
      <c r="FKC23" s="6"/>
      <c r="FKD23" s="6"/>
      <c r="FKE23" s="6"/>
      <c r="FKF23" s="6"/>
      <c r="FKG23" s="6"/>
      <c r="FKH23" s="6"/>
      <c r="FKI23" s="6"/>
      <c r="FKJ23" s="6"/>
      <c r="FKK23" s="6"/>
      <c r="FKL23" s="6"/>
      <c r="FKM23" s="6"/>
      <c r="FKN23" s="6"/>
      <c r="FKO23" s="6"/>
      <c r="FKP23" s="6"/>
      <c r="FKQ23" s="6"/>
      <c r="FKR23" s="6"/>
      <c r="FKS23" s="6"/>
      <c r="FKT23" s="6"/>
      <c r="FKU23" s="6"/>
      <c r="FKV23" s="6"/>
      <c r="FKW23" s="6"/>
      <c r="FKX23" s="6"/>
      <c r="FKY23" s="6"/>
      <c r="FKZ23" s="6"/>
      <c r="FLA23" s="6"/>
      <c r="FLB23" s="6"/>
      <c r="FLC23" s="6"/>
      <c r="FLD23" s="6"/>
      <c r="FLE23" s="6"/>
      <c r="FLF23" s="6"/>
      <c r="FLG23" s="6"/>
      <c r="FLH23" s="6"/>
      <c r="FLI23" s="6"/>
      <c r="FLJ23" s="6"/>
      <c r="FLK23" s="6"/>
      <c r="FLL23" s="6"/>
      <c r="FLM23" s="6"/>
      <c r="FLN23" s="6"/>
      <c r="FLO23" s="6"/>
      <c r="FLP23" s="6"/>
      <c r="FLQ23" s="6"/>
      <c r="FLR23" s="6"/>
      <c r="FLS23" s="6"/>
      <c r="FLT23" s="6"/>
      <c r="FLU23" s="6"/>
      <c r="FLV23" s="6"/>
      <c r="FLW23" s="6"/>
      <c r="FLX23" s="6"/>
      <c r="FLY23" s="6"/>
      <c r="FLZ23" s="6"/>
      <c r="FMA23" s="6"/>
      <c r="FMB23" s="6"/>
      <c r="FMC23" s="6"/>
      <c r="FMD23" s="6"/>
      <c r="FME23" s="6"/>
      <c r="FMF23" s="6"/>
      <c r="FMG23" s="6"/>
      <c r="FMH23" s="6"/>
      <c r="FMI23" s="6"/>
      <c r="FMJ23" s="6"/>
      <c r="FMK23" s="6"/>
      <c r="FML23" s="6"/>
      <c r="FMM23" s="6"/>
      <c r="FMN23" s="6"/>
      <c r="FMO23" s="6"/>
      <c r="FMP23" s="6"/>
      <c r="FMQ23" s="6"/>
      <c r="FMR23" s="6"/>
      <c r="FMS23" s="6"/>
      <c r="FMT23" s="6"/>
      <c r="FMU23" s="6"/>
      <c r="FMV23" s="6"/>
      <c r="FMW23" s="6"/>
      <c r="FMX23" s="6"/>
      <c r="FMY23" s="6"/>
      <c r="FMZ23" s="6"/>
      <c r="FNA23" s="6"/>
      <c r="FNB23" s="6"/>
      <c r="FNC23" s="6"/>
      <c r="FND23" s="6"/>
      <c r="FNE23" s="6"/>
      <c r="FNF23" s="6"/>
      <c r="FNG23" s="6"/>
      <c r="FNH23" s="6"/>
      <c r="FNI23" s="6"/>
      <c r="FNJ23" s="6"/>
      <c r="FNK23" s="6"/>
      <c r="FNL23" s="6"/>
      <c r="FNM23" s="6"/>
      <c r="FNN23" s="6"/>
      <c r="FNO23" s="6"/>
      <c r="FNP23" s="6"/>
      <c r="FNQ23" s="6"/>
      <c r="FNR23" s="6"/>
      <c r="FNS23" s="6"/>
      <c r="FNT23" s="6"/>
      <c r="FNU23" s="6"/>
      <c r="FNV23" s="6"/>
      <c r="FNW23" s="6"/>
      <c r="FNX23" s="6"/>
      <c r="FNY23" s="6"/>
      <c r="FNZ23" s="6"/>
      <c r="FOA23" s="6"/>
      <c r="FOB23" s="6"/>
      <c r="FOC23" s="6"/>
      <c r="FOD23" s="6"/>
      <c r="FOE23" s="6"/>
      <c r="FOF23" s="6"/>
      <c r="FOG23" s="6"/>
      <c r="FOH23" s="6"/>
      <c r="FOI23" s="6"/>
      <c r="FOJ23" s="6"/>
      <c r="FOK23" s="6"/>
      <c r="FOL23" s="6"/>
      <c r="FOM23" s="6"/>
      <c r="FON23" s="6"/>
      <c r="FOO23" s="6"/>
      <c r="FOP23" s="6"/>
      <c r="FOQ23" s="6"/>
      <c r="FOR23" s="6"/>
      <c r="FOS23" s="6"/>
      <c r="FOT23" s="6"/>
      <c r="FOU23" s="6"/>
      <c r="FOV23" s="6"/>
      <c r="FOW23" s="6"/>
      <c r="FOX23" s="6"/>
      <c r="FOY23" s="6"/>
      <c r="FOZ23" s="6"/>
      <c r="FPA23" s="6"/>
      <c r="FPB23" s="6"/>
      <c r="FPC23" s="6"/>
      <c r="FPD23" s="6"/>
      <c r="FPE23" s="6"/>
      <c r="FPF23" s="6"/>
      <c r="FPG23" s="6"/>
      <c r="FPH23" s="6"/>
      <c r="FPI23" s="6"/>
      <c r="FPJ23" s="6"/>
      <c r="FPK23" s="6"/>
      <c r="FPL23" s="6"/>
      <c r="FPM23" s="6"/>
      <c r="FPN23" s="6"/>
      <c r="FPO23" s="6"/>
      <c r="FPP23" s="6"/>
      <c r="FPQ23" s="6"/>
      <c r="FPR23" s="6"/>
      <c r="FPS23" s="6"/>
      <c r="FPT23" s="6"/>
      <c r="FPU23" s="6"/>
      <c r="FPV23" s="6"/>
      <c r="FPW23" s="6"/>
      <c r="FPX23" s="6"/>
      <c r="FPY23" s="6"/>
      <c r="FPZ23" s="6"/>
      <c r="FQA23" s="6"/>
      <c r="FQB23" s="6"/>
      <c r="FQC23" s="6"/>
      <c r="FQD23" s="6"/>
      <c r="FQE23" s="6"/>
      <c r="FQF23" s="6"/>
      <c r="FQG23" s="6"/>
      <c r="FQH23" s="6"/>
      <c r="FQI23" s="6"/>
      <c r="FQJ23" s="6"/>
      <c r="FQK23" s="6"/>
      <c r="FQL23" s="6"/>
      <c r="FQM23" s="6"/>
      <c r="FQN23" s="6"/>
      <c r="FQO23" s="6"/>
      <c r="FQP23" s="6"/>
      <c r="FQQ23" s="6"/>
      <c r="FQR23" s="6"/>
      <c r="FQS23" s="6"/>
      <c r="FQT23" s="6"/>
      <c r="FQU23" s="6"/>
      <c r="FQV23" s="6"/>
      <c r="FQW23" s="6"/>
      <c r="FQX23" s="6"/>
      <c r="FQY23" s="6"/>
      <c r="FQZ23" s="6"/>
      <c r="FRA23" s="6"/>
      <c r="FRB23" s="6"/>
      <c r="FRC23" s="6"/>
      <c r="FRD23" s="6"/>
      <c r="FRE23" s="6"/>
      <c r="FRF23" s="6"/>
      <c r="FRG23" s="6"/>
      <c r="FRH23" s="6"/>
      <c r="FRI23" s="6"/>
      <c r="FRJ23" s="6"/>
      <c r="FRK23" s="6"/>
      <c r="FRL23" s="6"/>
      <c r="FRM23" s="6"/>
      <c r="FRN23" s="6"/>
      <c r="FRO23" s="6"/>
      <c r="FRP23" s="6"/>
      <c r="FRQ23" s="6"/>
      <c r="FRR23" s="6"/>
      <c r="FRS23" s="6"/>
      <c r="FRT23" s="6"/>
      <c r="FRU23" s="6"/>
      <c r="FRV23" s="6"/>
      <c r="FRW23" s="6"/>
      <c r="FRX23" s="6"/>
      <c r="FRY23" s="6"/>
      <c r="FRZ23" s="6"/>
      <c r="FSA23" s="6"/>
      <c r="FSB23" s="6"/>
      <c r="FSC23" s="6"/>
      <c r="FSD23" s="6"/>
      <c r="FSE23" s="6"/>
      <c r="FSF23" s="6"/>
      <c r="FSG23" s="6"/>
      <c r="FSH23" s="6"/>
      <c r="FSI23" s="6"/>
      <c r="FSJ23" s="6"/>
      <c r="FSK23" s="6"/>
      <c r="FSL23" s="6"/>
      <c r="FSM23" s="6"/>
      <c r="FSN23" s="6"/>
      <c r="FSO23" s="6"/>
      <c r="FSP23" s="6"/>
      <c r="FSQ23" s="6"/>
      <c r="FSR23" s="6"/>
      <c r="FSS23" s="6"/>
      <c r="FST23" s="6"/>
      <c r="FSU23" s="6"/>
      <c r="FSV23" s="6"/>
      <c r="FSW23" s="6"/>
      <c r="FSX23" s="6"/>
      <c r="FSY23" s="6"/>
      <c r="FSZ23" s="6"/>
      <c r="FTA23" s="6"/>
      <c r="FTB23" s="6"/>
      <c r="FTC23" s="6"/>
      <c r="FTD23" s="6"/>
      <c r="FTE23" s="6"/>
      <c r="FTF23" s="6"/>
      <c r="FTG23" s="6"/>
      <c r="FTH23" s="6"/>
      <c r="FTI23" s="6"/>
      <c r="FTJ23" s="6"/>
      <c r="FTK23" s="6"/>
      <c r="FTL23" s="6"/>
      <c r="FTM23" s="6"/>
      <c r="FTN23" s="6"/>
      <c r="FTO23" s="6"/>
      <c r="FTP23" s="6"/>
      <c r="FTQ23" s="6"/>
      <c r="FTR23" s="6"/>
      <c r="FTS23" s="6"/>
      <c r="FTT23" s="6"/>
      <c r="FTU23" s="6"/>
      <c r="FTV23" s="6"/>
      <c r="FTW23" s="6"/>
      <c r="FTX23" s="6"/>
      <c r="FTY23" s="6"/>
      <c r="FTZ23" s="6"/>
      <c r="FUA23" s="6"/>
      <c r="FUB23" s="6"/>
      <c r="FUC23" s="6"/>
      <c r="FUD23" s="6"/>
      <c r="FUE23" s="6"/>
      <c r="FUF23" s="6"/>
      <c r="FUG23" s="6"/>
      <c r="FUH23" s="6"/>
      <c r="FUI23" s="6"/>
      <c r="FUJ23" s="6"/>
      <c r="FUK23" s="6"/>
      <c r="FUL23" s="6"/>
      <c r="FUM23" s="6"/>
      <c r="FUN23" s="6"/>
      <c r="FUO23" s="6"/>
      <c r="FUP23" s="6"/>
      <c r="FUQ23" s="6"/>
      <c r="FUR23" s="6"/>
      <c r="FUS23" s="6"/>
      <c r="FUT23" s="6"/>
      <c r="FUU23" s="6"/>
      <c r="FUV23" s="6"/>
      <c r="FUW23" s="6"/>
      <c r="FUX23" s="6"/>
      <c r="FUY23" s="6"/>
      <c r="FUZ23" s="6"/>
      <c r="FVA23" s="6"/>
      <c r="FVB23" s="6"/>
      <c r="FVC23" s="6"/>
      <c r="FVD23" s="6"/>
      <c r="FVE23" s="6"/>
      <c r="FVF23" s="6"/>
      <c r="FVG23" s="6"/>
      <c r="FVH23" s="6"/>
      <c r="FVI23" s="6"/>
      <c r="FVJ23" s="6"/>
      <c r="FVK23" s="6"/>
      <c r="FVL23" s="6"/>
      <c r="FVM23" s="6"/>
      <c r="FVN23" s="6"/>
      <c r="FVO23" s="6"/>
      <c r="FVP23" s="6"/>
      <c r="FVQ23" s="6"/>
      <c r="FVR23" s="6"/>
      <c r="FVS23" s="6"/>
      <c r="FVT23" s="6"/>
      <c r="FVU23" s="6"/>
      <c r="FVV23" s="6"/>
      <c r="FVW23" s="6"/>
      <c r="FVX23" s="6"/>
      <c r="FVY23" s="6"/>
      <c r="FVZ23" s="6"/>
      <c r="FWA23" s="6"/>
      <c r="FWB23" s="6"/>
      <c r="FWC23" s="6"/>
      <c r="FWD23" s="6"/>
      <c r="FWE23" s="6"/>
      <c r="FWF23" s="6"/>
      <c r="FWG23" s="6"/>
      <c r="FWH23" s="6"/>
      <c r="FWI23" s="6"/>
      <c r="FWJ23" s="6"/>
      <c r="FWK23" s="6"/>
      <c r="FWL23" s="6"/>
      <c r="FWM23" s="6"/>
      <c r="FWN23" s="6"/>
      <c r="FWO23" s="6"/>
      <c r="FWP23" s="6"/>
      <c r="FWQ23" s="6"/>
      <c r="FWR23" s="6"/>
      <c r="FWS23" s="6"/>
      <c r="FWT23" s="6"/>
      <c r="FWU23" s="6"/>
      <c r="FWV23" s="6"/>
      <c r="FWW23" s="6"/>
      <c r="FWX23" s="6"/>
      <c r="FWY23" s="6"/>
      <c r="FWZ23" s="6"/>
      <c r="FXA23" s="6"/>
      <c r="FXB23" s="6"/>
      <c r="FXC23" s="6"/>
      <c r="FXD23" s="6"/>
      <c r="FXE23" s="6"/>
      <c r="FXF23" s="6"/>
      <c r="FXG23" s="6"/>
      <c r="FXH23" s="6"/>
      <c r="FXI23" s="6"/>
      <c r="FXJ23" s="6"/>
      <c r="FXK23" s="6"/>
      <c r="FXL23" s="6"/>
      <c r="FXM23" s="6"/>
      <c r="FXN23" s="6"/>
      <c r="FXO23" s="6"/>
      <c r="FXP23" s="6"/>
      <c r="FXQ23" s="6"/>
      <c r="FXR23" s="6"/>
      <c r="FXS23" s="6"/>
      <c r="FXT23" s="6"/>
      <c r="FXU23" s="6"/>
      <c r="FXV23" s="6"/>
      <c r="FXW23" s="6"/>
      <c r="FXX23" s="6"/>
      <c r="FXY23" s="6"/>
      <c r="FXZ23" s="6"/>
      <c r="FYA23" s="6"/>
      <c r="FYB23" s="6"/>
      <c r="FYC23" s="6"/>
      <c r="FYD23" s="6"/>
      <c r="FYE23" s="6"/>
      <c r="FYF23" s="6"/>
      <c r="FYG23" s="6"/>
      <c r="FYH23" s="6"/>
      <c r="FYI23" s="6"/>
      <c r="FYJ23" s="6"/>
      <c r="FYK23" s="6"/>
      <c r="FYL23" s="6"/>
      <c r="FYM23" s="6"/>
      <c r="FYN23" s="6"/>
      <c r="FYO23" s="6"/>
      <c r="FYP23" s="6"/>
      <c r="FYQ23" s="6"/>
      <c r="FYR23" s="6"/>
      <c r="FYS23" s="6"/>
      <c r="FYT23" s="6"/>
      <c r="FYU23" s="6"/>
      <c r="FYV23" s="6"/>
      <c r="FYW23" s="6"/>
      <c r="FYX23" s="6"/>
      <c r="FYY23" s="6"/>
      <c r="FYZ23" s="6"/>
      <c r="FZA23" s="6"/>
      <c r="FZB23" s="6"/>
      <c r="FZC23" s="6"/>
      <c r="FZD23" s="6"/>
      <c r="FZE23" s="6"/>
      <c r="FZF23" s="6"/>
      <c r="FZG23" s="6"/>
      <c r="FZH23" s="6"/>
      <c r="FZI23" s="6"/>
      <c r="FZJ23" s="6"/>
      <c r="FZK23" s="6"/>
      <c r="FZL23" s="6"/>
      <c r="FZM23" s="6"/>
      <c r="FZN23" s="6"/>
      <c r="FZO23" s="6"/>
      <c r="FZP23" s="6"/>
      <c r="FZQ23" s="6"/>
      <c r="FZR23" s="6"/>
      <c r="FZS23" s="6"/>
      <c r="FZT23" s="6"/>
      <c r="FZU23" s="6"/>
      <c r="FZV23" s="6"/>
      <c r="FZW23" s="6"/>
      <c r="FZX23" s="6"/>
      <c r="FZY23" s="6"/>
      <c r="FZZ23" s="6"/>
      <c r="GAA23" s="6"/>
      <c r="GAB23" s="6"/>
      <c r="GAC23" s="6"/>
      <c r="GAD23" s="6"/>
      <c r="GAE23" s="6"/>
      <c r="GAF23" s="6"/>
      <c r="GAG23" s="6"/>
      <c r="GAH23" s="6"/>
      <c r="GAI23" s="6"/>
      <c r="GAJ23" s="6"/>
      <c r="GAK23" s="6"/>
      <c r="GAL23" s="6"/>
      <c r="GAM23" s="6"/>
      <c r="GAN23" s="6"/>
      <c r="GAO23" s="6"/>
      <c r="GAP23" s="6"/>
      <c r="GAQ23" s="6"/>
      <c r="GAR23" s="6"/>
      <c r="GAS23" s="6"/>
      <c r="GAT23" s="6"/>
      <c r="GAU23" s="6"/>
      <c r="GAV23" s="6"/>
      <c r="GAW23" s="6"/>
      <c r="GAX23" s="6"/>
      <c r="GAY23" s="6"/>
      <c r="GAZ23" s="6"/>
      <c r="GBA23" s="6"/>
      <c r="GBB23" s="6"/>
      <c r="GBC23" s="6"/>
      <c r="GBD23" s="6"/>
      <c r="GBE23" s="6"/>
      <c r="GBF23" s="6"/>
      <c r="GBG23" s="6"/>
      <c r="GBH23" s="6"/>
      <c r="GBI23" s="6"/>
      <c r="GBJ23" s="6"/>
      <c r="GBK23" s="6"/>
      <c r="GBL23" s="6"/>
      <c r="GBM23" s="6"/>
      <c r="GBN23" s="6"/>
      <c r="GBO23" s="6"/>
      <c r="GBP23" s="6"/>
      <c r="GBQ23" s="6"/>
      <c r="GBR23" s="6"/>
      <c r="GBS23" s="6"/>
      <c r="GBT23" s="6"/>
      <c r="GBU23" s="6"/>
      <c r="GBV23" s="6"/>
      <c r="GBW23" s="6"/>
      <c r="GBX23" s="6"/>
      <c r="GBY23" s="6"/>
      <c r="GBZ23" s="6"/>
      <c r="GCA23" s="6"/>
      <c r="GCB23" s="6"/>
      <c r="GCC23" s="6"/>
      <c r="GCD23" s="6"/>
      <c r="GCE23" s="6"/>
      <c r="GCF23" s="6"/>
      <c r="GCG23" s="6"/>
      <c r="GCH23" s="6"/>
      <c r="GCI23" s="6"/>
      <c r="GCJ23" s="6"/>
      <c r="GCK23" s="6"/>
      <c r="GCL23" s="6"/>
      <c r="GCM23" s="6"/>
      <c r="GCN23" s="6"/>
      <c r="GCO23" s="6"/>
      <c r="GCP23" s="6"/>
      <c r="GCQ23" s="6"/>
      <c r="GCR23" s="6"/>
      <c r="GCS23" s="6"/>
      <c r="GCT23" s="6"/>
      <c r="GCU23" s="6"/>
      <c r="GCV23" s="6"/>
      <c r="GCW23" s="6"/>
      <c r="GCX23" s="6"/>
      <c r="GCY23" s="6"/>
      <c r="GCZ23" s="6"/>
      <c r="GDA23" s="6"/>
      <c r="GDB23" s="6"/>
      <c r="GDC23" s="6"/>
      <c r="GDD23" s="6"/>
      <c r="GDE23" s="6"/>
      <c r="GDF23" s="6"/>
      <c r="GDG23" s="6"/>
      <c r="GDH23" s="6"/>
      <c r="GDI23" s="6"/>
      <c r="GDJ23" s="6"/>
      <c r="GDK23" s="6"/>
      <c r="GDL23" s="6"/>
      <c r="GDM23" s="6"/>
      <c r="GDN23" s="6"/>
      <c r="GDO23" s="6"/>
      <c r="GDP23" s="6"/>
      <c r="GDQ23" s="6"/>
      <c r="GDR23" s="6"/>
      <c r="GDS23" s="6"/>
      <c r="GDT23" s="6"/>
      <c r="GDU23" s="6"/>
      <c r="GDV23" s="6"/>
      <c r="GDW23" s="6"/>
      <c r="GDX23" s="6"/>
      <c r="GDY23" s="6"/>
      <c r="GDZ23" s="6"/>
      <c r="GEA23" s="6"/>
      <c r="GEB23" s="6"/>
      <c r="GEC23" s="6"/>
      <c r="GED23" s="6"/>
      <c r="GEE23" s="6"/>
      <c r="GEF23" s="6"/>
      <c r="GEG23" s="6"/>
      <c r="GEH23" s="6"/>
      <c r="GEI23" s="6"/>
      <c r="GEJ23" s="6"/>
      <c r="GEK23" s="6"/>
      <c r="GEL23" s="6"/>
      <c r="GEM23" s="6"/>
      <c r="GEN23" s="6"/>
      <c r="GEO23" s="6"/>
      <c r="GEP23" s="6"/>
      <c r="GEQ23" s="6"/>
      <c r="GER23" s="6"/>
      <c r="GES23" s="6"/>
      <c r="GET23" s="6"/>
      <c r="GEU23" s="6"/>
      <c r="GEV23" s="6"/>
      <c r="GEW23" s="6"/>
      <c r="GEX23" s="6"/>
      <c r="GEY23" s="6"/>
      <c r="GEZ23" s="6"/>
      <c r="GFA23" s="6"/>
      <c r="GFB23" s="6"/>
      <c r="GFC23" s="6"/>
      <c r="GFD23" s="6"/>
      <c r="GFE23" s="6"/>
      <c r="GFF23" s="6"/>
      <c r="GFG23" s="6"/>
      <c r="GFH23" s="6"/>
      <c r="GFI23" s="6"/>
      <c r="GFJ23" s="6"/>
      <c r="GFK23" s="6"/>
      <c r="GFL23" s="6"/>
      <c r="GFM23" s="6"/>
      <c r="GFN23" s="6"/>
      <c r="GFO23" s="6"/>
      <c r="GFP23" s="6"/>
      <c r="GFQ23" s="6"/>
      <c r="GFR23" s="6"/>
      <c r="GFS23" s="6"/>
      <c r="GFT23" s="6"/>
      <c r="GFU23" s="6"/>
      <c r="GFV23" s="6"/>
      <c r="GFW23" s="6"/>
      <c r="GFX23" s="6"/>
      <c r="GFY23" s="6"/>
      <c r="GFZ23" s="6"/>
      <c r="GGA23" s="6"/>
      <c r="GGB23" s="6"/>
      <c r="GGC23" s="6"/>
      <c r="GGD23" s="6"/>
      <c r="GGE23" s="6"/>
      <c r="GGF23" s="6"/>
      <c r="GGG23" s="6"/>
      <c r="GGH23" s="6"/>
      <c r="GGI23" s="6"/>
      <c r="GGJ23" s="6"/>
      <c r="GGK23" s="6"/>
      <c r="GGL23" s="6"/>
      <c r="GGM23" s="6"/>
      <c r="GGN23" s="6"/>
      <c r="GGO23" s="6"/>
      <c r="GGP23" s="6"/>
      <c r="GGQ23" s="6"/>
      <c r="GGR23" s="6"/>
      <c r="GGS23" s="6"/>
      <c r="GGT23" s="6"/>
      <c r="GGU23" s="6"/>
      <c r="GGV23" s="6"/>
      <c r="GGW23" s="6"/>
      <c r="GGX23" s="6"/>
      <c r="GGY23" s="6"/>
      <c r="GGZ23" s="6"/>
      <c r="GHA23" s="6"/>
      <c r="GHB23" s="6"/>
      <c r="GHC23" s="6"/>
      <c r="GHD23" s="6"/>
      <c r="GHE23" s="6"/>
      <c r="GHF23" s="6"/>
      <c r="GHG23" s="6"/>
      <c r="GHH23" s="6"/>
      <c r="GHI23" s="6"/>
      <c r="GHJ23" s="6"/>
      <c r="GHK23" s="6"/>
      <c r="GHL23" s="6"/>
      <c r="GHM23" s="6"/>
      <c r="GHN23" s="6"/>
      <c r="GHO23" s="6"/>
      <c r="GHP23" s="6"/>
      <c r="GHQ23" s="6"/>
      <c r="GHR23" s="6"/>
      <c r="GHS23" s="6"/>
      <c r="GHT23" s="6"/>
      <c r="GHU23" s="6"/>
      <c r="GHV23" s="6"/>
      <c r="GHW23" s="6"/>
      <c r="GHX23" s="6"/>
      <c r="GHY23" s="6"/>
      <c r="GHZ23" s="6"/>
      <c r="GIA23" s="6"/>
      <c r="GIB23" s="6"/>
      <c r="GIC23" s="6"/>
      <c r="GID23" s="6"/>
      <c r="GIE23" s="6"/>
      <c r="GIF23" s="6"/>
      <c r="GIG23" s="6"/>
      <c r="GIH23" s="6"/>
      <c r="GII23" s="6"/>
      <c r="GIJ23" s="6"/>
      <c r="GIK23" s="6"/>
      <c r="GIL23" s="6"/>
      <c r="GIM23" s="6"/>
      <c r="GIN23" s="6"/>
      <c r="GIO23" s="6"/>
      <c r="GIP23" s="6"/>
      <c r="GIQ23" s="6"/>
      <c r="GIR23" s="6"/>
      <c r="GIS23" s="6"/>
      <c r="GIT23" s="6"/>
      <c r="GIU23" s="6"/>
      <c r="GIV23" s="6"/>
      <c r="GIW23" s="6"/>
      <c r="GIX23" s="6"/>
      <c r="GIY23" s="6"/>
      <c r="GIZ23" s="6"/>
      <c r="GJA23" s="6"/>
      <c r="GJB23" s="6"/>
      <c r="GJC23" s="6"/>
      <c r="GJD23" s="6"/>
      <c r="GJE23" s="6"/>
      <c r="GJF23" s="6"/>
      <c r="GJG23" s="6"/>
      <c r="GJH23" s="6"/>
      <c r="GJI23" s="6"/>
      <c r="GJJ23" s="6"/>
      <c r="GJK23" s="6"/>
      <c r="GJL23" s="6"/>
      <c r="GJM23" s="6"/>
      <c r="GJN23" s="6"/>
      <c r="GJO23" s="6"/>
      <c r="GJP23" s="6"/>
      <c r="GJQ23" s="6"/>
      <c r="GJR23" s="6"/>
      <c r="GJS23" s="6"/>
      <c r="GJT23" s="6"/>
      <c r="GJU23" s="6"/>
      <c r="GJV23" s="6"/>
      <c r="GJW23" s="6"/>
      <c r="GJX23" s="6"/>
      <c r="GJY23" s="6"/>
      <c r="GJZ23" s="6"/>
      <c r="GKA23" s="6"/>
      <c r="GKB23" s="6"/>
      <c r="GKC23" s="6"/>
      <c r="GKD23" s="6"/>
      <c r="GKE23" s="6"/>
      <c r="GKF23" s="6"/>
      <c r="GKG23" s="6"/>
      <c r="GKH23" s="6"/>
      <c r="GKI23" s="6"/>
      <c r="GKJ23" s="6"/>
      <c r="GKK23" s="6"/>
      <c r="GKL23" s="6"/>
      <c r="GKM23" s="6"/>
      <c r="GKN23" s="6"/>
      <c r="GKO23" s="6"/>
      <c r="GKP23" s="6"/>
      <c r="GKQ23" s="6"/>
      <c r="GKR23" s="6"/>
      <c r="GKS23" s="6"/>
      <c r="GKT23" s="6"/>
      <c r="GKU23" s="6"/>
      <c r="GKV23" s="6"/>
      <c r="GKW23" s="6"/>
      <c r="GKX23" s="6"/>
      <c r="GKY23" s="6"/>
      <c r="GKZ23" s="6"/>
      <c r="GLA23" s="6"/>
      <c r="GLB23" s="6"/>
      <c r="GLC23" s="6"/>
      <c r="GLD23" s="6"/>
      <c r="GLE23" s="6"/>
      <c r="GLF23" s="6"/>
      <c r="GLG23" s="6"/>
      <c r="GLH23" s="6"/>
      <c r="GLI23" s="6"/>
      <c r="GLJ23" s="6"/>
      <c r="GLK23" s="6"/>
      <c r="GLL23" s="6"/>
      <c r="GLM23" s="6"/>
      <c r="GLN23" s="6"/>
      <c r="GLO23" s="6"/>
      <c r="GLP23" s="6"/>
      <c r="GLQ23" s="6"/>
      <c r="GLR23" s="6"/>
      <c r="GLS23" s="6"/>
      <c r="GLT23" s="6"/>
      <c r="GLU23" s="6"/>
      <c r="GLV23" s="6"/>
      <c r="GLW23" s="6"/>
      <c r="GLX23" s="6"/>
      <c r="GLY23" s="6"/>
      <c r="GLZ23" s="6"/>
      <c r="GMA23" s="6"/>
      <c r="GMB23" s="6"/>
      <c r="GMC23" s="6"/>
      <c r="GMD23" s="6"/>
      <c r="GME23" s="6"/>
      <c r="GMF23" s="6"/>
      <c r="GMG23" s="6"/>
      <c r="GMH23" s="6"/>
      <c r="GMI23" s="6"/>
      <c r="GMJ23" s="6"/>
      <c r="GMK23" s="6"/>
      <c r="GML23" s="6"/>
      <c r="GMM23" s="6"/>
      <c r="GMN23" s="6"/>
      <c r="GMO23" s="6"/>
      <c r="GMP23" s="6"/>
      <c r="GMQ23" s="6"/>
      <c r="GMR23" s="6"/>
      <c r="GMS23" s="6"/>
      <c r="GMT23" s="6"/>
      <c r="GMU23" s="6"/>
      <c r="GMV23" s="6"/>
      <c r="GMW23" s="6"/>
      <c r="GMX23" s="6"/>
      <c r="GMY23" s="6"/>
      <c r="GMZ23" s="6"/>
      <c r="GNA23" s="6"/>
      <c r="GNB23" s="6"/>
      <c r="GNC23" s="6"/>
      <c r="GND23" s="6"/>
      <c r="GNE23" s="6"/>
      <c r="GNF23" s="6"/>
      <c r="GNG23" s="6"/>
      <c r="GNH23" s="6"/>
      <c r="GNI23" s="6"/>
      <c r="GNJ23" s="6"/>
      <c r="GNK23" s="6"/>
      <c r="GNL23" s="6"/>
      <c r="GNM23" s="6"/>
      <c r="GNN23" s="6"/>
      <c r="GNO23" s="6"/>
      <c r="GNP23" s="6"/>
      <c r="GNQ23" s="6"/>
      <c r="GNR23" s="6"/>
      <c r="GNS23" s="6"/>
      <c r="GNT23" s="6"/>
      <c r="GNU23" s="6"/>
      <c r="GNV23" s="6"/>
      <c r="GNW23" s="6"/>
      <c r="GNX23" s="6"/>
      <c r="GNY23" s="6"/>
      <c r="GNZ23" s="6"/>
      <c r="GOA23" s="6"/>
      <c r="GOB23" s="6"/>
      <c r="GOC23" s="6"/>
      <c r="GOD23" s="6"/>
      <c r="GOE23" s="6"/>
      <c r="GOF23" s="6"/>
      <c r="GOG23" s="6"/>
      <c r="GOH23" s="6"/>
      <c r="GOI23" s="6"/>
      <c r="GOJ23" s="6"/>
      <c r="GOK23" s="6"/>
      <c r="GOL23" s="6"/>
      <c r="GOM23" s="6"/>
      <c r="GON23" s="6"/>
      <c r="GOO23" s="6"/>
      <c r="GOP23" s="6"/>
      <c r="GOQ23" s="6"/>
      <c r="GOR23" s="6"/>
      <c r="GOS23" s="6"/>
      <c r="GOT23" s="6"/>
      <c r="GOU23" s="6"/>
      <c r="GOV23" s="6"/>
      <c r="GOW23" s="6"/>
      <c r="GOX23" s="6"/>
      <c r="GOY23" s="6"/>
      <c r="GOZ23" s="6"/>
      <c r="GPA23" s="6"/>
      <c r="GPB23" s="6"/>
      <c r="GPC23" s="6"/>
      <c r="GPD23" s="6"/>
      <c r="GPE23" s="6"/>
      <c r="GPF23" s="6"/>
      <c r="GPG23" s="6"/>
      <c r="GPH23" s="6"/>
      <c r="GPI23" s="6"/>
      <c r="GPJ23" s="6"/>
      <c r="GPK23" s="6"/>
      <c r="GPL23" s="6"/>
      <c r="GPM23" s="6"/>
      <c r="GPN23" s="6"/>
      <c r="GPO23" s="6"/>
      <c r="GPP23" s="6"/>
      <c r="GPQ23" s="6"/>
      <c r="GPR23" s="6"/>
      <c r="GPS23" s="6"/>
      <c r="GPT23" s="6"/>
      <c r="GPU23" s="6"/>
      <c r="GPV23" s="6"/>
      <c r="GPW23" s="6"/>
      <c r="GPX23" s="6"/>
      <c r="GPY23" s="6"/>
      <c r="GPZ23" s="6"/>
      <c r="GQA23" s="6"/>
      <c r="GQB23" s="6"/>
      <c r="GQC23" s="6"/>
      <c r="GQD23" s="6"/>
      <c r="GQE23" s="6"/>
      <c r="GQF23" s="6"/>
      <c r="GQG23" s="6"/>
      <c r="GQH23" s="6"/>
      <c r="GQI23" s="6"/>
      <c r="GQJ23" s="6"/>
      <c r="GQK23" s="6"/>
      <c r="GQL23" s="6"/>
      <c r="GQM23" s="6"/>
      <c r="GQN23" s="6"/>
      <c r="GQO23" s="6"/>
      <c r="GQP23" s="6"/>
      <c r="GQQ23" s="6"/>
      <c r="GQR23" s="6"/>
      <c r="GQS23" s="6"/>
      <c r="GQT23" s="6"/>
      <c r="GQU23" s="6"/>
      <c r="GQV23" s="6"/>
      <c r="GQW23" s="6"/>
      <c r="GQX23" s="6"/>
      <c r="GQY23" s="6"/>
      <c r="GQZ23" s="6"/>
      <c r="GRA23" s="6"/>
      <c r="GRB23" s="6"/>
      <c r="GRC23" s="6"/>
      <c r="GRD23" s="6"/>
      <c r="GRE23" s="6"/>
      <c r="GRF23" s="6"/>
      <c r="GRG23" s="6"/>
      <c r="GRH23" s="6"/>
      <c r="GRI23" s="6"/>
      <c r="GRJ23" s="6"/>
      <c r="GRK23" s="6"/>
      <c r="GRL23" s="6"/>
      <c r="GRM23" s="6"/>
      <c r="GRN23" s="6"/>
      <c r="GRO23" s="6"/>
      <c r="GRP23" s="6"/>
      <c r="GRQ23" s="6"/>
      <c r="GRR23" s="6"/>
      <c r="GRS23" s="6"/>
      <c r="GRT23" s="6"/>
      <c r="GRU23" s="6"/>
      <c r="GRV23" s="6"/>
      <c r="GRW23" s="6"/>
      <c r="GRX23" s="6"/>
      <c r="GRY23" s="6"/>
      <c r="GRZ23" s="6"/>
      <c r="GSA23" s="6"/>
      <c r="GSB23" s="6"/>
      <c r="GSC23" s="6"/>
      <c r="GSD23" s="6"/>
      <c r="GSE23" s="6"/>
      <c r="GSF23" s="6"/>
      <c r="GSG23" s="6"/>
      <c r="GSH23" s="6"/>
      <c r="GSI23" s="6"/>
      <c r="GSJ23" s="6"/>
      <c r="GSK23" s="6"/>
      <c r="GSL23" s="6"/>
      <c r="GSM23" s="6"/>
      <c r="GSN23" s="6"/>
      <c r="GSO23" s="6"/>
      <c r="GSP23" s="6"/>
      <c r="GSQ23" s="6"/>
      <c r="GSR23" s="6"/>
      <c r="GSS23" s="6"/>
      <c r="GST23" s="6"/>
      <c r="GSU23" s="6"/>
      <c r="GSV23" s="6"/>
      <c r="GSW23" s="6"/>
      <c r="GSX23" s="6"/>
      <c r="GSY23" s="6"/>
      <c r="GSZ23" s="6"/>
      <c r="GTA23" s="6"/>
      <c r="GTB23" s="6"/>
      <c r="GTC23" s="6"/>
      <c r="GTD23" s="6"/>
      <c r="GTE23" s="6"/>
      <c r="GTF23" s="6"/>
      <c r="GTG23" s="6"/>
      <c r="GTH23" s="6"/>
      <c r="GTI23" s="6"/>
      <c r="GTJ23" s="6"/>
      <c r="GTK23" s="6"/>
      <c r="GTL23" s="6"/>
      <c r="GTM23" s="6"/>
      <c r="GTN23" s="6"/>
      <c r="GTO23" s="6"/>
      <c r="GTP23" s="6"/>
      <c r="GTQ23" s="6"/>
      <c r="GTR23" s="6"/>
      <c r="GTS23" s="6"/>
      <c r="GTT23" s="6"/>
      <c r="GTU23" s="6"/>
      <c r="GTV23" s="6"/>
      <c r="GTW23" s="6"/>
      <c r="GTX23" s="6"/>
      <c r="GTY23" s="6"/>
      <c r="GTZ23" s="6"/>
      <c r="GUA23" s="6"/>
      <c r="GUB23" s="6"/>
      <c r="GUC23" s="6"/>
      <c r="GUD23" s="6"/>
      <c r="GUE23" s="6"/>
      <c r="GUF23" s="6"/>
      <c r="GUG23" s="6"/>
      <c r="GUH23" s="6"/>
      <c r="GUI23" s="6"/>
      <c r="GUJ23" s="6"/>
      <c r="GUK23" s="6"/>
      <c r="GUL23" s="6"/>
      <c r="GUM23" s="6"/>
      <c r="GUN23" s="6"/>
      <c r="GUO23" s="6"/>
      <c r="GUP23" s="6"/>
      <c r="GUQ23" s="6"/>
      <c r="GUR23" s="6"/>
      <c r="GUS23" s="6"/>
      <c r="GUT23" s="6"/>
      <c r="GUU23" s="6"/>
      <c r="GUV23" s="6"/>
      <c r="GUW23" s="6"/>
      <c r="GUX23" s="6"/>
      <c r="GUY23" s="6"/>
      <c r="GUZ23" s="6"/>
      <c r="GVA23" s="6"/>
      <c r="GVB23" s="6"/>
      <c r="GVC23" s="6"/>
      <c r="GVD23" s="6"/>
      <c r="GVE23" s="6"/>
      <c r="GVF23" s="6"/>
      <c r="GVG23" s="6"/>
      <c r="GVH23" s="6"/>
      <c r="GVI23" s="6"/>
      <c r="GVJ23" s="6"/>
      <c r="GVK23" s="6"/>
      <c r="GVL23" s="6"/>
      <c r="GVM23" s="6"/>
      <c r="GVN23" s="6"/>
      <c r="GVO23" s="6"/>
      <c r="GVP23" s="6"/>
      <c r="GVQ23" s="6"/>
      <c r="GVR23" s="6"/>
      <c r="GVS23" s="6"/>
      <c r="GVT23" s="6"/>
      <c r="GVU23" s="6"/>
      <c r="GVV23" s="6"/>
      <c r="GVW23" s="6"/>
      <c r="GVX23" s="6"/>
      <c r="GVY23" s="6"/>
      <c r="GVZ23" s="6"/>
      <c r="GWA23" s="6"/>
      <c r="GWB23" s="6"/>
      <c r="GWC23" s="6"/>
      <c r="GWD23" s="6"/>
      <c r="GWE23" s="6"/>
      <c r="GWF23" s="6"/>
      <c r="GWG23" s="6"/>
      <c r="GWH23" s="6"/>
      <c r="GWI23" s="6"/>
      <c r="GWJ23" s="6"/>
      <c r="GWK23" s="6"/>
      <c r="GWL23" s="6"/>
      <c r="GWM23" s="6"/>
      <c r="GWN23" s="6"/>
      <c r="GWO23" s="6"/>
      <c r="GWP23" s="6"/>
      <c r="GWQ23" s="6"/>
      <c r="GWR23" s="6"/>
      <c r="GWS23" s="6"/>
      <c r="GWT23" s="6"/>
      <c r="GWU23" s="6"/>
      <c r="GWV23" s="6"/>
      <c r="GWW23" s="6"/>
      <c r="GWX23" s="6"/>
      <c r="GWY23" s="6"/>
      <c r="GWZ23" s="6"/>
      <c r="GXA23" s="6"/>
      <c r="GXB23" s="6"/>
      <c r="GXC23" s="6"/>
      <c r="GXD23" s="6"/>
      <c r="GXE23" s="6"/>
      <c r="GXF23" s="6"/>
      <c r="GXG23" s="6"/>
      <c r="GXH23" s="6"/>
      <c r="GXI23" s="6"/>
      <c r="GXJ23" s="6"/>
      <c r="GXK23" s="6"/>
      <c r="GXL23" s="6"/>
      <c r="GXM23" s="6"/>
      <c r="GXN23" s="6"/>
      <c r="GXO23" s="6"/>
      <c r="GXP23" s="6"/>
      <c r="GXQ23" s="6"/>
      <c r="GXR23" s="6"/>
      <c r="GXS23" s="6"/>
      <c r="GXT23" s="6"/>
      <c r="GXU23" s="6"/>
      <c r="GXV23" s="6"/>
      <c r="GXW23" s="6"/>
      <c r="GXX23" s="6"/>
      <c r="GXY23" s="6"/>
      <c r="GXZ23" s="6"/>
      <c r="GYA23" s="6"/>
      <c r="GYB23" s="6"/>
      <c r="GYC23" s="6"/>
      <c r="GYD23" s="6"/>
      <c r="GYE23" s="6"/>
      <c r="GYF23" s="6"/>
      <c r="GYG23" s="6"/>
      <c r="GYH23" s="6"/>
      <c r="GYI23" s="6"/>
      <c r="GYJ23" s="6"/>
      <c r="GYK23" s="6"/>
      <c r="GYL23" s="6"/>
      <c r="GYM23" s="6"/>
      <c r="GYN23" s="6"/>
      <c r="GYO23" s="6"/>
      <c r="GYP23" s="6"/>
      <c r="GYQ23" s="6"/>
      <c r="GYR23" s="6"/>
      <c r="GYS23" s="6"/>
      <c r="GYT23" s="6"/>
      <c r="GYU23" s="6"/>
      <c r="GYV23" s="6"/>
      <c r="GYW23" s="6"/>
      <c r="GYX23" s="6"/>
      <c r="GYY23" s="6"/>
      <c r="GYZ23" s="6"/>
      <c r="GZA23" s="6"/>
      <c r="GZB23" s="6"/>
      <c r="GZC23" s="6"/>
      <c r="GZD23" s="6"/>
      <c r="GZE23" s="6"/>
      <c r="GZF23" s="6"/>
      <c r="GZG23" s="6"/>
      <c r="GZH23" s="6"/>
      <c r="GZI23" s="6"/>
      <c r="GZJ23" s="6"/>
      <c r="GZK23" s="6"/>
      <c r="GZL23" s="6"/>
      <c r="GZM23" s="6"/>
      <c r="GZN23" s="6"/>
      <c r="GZO23" s="6"/>
      <c r="GZP23" s="6"/>
      <c r="GZQ23" s="6"/>
      <c r="GZR23" s="6"/>
      <c r="GZS23" s="6"/>
      <c r="GZT23" s="6"/>
      <c r="GZU23" s="6"/>
      <c r="GZV23" s="6"/>
      <c r="GZW23" s="6"/>
      <c r="GZX23" s="6"/>
      <c r="GZY23" s="6"/>
      <c r="GZZ23" s="6"/>
      <c r="HAA23" s="6"/>
      <c r="HAB23" s="6"/>
      <c r="HAC23" s="6"/>
      <c r="HAD23" s="6"/>
      <c r="HAE23" s="6"/>
      <c r="HAF23" s="6"/>
      <c r="HAG23" s="6"/>
      <c r="HAH23" s="6"/>
      <c r="HAI23" s="6"/>
      <c r="HAJ23" s="6"/>
      <c r="HAK23" s="6"/>
      <c r="HAL23" s="6"/>
      <c r="HAM23" s="6"/>
      <c r="HAN23" s="6"/>
      <c r="HAO23" s="6"/>
      <c r="HAP23" s="6"/>
      <c r="HAQ23" s="6"/>
      <c r="HAR23" s="6"/>
      <c r="HAS23" s="6"/>
      <c r="HAT23" s="6"/>
      <c r="HAU23" s="6"/>
      <c r="HAV23" s="6"/>
      <c r="HAW23" s="6"/>
      <c r="HAX23" s="6"/>
      <c r="HAY23" s="6"/>
      <c r="HAZ23" s="6"/>
      <c r="HBA23" s="6"/>
      <c r="HBB23" s="6"/>
      <c r="HBC23" s="6"/>
      <c r="HBD23" s="6"/>
      <c r="HBE23" s="6"/>
      <c r="HBF23" s="6"/>
      <c r="HBG23" s="6"/>
      <c r="HBH23" s="6"/>
      <c r="HBI23" s="6"/>
      <c r="HBJ23" s="6"/>
      <c r="HBK23" s="6"/>
      <c r="HBL23" s="6"/>
      <c r="HBM23" s="6"/>
      <c r="HBN23" s="6"/>
      <c r="HBO23" s="6"/>
      <c r="HBP23" s="6"/>
      <c r="HBQ23" s="6"/>
      <c r="HBR23" s="6"/>
      <c r="HBS23" s="6"/>
      <c r="HBT23" s="6"/>
      <c r="HBU23" s="6"/>
      <c r="HBV23" s="6"/>
      <c r="HBW23" s="6"/>
      <c r="HBX23" s="6"/>
      <c r="HBY23" s="6"/>
      <c r="HBZ23" s="6"/>
      <c r="HCA23" s="6"/>
      <c r="HCB23" s="6"/>
      <c r="HCC23" s="6"/>
      <c r="HCD23" s="6"/>
      <c r="HCE23" s="6"/>
      <c r="HCF23" s="6"/>
      <c r="HCG23" s="6"/>
      <c r="HCH23" s="6"/>
      <c r="HCI23" s="6"/>
      <c r="HCJ23" s="6"/>
      <c r="HCK23" s="6"/>
      <c r="HCL23" s="6"/>
      <c r="HCM23" s="6"/>
      <c r="HCN23" s="6"/>
      <c r="HCO23" s="6"/>
      <c r="HCP23" s="6"/>
      <c r="HCQ23" s="6"/>
      <c r="HCR23" s="6"/>
      <c r="HCS23" s="6"/>
      <c r="HCT23" s="6"/>
      <c r="HCU23" s="6"/>
      <c r="HCV23" s="6"/>
      <c r="HCW23" s="6"/>
      <c r="HCX23" s="6"/>
      <c r="HCY23" s="6"/>
      <c r="HCZ23" s="6"/>
      <c r="HDA23" s="6"/>
      <c r="HDB23" s="6"/>
      <c r="HDC23" s="6"/>
      <c r="HDD23" s="6"/>
      <c r="HDE23" s="6"/>
      <c r="HDF23" s="6"/>
      <c r="HDG23" s="6"/>
      <c r="HDH23" s="6"/>
      <c r="HDI23" s="6"/>
      <c r="HDJ23" s="6"/>
      <c r="HDK23" s="6"/>
      <c r="HDL23" s="6"/>
      <c r="HDM23" s="6"/>
      <c r="HDN23" s="6"/>
      <c r="HDO23" s="6"/>
      <c r="HDP23" s="6"/>
      <c r="HDQ23" s="6"/>
      <c r="HDR23" s="6"/>
      <c r="HDS23" s="6"/>
      <c r="HDT23" s="6"/>
      <c r="HDU23" s="6"/>
      <c r="HDV23" s="6"/>
      <c r="HDW23" s="6"/>
      <c r="HDX23" s="6"/>
      <c r="HDY23" s="6"/>
      <c r="HDZ23" s="6"/>
      <c r="HEA23" s="6"/>
      <c r="HEB23" s="6"/>
      <c r="HEC23" s="6"/>
      <c r="HED23" s="6"/>
      <c r="HEE23" s="6"/>
      <c r="HEF23" s="6"/>
      <c r="HEG23" s="6"/>
      <c r="HEH23" s="6"/>
      <c r="HEI23" s="6"/>
      <c r="HEJ23" s="6"/>
      <c r="HEK23" s="6"/>
      <c r="HEL23" s="6"/>
      <c r="HEM23" s="6"/>
      <c r="HEN23" s="6"/>
      <c r="HEO23" s="6"/>
      <c r="HEP23" s="6"/>
      <c r="HEQ23" s="6"/>
      <c r="HER23" s="6"/>
      <c r="HES23" s="6"/>
      <c r="HET23" s="6"/>
      <c r="HEU23" s="6"/>
      <c r="HEV23" s="6"/>
      <c r="HEW23" s="6"/>
      <c r="HEX23" s="6"/>
      <c r="HEY23" s="6"/>
      <c r="HEZ23" s="6"/>
      <c r="HFA23" s="6"/>
      <c r="HFB23" s="6"/>
      <c r="HFC23" s="6"/>
      <c r="HFD23" s="6"/>
      <c r="HFE23" s="6"/>
      <c r="HFF23" s="6"/>
      <c r="HFG23" s="6"/>
      <c r="HFH23" s="6"/>
      <c r="HFI23" s="6"/>
      <c r="HFJ23" s="6"/>
      <c r="HFK23" s="6"/>
      <c r="HFL23" s="6"/>
      <c r="HFM23" s="6"/>
      <c r="HFN23" s="6"/>
      <c r="HFO23" s="6"/>
      <c r="HFP23" s="6"/>
      <c r="HFQ23" s="6"/>
      <c r="HFR23" s="6"/>
      <c r="HFS23" s="6"/>
      <c r="HFT23" s="6"/>
      <c r="HFU23" s="6"/>
      <c r="HFV23" s="6"/>
      <c r="HFW23" s="6"/>
      <c r="HFX23" s="6"/>
      <c r="HFY23" s="6"/>
      <c r="HFZ23" s="6"/>
      <c r="HGA23" s="6"/>
      <c r="HGB23" s="6"/>
      <c r="HGC23" s="6"/>
      <c r="HGD23" s="6"/>
      <c r="HGE23" s="6"/>
      <c r="HGF23" s="6"/>
      <c r="HGG23" s="6"/>
      <c r="HGH23" s="6"/>
      <c r="HGI23" s="6"/>
      <c r="HGJ23" s="6"/>
      <c r="HGK23" s="6"/>
      <c r="HGL23" s="6"/>
      <c r="HGM23" s="6"/>
      <c r="HGN23" s="6"/>
      <c r="HGO23" s="6"/>
      <c r="HGP23" s="6"/>
      <c r="HGQ23" s="6"/>
      <c r="HGR23" s="6"/>
      <c r="HGS23" s="6"/>
      <c r="HGT23" s="6"/>
      <c r="HGU23" s="6"/>
      <c r="HGV23" s="6"/>
      <c r="HGW23" s="6"/>
      <c r="HGX23" s="6"/>
      <c r="HGY23" s="6"/>
      <c r="HGZ23" s="6"/>
      <c r="HHA23" s="6"/>
      <c r="HHB23" s="6"/>
      <c r="HHC23" s="6"/>
      <c r="HHD23" s="6"/>
      <c r="HHE23" s="6"/>
      <c r="HHF23" s="6"/>
      <c r="HHG23" s="6"/>
      <c r="HHH23" s="6"/>
      <c r="HHI23" s="6"/>
      <c r="HHJ23" s="6"/>
      <c r="HHK23" s="6"/>
      <c r="HHL23" s="6"/>
      <c r="HHM23" s="6"/>
      <c r="HHN23" s="6"/>
      <c r="HHO23" s="6"/>
      <c r="HHP23" s="6"/>
      <c r="HHQ23" s="6"/>
      <c r="HHR23" s="6"/>
      <c r="HHS23" s="6"/>
      <c r="HHT23" s="6"/>
      <c r="HHU23" s="6"/>
      <c r="HHV23" s="6"/>
      <c r="HHW23" s="6"/>
      <c r="HHX23" s="6"/>
      <c r="HHY23" s="6"/>
      <c r="HHZ23" s="6"/>
      <c r="HIA23" s="6"/>
      <c r="HIB23" s="6"/>
      <c r="HIC23" s="6"/>
      <c r="HID23" s="6"/>
      <c r="HIE23" s="6"/>
      <c r="HIF23" s="6"/>
      <c r="HIG23" s="6"/>
      <c r="HIH23" s="6"/>
      <c r="HII23" s="6"/>
      <c r="HIJ23" s="6"/>
      <c r="HIK23" s="6"/>
      <c r="HIL23" s="6"/>
      <c r="HIM23" s="6"/>
      <c r="HIN23" s="6"/>
      <c r="HIO23" s="6"/>
      <c r="HIP23" s="6"/>
      <c r="HIQ23" s="6"/>
      <c r="HIR23" s="6"/>
      <c r="HIS23" s="6"/>
      <c r="HIT23" s="6"/>
      <c r="HIU23" s="6"/>
      <c r="HIV23" s="6"/>
      <c r="HIW23" s="6"/>
      <c r="HIX23" s="6"/>
      <c r="HIY23" s="6"/>
      <c r="HIZ23" s="6"/>
      <c r="HJA23" s="6"/>
      <c r="HJB23" s="6"/>
      <c r="HJC23" s="6"/>
      <c r="HJD23" s="6"/>
      <c r="HJE23" s="6"/>
      <c r="HJF23" s="6"/>
      <c r="HJG23" s="6"/>
      <c r="HJH23" s="6"/>
      <c r="HJI23" s="6"/>
      <c r="HJJ23" s="6"/>
      <c r="HJK23" s="6"/>
      <c r="HJL23" s="6"/>
      <c r="HJM23" s="6"/>
      <c r="HJN23" s="6"/>
      <c r="HJO23" s="6"/>
      <c r="HJP23" s="6"/>
      <c r="HJQ23" s="6"/>
      <c r="HJR23" s="6"/>
      <c r="HJS23" s="6"/>
      <c r="HJT23" s="6"/>
      <c r="HJU23" s="6"/>
      <c r="HJV23" s="6"/>
      <c r="HJW23" s="6"/>
      <c r="HJX23" s="6"/>
      <c r="HJY23" s="6"/>
      <c r="HJZ23" s="6"/>
      <c r="HKA23" s="6"/>
      <c r="HKB23" s="6"/>
      <c r="HKC23" s="6"/>
      <c r="HKD23" s="6"/>
      <c r="HKE23" s="6"/>
      <c r="HKF23" s="6"/>
      <c r="HKG23" s="6"/>
      <c r="HKH23" s="6"/>
      <c r="HKI23" s="6"/>
      <c r="HKJ23" s="6"/>
      <c r="HKK23" s="6"/>
      <c r="HKL23" s="6"/>
      <c r="HKM23" s="6"/>
      <c r="HKN23" s="6"/>
      <c r="HKO23" s="6"/>
      <c r="HKP23" s="6"/>
      <c r="HKQ23" s="6"/>
      <c r="HKR23" s="6"/>
      <c r="HKS23" s="6"/>
      <c r="HKT23" s="6"/>
      <c r="HKU23" s="6"/>
      <c r="HKV23" s="6"/>
      <c r="HKW23" s="6"/>
      <c r="HKX23" s="6"/>
      <c r="HKY23" s="6"/>
      <c r="HKZ23" s="6"/>
      <c r="HLA23" s="6"/>
      <c r="HLB23" s="6"/>
      <c r="HLC23" s="6"/>
      <c r="HLD23" s="6"/>
      <c r="HLE23" s="6"/>
      <c r="HLF23" s="6"/>
      <c r="HLG23" s="6"/>
      <c r="HLH23" s="6"/>
      <c r="HLI23" s="6"/>
      <c r="HLJ23" s="6"/>
      <c r="HLK23" s="6"/>
      <c r="HLL23" s="6"/>
      <c r="HLM23" s="6"/>
      <c r="HLN23" s="6"/>
      <c r="HLO23" s="6"/>
      <c r="HLP23" s="6"/>
      <c r="HLQ23" s="6"/>
      <c r="HLR23" s="6"/>
      <c r="HLS23" s="6"/>
      <c r="HLT23" s="6"/>
      <c r="HLU23" s="6"/>
      <c r="HLV23" s="6"/>
      <c r="HLW23" s="6"/>
      <c r="HLX23" s="6"/>
      <c r="HLY23" s="6"/>
      <c r="HLZ23" s="6"/>
      <c r="HMA23" s="6"/>
      <c r="HMB23" s="6"/>
      <c r="HMC23" s="6"/>
      <c r="HMD23" s="6"/>
      <c r="HME23" s="6"/>
      <c r="HMF23" s="6"/>
      <c r="HMG23" s="6"/>
      <c r="HMH23" s="6"/>
      <c r="HMI23" s="6"/>
      <c r="HMJ23" s="6"/>
      <c r="HMK23" s="6"/>
      <c r="HML23" s="6"/>
      <c r="HMM23" s="6"/>
      <c r="HMN23" s="6"/>
      <c r="HMO23" s="6"/>
      <c r="HMP23" s="6"/>
      <c r="HMQ23" s="6"/>
      <c r="HMR23" s="6"/>
      <c r="HMS23" s="6"/>
      <c r="HMT23" s="6"/>
      <c r="HMU23" s="6"/>
      <c r="HMV23" s="6"/>
      <c r="HMW23" s="6"/>
      <c r="HMX23" s="6"/>
      <c r="HMY23" s="6"/>
      <c r="HMZ23" s="6"/>
      <c r="HNA23" s="6"/>
      <c r="HNB23" s="6"/>
      <c r="HNC23" s="6"/>
      <c r="HND23" s="6"/>
      <c r="HNE23" s="6"/>
      <c r="HNF23" s="6"/>
      <c r="HNG23" s="6"/>
      <c r="HNH23" s="6"/>
      <c r="HNI23" s="6"/>
      <c r="HNJ23" s="6"/>
      <c r="HNK23" s="6"/>
      <c r="HNL23" s="6"/>
      <c r="HNM23" s="6"/>
      <c r="HNN23" s="6"/>
      <c r="HNO23" s="6"/>
      <c r="HNP23" s="6"/>
      <c r="HNQ23" s="6"/>
      <c r="HNR23" s="6"/>
      <c r="HNS23" s="6"/>
      <c r="HNT23" s="6"/>
      <c r="HNU23" s="6"/>
      <c r="HNV23" s="6"/>
      <c r="HNW23" s="6"/>
      <c r="HNX23" s="6"/>
      <c r="HNY23" s="6"/>
      <c r="HNZ23" s="6"/>
      <c r="HOA23" s="6"/>
      <c r="HOB23" s="6"/>
      <c r="HOC23" s="6"/>
      <c r="HOD23" s="6"/>
      <c r="HOE23" s="6"/>
      <c r="HOF23" s="6"/>
      <c r="HOG23" s="6"/>
      <c r="HOH23" s="6"/>
      <c r="HOI23" s="6"/>
      <c r="HOJ23" s="6"/>
      <c r="HOK23" s="6"/>
      <c r="HOL23" s="6"/>
      <c r="HOM23" s="6"/>
      <c r="HON23" s="6"/>
      <c r="HOO23" s="6"/>
      <c r="HOP23" s="6"/>
      <c r="HOQ23" s="6"/>
      <c r="HOR23" s="6"/>
      <c r="HOS23" s="6"/>
      <c r="HOT23" s="6"/>
      <c r="HOU23" s="6"/>
      <c r="HOV23" s="6"/>
      <c r="HOW23" s="6"/>
      <c r="HOX23" s="6"/>
      <c r="HOY23" s="6"/>
      <c r="HOZ23" s="6"/>
      <c r="HPA23" s="6"/>
      <c r="HPB23" s="6"/>
      <c r="HPC23" s="6"/>
      <c r="HPD23" s="6"/>
      <c r="HPE23" s="6"/>
      <c r="HPF23" s="6"/>
      <c r="HPG23" s="6"/>
      <c r="HPH23" s="6"/>
      <c r="HPI23" s="6"/>
      <c r="HPJ23" s="6"/>
      <c r="HPK23" s="6"/>
      <c r="HPL23" s="6"/>
      <c r="HPM23" s="6"/>
      <c r="HPN23" s="6"/>
      <c r="HPO23" s="6"/>
      <c r="HPP23" s="6"/>
      <c r="HPQ23" s="6"/>
      <c r="HPR23" s="6"/>
      <c r="HPS23" s="6"/>
      <c r="HPT23" s="6"/>
      <c r="HPU23" s="6"/>
      <c r="HPV23" s="6"/>
      <c r="HPW23" s="6"/>
      <c r="HPX23" s="6"/>
      <c r="HPY23" s="6"/>
      <c r="HPZ23" s="6"/>
      <c r="HQA23" s="6"/>
      <c r="HQB23" s="6"/>
      <c r="HQC23" s="6"/>
      <c r="HQD23" s="6"/>
      <c r="HQE23" s="6"/>
      <c r="HQF23" s="6"/>
      <c r="HQG23" s="6"/>
      <c r="HQH23" s="6"/>
      <c r="HQI23" s="6"/>
      <c r="HQJ23" s="6"/>
      <c r="HQK23" s="6"/>
      <c r="HQL23" s="6"/>
      <c r="HQM23" s="6"/>
      <c r="HQN23" s="6"/>
      <c r="HQO23" s="6"/>
      <c r="HQP23" s="6"/>
      <c r="HQQ23" s="6"/>
      <c r="HQR23" s="6"/>
      <c r="HQS23" s="6"/>
      <c r="HQT23" s="6"/>
      <c r="HQU23" s="6"/>
      <c r="HQV23" s="6"/>
      <c r="HQW23" s="6"/>
      <c r="HQX23" s="6"/>
      <c r="HQY23" s="6"/>
      <c r="HQZ23" s="6"/>
      <c r="HRA23" s="6"/>
      <c r="HRB23" s="6"/>
      <c r="HRC23" s="6"/>
      <c r="HRD23" s="6"/>
      <c r="HRE23" s="6"/>
      <c r="HRF23" s="6"/>
      <c r="HRG23" s="6"/>
      <c r="HRH23" s="6"/>
      <c r="HRI23" s="6"/>
      <c r="HRJ23" s="6"/>
      <c r="HRK23" s="6"/>
      <c r="HRL23" s="6"/>
      <c r="HRM23" s="6"/>
      <c r="HRN23" s="6"/>
      <c r="HRO23" s="6"/>
      <c r="HRP23" s="6"/>
      <c r="HRQ23" s="6"/>
      <c r="HRR23" s="6"/>
      <c r="HRS23" s="6"/>
      <c r="HRT23" s="6"/>
      <c r="HRU23" s="6"/>
      <c r="HRV23" s="6"/>
      <c r="HRW23" s="6"/>
      <c r="HRX23" s="6"/>
      <c r="HRY23" s="6"/>
      <c r="HRZ23" s="6"/>
      <c r="HSA23" s="6"/>
      <c r="HSB23" s="6"/>
      <c r="HSC23" s="6"/>
      <c r="HSD23" s="6"/>
      <c r="HSE23" s="6"/>
      <c r="HSF23" s="6"/>
      <c r="HSG23" s="6"/>
      <c r="HSH23" s="6"/>
      <c r="HSI23" s="6"/>
      <c r="HSJ23" s="6"/>
      <c r="HSK23" s="6"/>
      <c r="HSL23" s="6"/>
      <c r="HSM23" s="6"/>
      <c r="HSN23" s="6"/>
      <c r="HSO23" s="6"/>
      <c r="HSP23" s="6"/>
      <c r="HSQ23" s="6"/>
      <c r="HSR23" s="6"/>
      <c r="HSS23" s="6"/>
      <c r="HST23" s="6"/>
      <c r="HSU23" s="6"/>
      <c r="HSV23" s="6"/>
      <c r="HSW23" s="6"/>
      <c r="HSX23" s="6"/>
      <c r="HSY23" s="6"/>
      <c r="HSZ23" s="6"/>
      <c r="HTA23" s="6"/>
      <c r="HTB23" s="6"/>
      <c r="HTC23" s="6"/>
      <c r="HTD23" s="6"/>
      <c r="HTE23" s="6"/>
      <c r="HTF23" s="6"/>
      <c r="HTG23" s="6"/>
      <c r="HTH23" s="6"/>
      <c r="HTI23" s="6"/>
      <c r="HTJ23" s="6"/>
      <c r="HTK23" s="6"/>
      <c r="HTL23" s="6"/>
      <c r="HTM23" s="6"/>
      <c r="HTN23" s="6"/>
      <c r="HTO23" s="6"/>
      <c r="HTP23" s="6"/>
      <c r="HTQ23" s="6"/>
      <c r="HTR23" s="6"/>
      <c r="HTS23" s="6"/>
      <c r="HTT23" s="6"/>
      <c r="HTU23" s="6"/>
      <c r="HTV23" s="6"/>
      <c r="HTW23" s="6"/>
      <c r="HTX23" s="6"/>
      <c r="HTY23" s="6"/>
      <c r="HTZ23" s="6"/>
      <c r="HUA23" s="6"/>
      <c r="HUB23" s="6"/>
      <c r="HUC23" s="6"/>
      <c r="HUD23" s="6"/>
      <c r="HUE23" s="6"/>
      <c r="HUF23" s="6"/>
      <c r="HUG23" s="6"/>
      <c r="HUH23" s="6"/>
      <c r="HUI23" s="6"/>
      <c r="HUJ23" s="6"/>
      <c r="HUK23" s="6"/>
      <c r="HUL23" s="6"/>
      <c r="HUM23" s="6"/>
      <c r="HUN23" s="6"/>
      <c r="HUO23" s="6"/>
      <c r="HUP23" s="6"/>
      <c r="HUQ23" s="6"/>
      <c r="HUR23" s="6"/>
      <c r="HUS23" s="6"/>
      <c r="HUT23" s="6"/>
      <c r="HUU23" s="6"/>
      <c r="HUV23" s="6"/>
      <c r="HUW23" s="6"/>
      <c r="HUX23" s="6"/>
      <c r="HUY23" s="6"/>
      <c r="HUZ23" s="6"/>
      <c r="HVA23" s="6"/>
      <c r="HVB23" s="6"/>
      <c r="HVC23" s="6"/>
      <c r="HVD23" s="6"/>
      <c r="HVE23" s="6"/>
      <c r="HVF23" s="6"/>
      <c r="HVG23" s="6"/>
      <c r="HVH23" s="6"/>
      <c r="HVI23" s="6"/>
      <c r="HVJ23" s="6"/>
      <c r="HVK23" s="6"/>
      <c r="HVL23" s="6"/>
      <c r="HVM23" s="6"/>
      <c r="HVN23" s="6"/>
      <c r="HVO23" s="6"/>
      <c r="HVP23" s="6"/>
      <c r="HVQ23" s="6"/>
      <c r="HVR23" s="6"/>
      <c r="HVS23" s="6"/>
      <c r="HVT23" s="6"/>
      <c r="HVU23" s="6"/>
      <c r="HVV23" s="6"/>
      <c r="HVW23" s="6"/>
      <c r="HVX23" s="6"/>
      <c r="HVY23" s="6"/>
      <c r="HVZ23" s="6"/>
      <c r="HWA23" s="6"/>
      <c r="HWB23" s="6"/>
      <c r="HWC23" s="6"/>
      <c r="HWD23" s="6"/>
      <c r="HWE23" s="6"/>
      <c r="HWF23" s="6"/>
      <c r="HWG23" s="6"/>
      <c r="HWH23" s="6"/>
      <c r="HWI23" s="6"/>
      <c r="HWJ23" s="6"/>
      <c r="HWK23" s="6"/>
      <c r="HWL23" s="6"/>
      <c r="HWM23" s="6"/>
      <c r="HWN23" s="6"/>
      <c r="HWO23" s="6"/>
      <c r="HWP23" s="6"/>
      <c r="HWQ23" s="6"/>
      <c r="HWR23" s="6"/>
      <c r="HWS23" s="6"/>
      <c r="HWT23" s="6"/>
      <c r="HWU23" s="6"/>
      <c r="HWV23" s="6"/>
      <c r="HWW23" s="6"/>
      <c r="HWX23" s="6"/>
      <c r="HWY23" s="6"/>
      <c r="HWZ23" s="6"/>
      <c r="HXA23" s="6"/>
      <c r="HXB23" s="6"/>
      <c r="HXC23" s="6"/>
      <c r="HXD23" s="6"/>
      <c r="HXE23" s="6"/>
      <c r="HXF23" s="6"/>
      <c r="HXG23" s="6"/>
      <c r="HXH23" s="6"/>
      <c r="HXI23" s="6"/>
      <c r="HXJ23" s="6"/>
      <c r="HXK23" s="6"/>
      <c r="HXL23" s="6"/>
      <c r="HXM23" s="6"/>
      <c r="HXN23" s="6"/>
      <c r="HXO23" s="6"/>
      <c r="HXP23" s="6"/>
      <c r="HXQ23" s="6"/>
      <c r="HXR23" s="6"/>
      <c r="HXS23" s="6"/>
      <c r="HXT23" s="6"/>
      <c r="HXU23" s="6"/>
      <c r="HXV23" s="6"/>
      <c r="HXW23" s="6"/>
      <c r="HXX23" s="6"/>
      <c r="HXY23" s="6"/>
      <c r="HXZ23" s="6"/>
      <c r="HYA23" s="6"/>
      <c r="HYB23" s="6"/>
      <c r="HYC23" s="6"/>
      <c r="HYD23" s="6"/>
      <c r="HYE23" s="6"/>
      <c r="HYF23" s="6"/>
      <c r="HYG23" s="6"/>
      <c r="HYH23" s="6"/>
      <c r="HYI23" s="6"/>
      <c r="HYJ23" s="6"/>
      <c r="HYK23" s="6"/>
      <c r="HYL23" s="6"/>
      <c r="HYM23" s="6"/>
      <c r="HYN23" s="6"/>
      <c r="HYO23" s="6"/>
      <c r="HYP23" s="6"/>
      <c r="HYQ23" s="6"/>
      <c r="HYR23" s="6"/>
      <c r="HYS23" s="6"/>
      <c r="HYT23" s="6"/>
      <c r="HYU23" s="6"/>
      <c r="HYV23" s="6"/>
      <c r="HYW23" s="6"/>
      <c r="HYX23" s="6"/>
      <c r="HYY23" s="6"/>
      <c r="HYZ23" s="6"/>
      <c r="HZA23" s="6"/>
      <c r="HZB23" s="6"/>
      <c r="HZC23" s="6"/>
      <c r="HZD23" s="6"/>
      <c r="HZE23" s="6"/>
      <c r="HZF23" s="6"/>
      <c r="HZG23" s="6"/>
      <c r="HZH23" s="6"/>
      <c r="HZI23" s="6"/>
      <c r="HZJ23" s="6"/>
      <c r="HZK23" s="6"/>
      <c r="HZL23" s="6"/>
      <c r="HZM23" s="6"/>
      <c r="HZN23" s="6"/>
      <c r="HZO23" s="6"/>
      <c r="HZP23" s="6"/>
      <c r="HZQ23" s="6"/>
      <c r="HZR23" s="6"/>
      <c r="HZS23" s="6"/>
      <c r="HZT23" s="6"/>
      <c r="HZU23" s="6"/>
      <c r="HZV23" s="6"/>
      <c r="HZW23" s="6"/>
      <c r="HZX23" s="6"/>
      <c r="HZY23" s="6"/>
      <c r="HZZ23" s="6"/>
      <c r="IAA23" s="6"/>
      <c r="IAB23" s="6"/>
      <c r="IAC23" s="6"/>
      <c r="IAD23" s="6"/>
      <c r="IAE23" s="6"/>
      <c r="IAF23" s="6"/>
      <c r="IAG23" s="6"/>
      <c r="IAH23" s="6"/>
      <c r="IAI23" s="6"/>
      <c r="IAJ23" s="6"/>
      <c r="IAK23" s="6"/>
      <c r="IAL23" s="6"/>
      <c r="IAM23" s="6"/>
      <c r="IAN23" s="6"/>
      <c r="IAO23" s="6"/>
      <c r="IAP23" s="6"/>
      <c r="IAQ23" s="6"/>
      <c r="IAR23" s="6"/>
      <c r="IAS23" s="6"/>
      <c r="IAT23" s="6"/>
      <c r="IAU23" s="6"/>
      <c r="IAV23" s="6"/>
      <c r="IAW23" s="6"/>
      <c r="IAX23" s="6"/>
      <c r="IAY23" s="6"/>
      <c r="IAZ23" s="6"/>
      <c r="IBA23" s="6"/>
      <c r="IBB23" s="6"/>
      <c r="IBC23" s="6"/>
      <c r="IBD23" s="6"/>
      <c r="IBE23" s="6"/>
      <c r="IBF23" s="6"/>
      <c r="IBG23" s="6"/>
      <c r="IBH23" s="6"/>
      <c r="IBI23" s="6"/>
      <c r="IBJ23" s="6"/>
      <c r="IBK23" s="6"/>
      <c r="IBL23" s="6"/>
      <c r="IBM23" s="6"/>
      <c r="IBN23" s="6"/>
      <c r="IBO23" s="6"/>
      <c r="IBP23" s="6"/>
      <c r="IBQ23" s="6"/>
      <c r="IBR23" s="6"/>
      <c r="IBS23" s="6"/>
      <c r="IBT23" s="6"/>
      <c r="IBU23" s="6"/>
      <c r="IBV23" s="6"/>
      <c r="IBW23" s="6"/>
      <c r="IBX23" s="6"/>
      <c r="IBY23" s="6"/>
      <c r="IBZ23" s="6"/>
      <c r="ICA23" s="6"/>
      <c r="ICB23" s="6"/>
      <c r="ICC23" s="6"/>
      <c r="ICD23" s="6"/>
      <c r="ICE23" s="6"/>
      <c r="ICF23" s="6"/>
      <c r="ICG23" s="6"/>
      <c r="ICH23" s="6"/>
      <c r="ICI23" s="6"/>
      <c r="ICJ23" s="6"/>
      <c r="ICK23" s="6"/>
      <c r="ICL23" s="6"/>
      <c r="ICM23" s="6"/>
      <c r="ICN23" s="6"/>
      <c r="ICO23" s="6"/>
      <c r="ICP23" s="6"/>
      <c r="ICQ23" s="6"/>
      <c r="ICR23" s="6"/>
      <c r="ICS23" s="6"/>
      <c r="ICT23" s="6"/>
      <c r="ICU23" s="6"/>
      <c r="ICV23" s="6"/>
      <c r="ICW23" s="6"/>
      <c r="ICX23" s="6"/>
      <c r="ICY23" s="6"/>
      <c r="ICZ23" s="6"/>
      <c r="IDA23" s="6"/>
      <c r="IDB23" s="6"/>
      <c r="IDC23" s="6"/>
      <c r="IDD23" s="6"/>
      <c r="IDE23" s="6"/>
      <c r="IDF23" s="6"/>
      <c r="IDG23" s="6"/>
      <c r="IDH23" s="6"/>
      <c r="IDI23" s="6"/>
      <c r="IDJ23" s="6"/>
      <c r="IDK23" s="6"/>
      <c r="IDL23" s="6"/>
      <c r="IDM23" s="6"/>
      <c r="IDN23" s="6"/>
      <c r="IDO23" s="6"/>
      <c r="IDP23" s="6"/>
      <c r="IDQ23" s="6"/>
      <c r="IDR23" s="6"/>
      <c r="IDS23" s="6"/>
      <c r="IDT23" s="6"/>
      <c r="IDU23" s="6"/>
      <c r="IDV23" s="6"/>
      <c r="IDW23" s="6"/>
      <c r="IDX23" s="6"/>
      <c r="IDY23" s="6"/>
      <c r="IDZ23" s="6"/>
      <c r="IEA23" s="6"/>
      <c r="IEB23" s="6"/>
      <c r="IEC23" s="6"/>
      <c r="IED23" s="6"/>
      <c r="IEE23" s="6"/>
      <c r="IEF23" s="6"/>
      <c r="IEG23" s="6"/>
      <c r="IEH23" s="6"/>
      <c r="IEI23" s="6"/>
      <c r="IEJ23" s="6"/>
      <c r="IEK23" s="6"/>
      <c r="IEL23" s="6"/>
      <c r="IEM23" s="6"/>
      <c r="IEN23" s="6"/>
      <c r="IEO23" s="6"/>
      <c r="IEP23" s="6"/>
      <c r="IEQ23" s="6"/>
      <c r="IER23" s="6"/>
      <c r="IES23" s="6"/>
      <c r="IET23" s="6"/>
      <c r="IEU23" s="6"/>
      <c r="IEV23" s="6"/>
      <c r="IEW23" s="6"/>
      <c r="IEX23" s="6"/>
      <c r="IEY23" s="6"/>
      <c r="IEZ23" s="6"/>
      <c r="IFA23" s="6"/>
      <c r="IFB23" s="6"/>
      <c r="IFC23" s="6"/>
      <c r="IFD23" s="6"/>
      <c r="IFE23" s="6"/>
      <c r="IFF23" s="6"/>
      <c r="IFG23" s="6"/>
      <c r="IFH23" s="6"/>
      <c r="IFI23" s="6"/>
      <c r="IFJ23" s="6"/>
      <c r="IFK23" s="6"/>
      <c r="IFL23" s="6"/>
      <c r="IFM23" s="6"/>
      <c r="IFN23" s="6"/>
      <c r="IFO23" s="6"/>
      <c r="IFP23" s="6"/>
      <c r="IFQ23" s="6"/>
      <c r="IFR23" s="6"/>
      <c r="IFS23" s="6"/>
      <c r="IFT23" s="6"/>
      <c r="IFU23" s="6"/>
      <c r="IFV23" s="6"/>
      <c r="IFW23" s="6"/>
      <c r="IFX23" s="6"/>
      <c r="IFY23" s="6"/>
      <c r="IFZ23" s="6"/>
      <c r="IGA23" s="6"/>
      <c r="IGB23" s="6"/>
      <c r="IGC23" s="6"/>
      <c r="IGD23" s="6"/>
      <c r="IGE23" s="6"/>
      <c r="IGF23" s="6"/>
      <c r="IGG23" s="6"/>
      <c r="IGH23" s="6"/>
      <c r="IGI23" s="6"/>
      <c r="IGJ23" s="6"/>
      <c r="IGK23" s="6"/>
      <c r="IGL23" s="6"/>
      <c r="IGM23" s="6"/>
      <c r="IGN23" s="6"/>
      <c r="IGO23" s="6"/>
      <c r="IGP23" s="6"/>
      <c r="IGQ23" s="6"/>
      <c r="IGR23" s="6"/>
      <c r="IGS23" s="6"/>
      <c r="IGT23" s="6"/>
      <c r="IGU23" s="6"/>
      <c r="IGV23" s="6"/>
      <c r="IGW23" s="6"/>
      <c r="IGX23" s="6"/>
      <c r="IGY23" s="6"/>
      <c r="IGZ23" s="6"/>
      <c r="IHA23" s="6"/>
      <c r="IHB23" s="6"/>
      <c r="IHC23" s="6"/>
      <c r="IHD23" s="6"/>
      <c r="IHE23" s="6"/>
      <c r="IHF23" s="6"/>
      <c r="IHG23" s="6"/>
      <c r="IHH23" s="6"/>
      <c r="IHI23" s="6"/>
      <c r="IHJ23" s="6"/>
      <c r="IHK23" s="6"/>
      <c r="IHL23" s="6"/>
      <c r="IHM23" s="6"/>
      <c r="IHN23" s="6"/>
      <c r="IHO23" s="6"/>
      <c r="IHP23" s="6"/>
      <c r="IHQ23" s="6"/>
      <c r="IHR23" s="6"/>
      <c r="IHS23" s="6"/>
      <c r="IHT23" s="6"/>
      <c r="IHU23" s="6"/>
      <c r="IHV23" s="6"/>
      <c r="IHW23" s="6"/>
      <c r="IHX23" s="6"/>
      <c r="IHY23" s="6"/>
      <c r="IHZ23" s="6"/>
      <c r="IIA23" s="6"/>
      <c r="IIB23" s="6"/>
      <c r="IIC23" s="6"/>
      <c r="IID23" s="6"/>
      <c r="IIE23" s="6"/>
      <c r="IIF23" s="6"/>
      <c r="IIG23" s="6"/>
      <c r="IIH23" s="6"/>
      <c r="III23" s="6"/>
      <c r="IIJ23" s="6"/>
      <c r="IIK23" s="6"/>
      <c r="IIL23" s="6"/>
      <c r="IIM23" s="6"/>
      <c r="IIN23" s="6"/>
      <c r="IIO23" s="6"/>
      <c r="IIP23" s="6"/>
      <c r="IIQ23" s="6"/>
      <c r="IIR23" s="6"/>
      <c r="IIS23" s="6"/>
      <c r="IIT23" s="6"/>
      <c r="IIU23" s="6"/>
      <c r="IIV23" s="6"/>
      <c r="IIW23" s="6"/>
      <c r="IIX23" s="6"/>
      <c r="IIY23" s="6"/>
      <c r="IIZ23" s="6"/>
      <c r="IJA23" s="6"/>
      <c r="IJB23" s="6"/>
      <c r="IJC23" s="6"/>
      <c r="IJD23" s="6"/>
      <c r="IJE23" s="6"/>
      <c r="IJF23" s="6"/>
      <c r="IJG23" s="6"/>
      <c r="IJH23" s="6"/>
      <c r="IJI23" s="6"/>
      <c r="IJJ23" s="6"/>
      <c r="IJK23" s="6"/>
      <c r="IJL23" s="6"/>
      <c r="IJM23" s="6"/>
      <c r="IJN23" s="6"/>
      <c r="IJO23" s="6"/>
      <c r="IJP23" s="6"/>
      <c r="IJQ23" s="6"/>
      <c r="IJR23" s="6"/>
      <c r="IJS23" s="6"/>
      <c r="IJT23" s="6"/>
      <c r="IJU23" s="6"/>
      <c r="IJV23" s="6"/>
      <c r="IJW23" s="6"/>
      <c r="IJX23" s="6"/>
      <c r="IJY23" s="6"/>
      <c r="IJZ23" s="6"/>
      <c r="IKA23" s="6"/>
      <c r="IKB23" s="6"/>
      <c r="IKC23" s="6"/>
      <c r="IKD23" s="6"/>
      <c r="IKE23" s="6"/>
      <c r="IKF23" s="6"/>
      <c r="IKG23" s="6"/>
      <c r="IKH23" s="6"/>
      <c r="IKI23" s="6"/>
      <c r="IKJ23" s="6"/>
      <c r="IKK23" s="6"/>
      <c r="IKL23" s="6"/>
      <c r="IKM23" s="6"/>
      <c r="IKN23" s="6"/>
      <c r="IKO23" s="6"/>
      <c r="IKP23" s="6"/>
      <c r="IKQ23" s="6"/>
      <c r="IKR23" s="6"/>
      <c r="IKS23" s="6"/>
      <c r="IKT23" s="6"/>
      <c r="IKU23" s="6"/>
      <c r="IKV23" s="6"/>
      <c r="IKW23" s="6"/>
      <c r="IKX23" s="6"/>
      <c r="IKY23" s="6"/>
      <c r="IKZ23" s="6"/>
      <c r="ILA23" s="6"/>
      <c r="ILB23" s="6"/>
      <c r="ILC23" s="6"/>
      <c r="ILD23" s="6"/>
      <c r="ILE23" s="6"/>
      <c r="ILF23" s="6"/>
      <c r="ILG23" s="6"/>
      <c r="ILH23" s="6"/>
      <c r="ILI23" s="6"/>
      <c r="ILJ23" s="6"/>
      <c r="ILK23" s="6"/>
      <c r="ILL23" s="6"/>
      <c r="ILM23" s="6"/>
      <c r="ILN23" s="6"/>
      <c r="ILO23" s="6"/>
      <c r="ILP23" s="6"/>
      <c r="ILQ23" s="6"/>
      <c r="ILR23" s="6"/>
      <c r="ILS23" s="6"/>
      <c r="ILT23" s="6"/>
      <c r="ILU23" s="6"/>
      <c r="ILV23" s="6"/>
      <c r="ILW23" s="6"/>
      <c r="ILX23" s="6"/>
      <c r="ILY23" s="6"/>
      <c r="ILZ23" s="6"/>
      <c r="IMA23" s="6"/>
      <c r="IMB23" s="6"/>
      <c r="IMC23" s="6"/>
      <c r="IMD23" s="6"/>
      <c r="IME23" s="6"/>
      <c r="IMF23" s="6"/>
      <c r="IMG23" s="6"/>
      <c r="IMH23" s="6"/>
      <c r="IMI23" s="6"/>
      <c r="IMJ23" s="6"/>
      <c r="IMK23" s="6"/>
      <c r="IML23" s="6"/>
      <c r="IMM23" s="6"/>
      <c r="IMN23" s="6"/>
      <c r="IMO23" s="6"/>
      <c r="IMP23" s="6"/>
      <c r="IMQ23" s="6"/>
      <c r="IMR23" s="6"/>
      <c r="IMS23" s="6"/>
      <c r="IMT23" s="6"/>
      <c r="IMU23" s="6"/>
      <c r="IMV23" s="6"/>
      <c r="IMW23" s="6"/>
      <c r="IMX23" s="6"/>
      <c r="IMY23" s="6"/>
      <c r="IMZ23" s="6"/>
      <c r="INA23" s="6"/>
      <c r="INB23" s="6"/>
      <c r="INC23" s="6"/>
      <c r="IND23" s="6"/>
      <c r="INE23" s="6"/>
      <c r="INF23" s="6"/>
      <c r="ING23" s="6"/>
      <c r="INH23" s="6"/>
      <c r="INI23" s="6"/>
      <c r="INJ23" s="6"/>
      <c r="INK23" s="6"/>
      <c r="INL23" s="6"/>
      <c r="INM23" s="6"/>
      <c r="INN23" s="6"/>
      <c r="INO23" s="6"/>
      <c r="INP23" s="6"/>
      <c r="INQ23" s="6"/>
      <c r="INR23" s="6"/>
      <c r="INS23" s="6"/>
      <c r="INT23" s="6"/>
      <c r="INU23" s="6"/>
      <c r="INV23" s="6"/>
      <c r="INW23" s="6"/>
      <c r="INX23" s="6"/>
      <c r="INY23" s="6"/>
      <c r="INZ23" s="6"/>
      <c r="IOA23" s="6"/>
      <c r="IOB23" s="6"/>
      <c r="IOC23" s="6"/>
      <c r="IOD23" s="6"/>
      <c r="IOE23" s="6"/>
      <c r="IOF23" s="6"/>
      <c r="IOG23" s="6"/>
      <c r="IOH23" s="6"/>
      <c r="IOI23" s="6"/>
      <c r="IOJ23" s="6"/>
      <c r="IOK23" s="6"/>
      <c r="IOL23" s="6"/>
      <c r="IOM23" s="6"/>
      <c r="ION23" s="6"/>
      <c r="IOO23" s="6"/>
      <c r="IOP23" s="6"/>
      <c r="IOQ23" s="6"/>
      <c r="IOR23" s="6"/>
      <c r="IOS23" s="6"/>
      <c r="IOT23" s="6"/>
      <c r="IOU23" s="6"/>
      <c r="IOV23" s="6"/>
      <c r="IOW23" s="6"/>
      <c r="IOX23" s="6"/>
      <c r="IOY23" s="6"/>
      <c r="IOZ23" s="6"/>
      <c r="IPA23" s="6"/>
      <c r="IPB23" s="6"/>
      <c r="IPC23" s="6"/>
      <c r="IPD23" s="6"/>
      <c r="IPE23" s="6"/>
      <c r="IPF23" s="6"/>
      <c r="IPG23" s="6"/>
      <c r="IPH23" s="6"/>
      <c r="IPI23" s="6"/>
      <c r="IPJ23" s="6"/>
      <c r="IPK23" s="6"/>
      <c r="IPL23" s="6"/>
      <c r="IPM23" s="6"/>
      <c r="IPN23" s="6"/>
      <c r="IPO23" s="6"/>
      <c r="IPP23" s="6"/>
      <c r="IPQ23" s="6"/>
      <c r="IPR23" s="6"/>
      <c r="IPS23" s="6"/>
      <c r="IPT23" s="6"/>
      <c r="IPU23" s="6"/>
      <c r="IPV23" s="6"/>
      <c r="IPW23" s="6"/>
      <c r="IPX23" s="6"/>
      <c r="IPY23" s="6"/>
      <c r="IPZ23" s="6"/>
      <c r="IQA23" s="6"/>
      <c r="IQB23" s="6"/>
      <c r="IQC23" s="6"/>
      <c r="IQD23" s="6"/>
      <c r="IQE23" s="6"/>
      <c r="IQF23" s="6"/>
      <c r="IQG23" s="6"/>
      <c r="IQH23" s="6"/>
      <c r="IQI23" s="6"/>
      <c r="IQJ23" s="6"/>
      <c r="IQK23" s="6"/>
      <c r="IQL23" s="6"/>
      <c r="IQM23" s="6"/>
      <c r="IQN23" s="6"/>
      <c r="IQO23" s="6"/>
      <c r="IQP23" s="6"/>
      <c r="IQQ23" s="6"/>
      <c r="IQR23" s="6"/>
      <c r="IQS23" s="6"/>
      <c r="IQT23" s="6"/>
      <c r="IQU23" s="6"/>
      <c r="IQV23" s="6"/>
      <c r="IQW23" s="6"/>
      <c r="IQX23" s="6"/>
      <c r="IQY23" s="6"/>
      <c r="IQZ23" s="6"/>
      <c r="IRA23" s="6"/>
      <c r="IRB23" s="6"/>
      <c r="IRC23" s="6"/>
      <c r="IRD23" s="6"/>
      <c r="IRE23" s="6"/>
      <c r="IRF23" s="6"/>
      <c r="IRG23" s="6"/>
      <c r="IRH23" s="6"/>
      <c r="IRI23" s="6"/>
      <c r="IRJ23" s="6"/>
      <c r="IRK23" s="6"/>
      <c r="IRL23" s="6"/>
      <c r="IRM23" s="6"/>
      <c r="IRN23" s="6"/>
      <c r="IRO23" s="6"/>
      <c r="IRP23" s="6"/>
      <c r="IRQ23" s="6"/>
      <c r="IRR23" s="6"/>
      <c r="IRS23" s="6"/>
      <c r="IRT23" s="6"/>
      <c r="IRU23" s="6"/>
      <c r="IRV23" s="6"/>
      <c r="IRW23" s="6"/>
      <c r="IRX23" s="6"/>
      <c r="IRY23" s="6"/>
      <c r="IRZ23" s="6"/>
      <c r="ISA23" s="6"/>
      <c r="ISB23" s="6"/>
      <c r="ISC23" s="6"/>
      <c r="ISD23" s="6"/>
      <c r="ISE23" s="6"/>
      <c r="ISF23" s="6"/>
      <c r="ISG23" s="6"/>
      <c r="ISH23" s="6"/>
      <c r="ISI23" s="6"/>
      <c r="ISJ23" s="6"/>
      <c r="ISK23" s="6"/>
      <c r="ISL23" s="6"/>
      <c r="ISM23" s="6"/>
      <c r="ISN23" s="6"/>
      <c r="ISO23" s="6"/>
      <c r="ISP23" s="6"/>
      <c r="ISQ23" s="6"/>
      <c r="ISR23" s="6"/>
      <c r="ISS23" s="6"/>
      <c r="IST23" s="6"/>
      <c r="ISU23" s="6"/>
      <c r="ISV23" s="6"/>
      <c r="ISW23" s="6"/>
      <c r="ISX23" s="6"/>
      <c r="ISY23" s="6"/>
      <c r="ISZ23" s="6"/>
      <c r="ITA23" s="6"/>
      <c r="ITB23" s="6"/>
      <c r="ITC23" s="6"/>
      <c r="ITD23" s="6"/>
      <c r="ITE23" s="6"/>
      <c r="ITF23" s="6"/>
      <c r="ITG23" s="6"/>
      <c r="ITH23" s="6"/>
      <c r="ITI23" s="6"/>
      <c r="ITJ23" s="6"/>
      <c r="ITK23" s="6"/>
      <c r="ITL23" s="6"/>
      <c r="ITM23" s="6"/>
      <c r="ITN23" s="6"/>
      <c r="ITO23" s="6"/>
      <c r="ITP23" s="6"/>
      <c r="ITQ23" s="6"/>
      <c r="ITR23" s="6"/>
      <c r="ITS23" s="6"/>
      <c r="ITT23" s="6"/>
      <c r="ITU23" s="6"/>
      <c r="ITV23" s="6"/>
      <c r="ITW23" s="6"/>
      <c r="ITX23" s="6"/>
      <c r="ITY23" s="6"/>
      <c r="ITZ23" s="6"/>
      <c r="IUA23" s="6"/>
      <c r="IUB23" s="6"/>
      <c r="IUC23" s="6"/>
      <c r="IUD23" s="6"/>
      <c r="IUE23" s="6"/>
      <c r="IUF23" s="6"/>
      <c r="IUG23" s="6"/>
      <c r="IUH23" s="6"/>
      <c r="IUI23" s="6"/>
      <c r="IUJ23" s="6"/>
      <c r="IUK23" s="6"/>
      <c r="IUL23" s="6"/>
      <c r="IUM23" s="6"/>
      <c r="IUN23" s="6"/>
      <c r="IUO23" s="6"/>
      <c r="IUP23" s="6"/>
      <c r="IUQ23" s="6"/>
      <c r="IUR23" s="6"/>
      <c r="IUS23" s="6"/>
      <c r="IUT23" s="6"/>
      <c r="IUU23" s="6"/>
      <c r="IUV23" s="6"/>
      <c r="IUW23" s="6"/>
      <c r="IUX23" s="6"/>
      <c r="IUY23" s="6"/>
      <c r="IUZ23" s="6"/>
      <c r="IVA23" s="6"/>
      <c r="IVB23" s="6"/>
      <c r="IVC23" s="6"/>
      <c r="IVD23" s="6"/>
      <c r="IVE23" s="6"/>
      <c r="IVF23" s="6"/>
      <c r="IVG23" s="6"/>
      <c r="IVH23" s="6"/>
      <c r="IVI23" s="6"/>
      <c r="IVJ23" s="6"/>
      <c r="IVK23" s="6"/>
      <c r="IVL23" s="6"/>
      <c r="IVM23" s="6"/>
      <c r="IVN23" s="6"/>
      <c r="IVO23" s="6"/>
      <c r="IVP23" s="6"/>
      <c r="IVQ23" s="6"/>
      <c r="IVR23" s="6"/>
      <c r="IVS23" s="6"/>
      <c r="IVT23" s="6"/>
      <c r="IVU23" s="6"/>
      <c r="IVV23" s="6"/>
      <c r="IVW23" s="6"/>
      <c r="IVX23" s="6"/>
      <c r="IVY23" s="6"/>
      <c r="IVZ23" s="6"/>
      <c r="IWA23" s="6"/>
      <c r="IWB23" s="6"/>
      <c r="IWC23" s="6"/>
      <c r="IWD23" s="6"/>
      <c r="IWE23" s="6"/>
      <c r="IWF23" s="6"/>
      <c r="IWG23" s="6"/>
      <c r="IWH23" s="6"/>
      <c r="IWI23" s="6"/>
      <c r="IWJ23" s="6"/>
      <c r="IWK23" s="6"/>
      <c r="IWL23" s="6"/>
      <c r="IWM23" s="6"/>
      <c r="IWN23" s="6"/>
      <c r="IWO23" s="6"/>
      <c r="IWP23" s="6"/>
      <c r="IWQ23" s="6"/>
      <c r="IWR23" s="6"/>
      <c r="IWS23" s="6"/>
      <c r="IWT23" s="6"/>
      <c r="IWU23" s="6"/>
      <c r="IWV23" s="6"/>
      <c r="IWW23" s="6"/>
      <c r="IWX23" s="6"/>
      <c r="IWY23" s="6"/>
      <c r="IWZ23" s="6"/>
      <c r="IXA23" s="6"/>
      <c r="IXB23" s="6"/>
      <c r="IXC23" s="6"/>
      <c r="IXD23" s="6"/>
      <c r="IXE23" s="6"/>
      <c r="IXF23" s="6"/>
      <c r="IXG23" s="6"/>
      <c r="IXH23" s="6"/>
      <c r="IXI23" s="6"/>
      <c r="IXJ23" s="6"/>
      <c r="IXK23" s="6"/>
      <c r="IXL23" s="6"/>
      <c r="IXM23" s="6"/>
      <c r="IXN23" s="6"/>
      <c r="IXO23" s="6"/>
      <c r="IXP23" s="6"/>
      <c r="IXQ23" s="6"/>
      <c r="IXR23" s="6"/>
      <c r="IXS23" s="6"/>
      <c r="IXT23" s="6"/>
      <c r="IXU23" s="6"/>
      <c r="IXV23" s="6"/>
      <c r="IXW23" s="6"/>
      <c r="IXX23" s="6"/>
      <c r="IXY23" s="6"/>
      <c r="IXZ23" s="6"/>
      <c r="IYA23" s="6"/>
      <c r="IYB23" s="6"/>
      <c r="IYC23" s="6"/>
      <c r="IYD23" s="6"/>
      <c r="IYE23" s="6"/>
      <c r="IYF23" s="6"/>
      <c r="IYG23" s="6"/>
      <c r="IYH23" s="6"/>
      <c r="IYI23" s="6"/>
      <c r="IYJ23" s="6"/>
      <c r="IYK23" s="6"/>
      <c r="IYL23" s="6"/>
      <c r="IYM23" s="6"/>
      <c r="IYN23" s="6"/>
      <c r="IYO23" s="6"/>
      <c r="IYP23" s="6"/>
      <c r="IYQ23" s="6"/>
      <c r="IYR23" s="6"/>
      <c r="IYS23" s="6"/>
      <c r="IYT23" s="6"/>
      <c r="IYU23" s="6"/>
      <c r="IYV23" s="6"/>
      <c r="IYW23" s="6"/>
      <c r="IYX23" s="6"/>
      <c r="IYY23" s="6"/>
      <c r="IYZ23" s="6"/>
      <c r="IZA23" s="6"/>
      <c r="IZB23" s="6"/>
      <c r="IZC23" s="6"/>
      <c r="IZD23" s="6"/>
      <c r="IZE23" s="6"/>
      <c r="IZF23" s="6"/>
      <c r="IZG23" s="6"/>
      <c r="IZH23" s="6"/>
      <c r="IZI23" s="6"/>
      <c r="IZJ23" s="6"/>
      <c r="IZK23" s="6"/>
      <c r="IZL23" s="6"/>
      <c r="IZM23" s="6"/>
      <c r="IZN23" s="6"/>
      <c r="IZO23" s="6"/>
      <c r="IZP23" s="6"/>
      <c r="IZQ23" s="6"/>
      <c r="IZR23" s="6"/>
      <c r="IZS23" s="6"/>
      <c r="IZT23" s="6"/>
      <c r="IZU23" s="6"/>
      <c r="IZV23" s="6"/>
      <c r="IZW23" s="6"/>
      <c r="IZX23" s="6"/>
      <c r="IZY23" s="6"/>
      <c r="IZZ23" s="6"/>
      <c r="JAA23" s="6"/>
      <c r="JAB23" s="6"/>
      <c r="JAC23" s="6"/>
      <c r="JAD23" s="6"/>
      <c r="JAE23" s="6"/>
      <c r="JAF23" s="6"/>
      <c r="JAG23" s="6"/>
      <c r="JAH23" s="6"/>
      <c r="JAI23" s="6"/>
      <c r="JAJ23" s="6"/>
      <c r="JAK23" s="6"/>
      <c r="JAL23" s="6"/>
      <c r="JAM23" s="6"/>
      <c r="JAN23" s="6"/>
      <c r="JAO23" s="6"/>
      <c r="JAP23" s="6"/>
      <c r="JAQ23" s="6"/>
      <c r="JAR23" s="6"/>
      <c r="JAS23" s="6"/>
      <c r="JAT23" s="6"/>
      <c r="JAU23" s="6"/>
      <c r="JAV23" s="6"/>
      <c r="JAW23" s="6"/>
      <c r="JAX23" s="6"/>
      <c r="JAY23" s="6"/>
      <c r="JAZ23" s="6"/>
      <c r="JBA23" s="6"/>
      <c r="JBB23" s="6"/>
      <c r="JBC23" s="6"/>
      <c r="JBD23" s="6"/>
      <c r="JBE23" s="6"/>
      <c r="JBF23" s="6"/>
      <c r="JBG23" s="6"/>
      <c r="JBH23" s="6"/>
      <c r="JBI23" s="6"/>
      <c r="JBJ23" s="6"/>
      <c r="JBK23" s="6"/>
      <c r="JBL23" s="6"/>
      <c r="JBM23" s="6"/>
      <c r="JBN23" s="6"/>
      <c r="JBO23" s="6"/>
      <c r="JBP23" s="6"/>
      <c r="JBQ23" s="6"/>
      <c r="JBR23" s="6"/>
      <c r="JBS23" s="6"/>
      <c r="JBT23" s="6"/>
      <c r="JBU23" s="6"/>
      <c r="JBV23" s="6"/>
      <c r="JBW23" s="6"/>
      <c r="JBX23" s="6"/>
      <c r="JBY23" s="6"/>
      <c r="JBZ23" s="6"/>
      <c r="JCA23" s="6"/>
      <c r="JCB23" s="6"/>
      <c r="JCC23" s="6"/>
      <c r="JCD23" s="6"/>
      <c r="JCE23" s="6"/>
      <c r="JCF23" s="6"/>
      <c r="JCG23" s="6"/>
      <c r="JCH23" s="6"/>
      <c r="JCI23" s="6"/>
      <c r="JCJ23" s="6"/>
      <c r="JCK23" s="6"/>
      <c r="JCL23" s="6"/>
      <c r="JCM23" s="6"/>
      <c r="JCN23" s="6"/>
      <c r="JCO23" s="6"/>
      <c r="JCP23" s="6"/>
      <c r="JCQ23" s="6"/>
      <c r="JCR23" s="6"/>
      <c r="JCS23" s="6"/>
      <c r="JCT23" s="6"/>
      <c r="JCU23" s="6"/>
      <c r="JCV23" s="6"/>
      <c r="JCW23" s="6"/>
      <c r="JCX23" s="6"/>
      <c r="JCY23" s="6"/>
      <c r="JCZ23" s="6"/>
      <c r="JDA23" s="6"/>
      <c r="JDB23" s="6"/>
      <c r="JDC23" s="6"/>
      <c r="JDD23" s="6"/>
      <c r="JDE23" s="6"/>
      <c r="JDF23" s="6"/>
      <c r="JDG23" s="6"/>
      <c r="JDH23" s="6"/>
      <c r="JDI23" s="6"/>
      <c r="JDJ23" s="6"/>
      <c r="JDK23" s="6"/>
      <c r="JDL23" s="6"/>
      <c r="JDM23" s="6"/>
      <c r="JDN23" s="6"/>
      <c r="JDO23" s="6"/>
      <c r="JDP23" s="6"/>
      <c r="JDQ23" s="6"/>
      <c r="JDR23" s="6"/>
      <c r="JDS23" s="6"/>
      <c r="JDT23" s="6"/>
      <c r="JDU23" s="6"/>
      <c r="JDV23" s="6"/>
      <c r="JDW23" s="6"/>
      <c r="JDX23" s="6"/>
      <c r="JDY23" s="6"/>
      <c r="JDZ23" s="6"/>
      <c r="JEA23" s="6"/>
      <c r="JEB23" s="6"/>
      <c r="JEC23" s="6"/>
      <c r="JED23" s="6"/>
      <c r="JEE23" s="6"/>
      <c r="JEF23" s="6"/>
      <c r="JEG23" s="6"/>
      <c r="JEH23" s="6"/>
      <c r="JEI23" s="6"/>
      <c r="JEJ23" s="6"/>
      <c r="JEK23" s="6"/>
      <c r="JEL23" s="6"/>
      <c r="JEM23" s="6"/>
      <c r="JEN23" s="6"/>
      <c r="JEO23" s="6"/>
      <c r="JEP23" s="6"/>
      <c r="JEQ23" s="6"/>
      <c r="JER23" s="6"/>
      <c r="JES23" s="6"/>
      <c r="JET23" s="6"/>
      <c r="JEU23" s="6"/>
      <c r="JEV23" s="6"/>
      <c r="JEW23" s="6"/>
      <c r="JEX23" s="6"/>
      <c r="JEY23" s="6"/>
      <c r="JEZ23" s="6"/>
      <c r="JFA23" s="6"/>
      <c r="JFB23" s="6"/>
      <c r="JFC23" s="6"/>
      <c r="JFD23" s="6"/>
      <c r="JFE23" s="6"/>
      <c r="JFF23" s="6"/>
      <c r="JFG23" s="6"/>
      <c r="JFH23" s="6"/>
      <c r="JFI23" s="6"/>
      <c r="JFJ23" s="6"/>
      <c r="JFK23" s="6"/>
      <c r="JFL23" s="6"/>
      <c r="JFM23" s="6"/>
      <c r="JFN23" s="6"/>
      <c r="JFO23" s="6"/>
      <c r="JFP23" s="6"/>
      <c r="JFQ23" s="6"/>
      <c r="JFR23" s="6"/>
      <c r="JFS23" s="6"/>
      <c r="JFT23" s="6"/>
      <c r="JFU23" s="6"/>
      <c r="JFV23" s="6"/>
      <c r="JFW23" s="6"/>
      <c r="JFX23" s="6"/>
      <c r="JFY23" s="6"/>
      <c r="JFZ23" s="6"/>
      <c r="JGA23" s="6"/>
      <c r="JGB23" s="6"/>
      <c r="JGC23" s="6"/>
      <c r="JGD23" s="6"/>
      <c r="JGE23" s="6"/>
      <c r="JGF23" s="6"/>
      <c r="JGG23" s="6"/>
      <c r="JGH23" s="6"/>
      <c r="JGI23" s="6"/>
      <c r="JGJ23" s="6"/>
      <c r="JGK23" s="6"/>
      <c r="JGL23" s="6"/>
      <c r="JGM23" s="6"/>
      <c r="JGN23" s="6"/>
      <c r="JGO23" s="6"/>
      <c r="JGP23" s="6"/>
      <c r="JGQ23" s="6"/>
      <c r="JGR23" s="6"/>
      <c r="JGS23" s="6"/>
      <c r="JGT23" s="6"/>
      <c r="JGU23" s="6"/>
      <c r="JGV23" s="6"/>
      <c r="JGW23" s="6"/>
      <c r="JGX23" s="6"/>
      <c r="JGY23" s="6"/>
      <c r="JGZ23" s="6"/>
      <c r="JHA23" s="6"/>
      <c r="JHB23" s="6"/>
      <c r="JHC23" s="6"/>
      <c r="JHD23" s="6"/>
      <c r="JHE23" s="6"/>
      <c r="JHF23" s="6"/>
      <c r="JHG23" s="6"/>
      <c r="JHH23" s="6"/>
      <c r="JHI23" s="6"/>
      <c r="JHJ23" s="6"/>
      <c r="JHK23" s="6"/>
      <c r="JHL23" s="6"/>
      <c r="JHM23" s="6"/>
      <c r="JHN23" s="6"/>
      <c r="JHO23" s="6"/>
      <c r="JHP23" s="6"/>
      <c r="JHQ23" s="6"/>
      <c r="JHR23" s="6"/>
      <c r="JHS23" s="6"/>
      <c r="JHT23" s="6"/>
      <c r="JHU23" s="6"/>
      <c r="JHV23" s="6"/>
      <c r="JHW23" s="6"/>
      <c r="JHX23" s="6"/>
      <c r="JHY23" s="6"/>
      <c r="JHZ23" s="6"/>
      <c r="JIA23" s="6"/>
      <c r="JIB23" s="6"/>
      <c r="JIC23" s="6"/>
      <c r="JID23" s="6"/>
      <c r="JIE23" s="6"/>
      <c r="JIF23" s="6"/>
      <c r="JIG23" s="6"/>
      <c r="JIH23" s="6"/>
      <c r="JII23" s="6"/>
      <c r="JIJ23" s="6"/>
      <c r="JIK23" s="6"/>
      <c r="JIL23" s="6"/>
      <c r="JIM23" s="6"/>
      <c r="JIN23" s="6"/>
      <c r="JIO23" s="6"/>
      <c r="JIP23" s="6"/>
      <c r="JIQ23" s="6"/>
      <c r="JIR23" s="6"/>
      <c r="JIS23" s="6"/>
      <c r="JIT23" s="6"/>
      <c r="JIU23" s="6"/>
      <c r="JIV23" s="6"/>
      <c r="JIW23" s="6"/>
      <c r="JIX23" s="6"/>
      <c r="JIY23" s="6"/>
      <c r="JIZ23" s="6"/>
      <c r="JJA23" s="6"/>
      <c r="JJB23" s="6"/>
      <c r="JJC23" s="6"/>
      <c r="JJD23" s="6"/>
      <c r="JJE23" s="6"/>
      <c r="JJF23" s="6"/>
      <c r="JJG23" s="6"/>
      <c r="JJH23" s="6"/>
      <c r="JJI23" s="6"/>
      <c r="JJJ23" s="6"/>
      <c r="JJK23" s="6"/>
      <c r="JJL23" s="6"/>
      <c r="JJM23" s="6"/>
      <c r="JJN23" s="6"/>
      <c r="JJO23" s="6"/>
      <c r="JJP23" s="6"/>
      <c r="JJQ23" s="6"/>
      <c r="JJR23" s="6"/>
      <c r="JJS23" s="6"/>
      <c r="JJT23" s="6"/>
      <c r="JJU23" s="6"/>
      <c r="JJV23" s="6"/>
      <c r="JJW23" s="6"/>
      <c r="JJX23" s="6"/>
      <c r="JJY23" s="6"/>
      <c r="JJZ23" s="6"/>
      <c r="JKA23" s="6"/>
      <c r="JKB23" s="6"/>
      <c r="JKC23" s="6"/>
      <c r="JKD23" s="6"/>
      <c r="JKE23" s="6"/>
      <c r="JKF23" s="6"/>
      <c r="JKG23" s="6"/>
      <c r="JKH23" s="6"/>
      <c r="JKI23" s="6"/>
      <c r="JKJ23" s="6"/>
      <c r="JKK23" s="6"/>
      <c r="JKL23" s="6"/>
      <c r="JKM23" s="6"/>
      <c r="JKN23" s="6"/>
      <c r="JKO23" s="6"/>
      <c r="JKP23" s="6"/>
      <c r="JKQ23" s="6"/>
      <c r="JKR23" s="6"/>
      <c r="JKS23" s="6"/>
      <c r="JKT23" s="6"/>
      <c r="JKU23" s="6"/>
      <c r="JKV23" s="6"/>
      <c r="JKW23" s="6"/>
      <c r="JKX23" s="6"/>
      <c r="JKY23" s="6"/>
      <c r="JKZ23" s="6"/>
      <c r="JLA23" s="6"/>
      <c r="JLB23" s="6"/>
      <c r="JLC23" s="6"/>
      <c r="JLD23" s="6"/>
      <c r="JLE23" s="6"/>
      <c r="JLF23" s="6"/>
      <c r="JLG23" s="6"/>
      <c r="JLH23" s="6"/>
      <c r="JLI23" s="6"/>
      <c r="JLJ23" s="6"/>
      <c r="JLK23" s="6"/>
      <c r="JLL23" s="6"/>
      <c r="JLM23" s="6"/>
      <c r="JLN23" s="6"/>
      <c r="JLO23" s="6"/>
      <c r="JLP23" s="6"/>
      <c r="JLQ23" s="6"/>
      <c r="JLR23" s="6"/>
      <c r="JLS23" s="6"/>
      <c r="JLT23" s="6"/>
      <c r="JLU23" s="6"/>
      <c r="JLV23" s="6"/>
      <c r="JLW23" s="6"/>
      <c r="JLX23" s="6"/>
      <c r="JLY23" s="6"/>
      <c r="JLZ23" s="6"/>
      <c r="JMA23" s="6"/>
      <c r="JMB23" s="6"/>
      <c r="JMC23" s="6"/>
      <c r="JMD23" s="6"/>
      <c r="JME23" s="6"/>
      <c r="JMF23" s="6"/>
      <c r="JMG23" s="6"/>
      <c r="JMH23" s="6"/>
      <c r="JMI23" s="6"/>
      <c r="JMJ23" s="6"/>
      <c r="JMK23" s="6"/>
      <c r="JML23" s="6"/>
      <c r="JMM23" s="6"/>
      <c r="JMN23" s="6"/>
      <c r="JMO23" s="6"/>
      <c r="JMP23" s="6"/>
      <c r="JMQ23" s="6"/>
      <c r="JMR23" s="6"/>
      <c r="JMS23" s="6"/>
      <c r="JMT23" s="6"/>
      <c r="JMU23" s="6"/>
      <c r="JMV23" s="6"/>
      <c r="JMW23" s="6"/>
      <c r="JMX23" s="6"/>
      <c r="JMY23" s="6"/>
      <c r="JMZ23" s="6"/>
      <c r="JNA23" s="6"/>
      <c r="JNB23" s="6"/>
      <c r="JNC23" s="6"/>
      <c r="JND23" s="6"/>
      <c r="JNE23" s="6"/>
      <c r="JNF23" s="6"/>
      <c r="JNG23" s="6"/>
      <c r="JNH23" s="6"/>
      <c r="JNI23" s="6"/>
      <c r="JNJ23" s="6"/>
      <c r="JNK23" s="6"/>
      <c r="JNL23" s="6"/>
      <c r="JNM23" s="6"/>
      <c r="JNN23" s="6"/>
      <c r="JNO23" s="6"/>
      <c r="JNP23" s="6"/>
      <c r="JNQ23" s="6"/>
      <c r="JNR23" s="6"/>
      <c r="JNS23" s="6"/>
      <c r="JNT23" s="6"/>
      <c r="JNU23" s="6"/>
      <c r="JNV23" s="6"/>
      <c r="JNW23" s="6"/>
      <c r="JNX23" s="6"/>
      <c r="JNY23" s="6"/>
      <c r="JNZ23" s="6"/>
      <c r="JOA23" s="6"/>
      <c r="JOB23" s="6"/>
      <c r="JOC23" s="6"/>
      <c r="JOD23" s="6"/>
      <c r="JOE23" s="6"/>
      <c r="JOF23" s="6"/>
      <c r="JOG23" s="6"/>
      <c r="JOH23" s="6"/>
      <c r="JOI23" s="6"/>
      <c r="JOJ23" s="6"/>
      <c r="JOK23" s="6"/>
      <c r="JOL23" s="6"/>
      <c r="JOM23" s="6"/>
      <c r="JON23" s="6"/>
      <c r="JOO23" s="6"/>
      <c r="JOP23" s="6"/>
      <c r="JOQ23" s="6"/>
      <c r="JOR23" s="6"/>
      <c r="JOS23" s="6"/>
      <c r="JOT23" s="6"/>
      <c r="JOU23" s="6"/>
      <c r="JOV23" s="6"/>
      <c r="JOW23" s="6"/>
      <c r="JOX23" s="6"/>
      <c r="JOY23" s="6"/>
      <c r="JOZ23" s="6"/>
      <c r="JPA23" s="6"/>
      <c r="JPB23" s="6"/>
      <c r="JPC23" s="6"/>
      <c r="JPD23" s="6"/>
      <c r="JPE23" s="6"/>
      <c r="JPF23" s="6"/>
      <c r="JPG23" s="6"/>
      <c r="JPH23" s="6"/>
      <c r="JPI23" s="6"/>
      <c r="JPJ23" s="6"/>
      <c r="JPK23" s="6"/>
      <c r="JPL23" s="6"/>
      <c r="JPM23" s="6"/>
      <c r="JPN23" s="6"/>
      <c r="JPO23" s="6"/>
      <c r="JPP23" s="6"/>
      <c r="JPQ23" s="6"/>
      <c r="JPR23" s="6"/>
      <c r="JPS23" s="6"/>
      <c r="JPT23" s="6"/>
      <c r="JPU23" s="6"/>
      <c r="JPV23" s="6"/>
      <c r="JPW23" s="6"/>
      <c r="JPX23" s="6"/>
      <c r="JPY23" s="6"/>
      <c r="JPZ23" s="6"/>
      <c r="JQA23" s="6"/>
      <c r="JQB23" s="6"/>
      <c r="JQC23" s="6"/>
      <c r="JQD23" s="6"/>
      <c r="JQE23" s="6"/>
      <c r="JQF23" s="6"/>
      <c r="JQG23" s="6"/>
      <c r="JQH23" s="6"/>
      <c r="JQI23" s="6"/>
      <c r="JQJ23" s="6"/>
      <c r="JQK23" s="6"/>
      <c r="JQL23" s="6"/>
      <c r="JQM23" s="6"/>
      <c r="JQN23" s="6"/>
      <c r="JQO23" s="6"/>
      <c r="JQP23" s="6"/>
      <c r="JQQ23" s="6"/>
      <c r="JQR23" s="6"/>
      <c r="JQS23" s="6"/>
      <c r="JQT23" s="6"/>
      <c r="JQU23" s="6"/>
      <c r="JQV23" s="6"/>
      <c r="JQW23" s="6"/>
      <c r="JQX23" s="6"/>
      <c r="JQY23" s="6"/>
      <c r="JQZ23" s="6"/>
      <c r="JRA23" s="6"/>
      <c r="JRB23" s="6"/>
      <c r="JRC23" s="6"/>
      <c r="JRD23" s="6"/>
      <c r="JRE23" s="6"/>
      <c r="JRF23" s="6"/>
      <c r="JRG23" s="6"/>
      <c r="JRH23" s="6"/>
      <c r="JRI23" s="6"/>
      <c r="JRJ23" s="6"/>
      <c r="JRK23" s="6"/>
      <c r="JRL23" s="6"/>
      <c r="JRM23" s="6"/>
      <c r="JRN23" s="6"/>
      <c r="JRO23" s="6"/>
      <c r="JRP23" s="6"/>
      <c r="JRQ23" s="6"/>
      <c r="JRR23" s="6"/>
      <c r="JRS23" s="6"/>
      <c r="JRT23" s="6"/>
      <c r="JRU23" s="6"/>
      <c r="JRV23" s="6"/>
      <c r="JRW23" s="6"/>
      <c r="JRX23" s="6"/>
      <c r="JRY23" s="6"/>
      <c r="JRZ23" s="6"/>
      <c r="JSA23" s="6"/>
      <c r="JSB23" s="6"/>
      <c r="JSC23" s="6"/>
      <c r="JSD23" s="6"/>
      <c r="JSE23" s="6"/>
      <c r="JSF23" s="6"/>
      <c r="JSG23" s="6"/>
      <c r="JSH23" s="6"/>
      <c r="JSI23" s="6"/>
      <c r="JSJ23" s="6"/>
      <c r="JSK23" s="6"/>
      <c r="JSL23" s="6"/>
      <c r="JSM23" s="6"/>
      <c r="JSN23" s="6"/>
      <c r="JSO23" s="6"/>
      <c r="JSP23" s="6"/>
      <c r="JSQ23" s="6"/>
      <c r="JSR23" s="6"/>
      <c r="JSS23" s="6"/>
      <c r="JST23" s="6"/>
      <c r="JSU23" s="6"/>
      <c r="JSV23" s="6"/>
      <c r="JSW23" s="6"/>
      <c r="JSX23" s="6"/>
      <c r="JSY23" s="6"/>
      <c r="JSZ23" s="6"/>
      <c r="JTA23" s="6"/>
      <c r="JTB23" s="6"/>
      <c r="JTC23" s="6"/>
      <c r="JTD23" s="6"/>
      <c r="JTE23" s="6"/>
      <c r="JTF23" s="6"/>
      <c r="JTG23" s="6"/>
      <c r="JTH23" s="6"/>
      <c r="JTI23" s="6"/>
      <c r="JTJ23" s="6"/>
      <c r="JTK23" s="6"/>
      <c r="JTL23" s="6"/>
      <c r="JTM23" s="6"/>
      <c r="JTN23" s="6"/>
      <c r="JTO23" s="6"/>
      <c r="JTP23" s="6"/>
      <c r="JTQ23" s="6"/>
      <c r="JTR23" s="6"/>
      <c r="JTS23" s="6"/>
      <c r="JTT23" s="6"/>
      <c r="JTU23" s="6"/>
      <c r="JTV23" s="6"/>
      <c r="JTW23" s="6"/>
      <c r="JTX23" s="6"/>
      <c r="JTY23" s="6"/>
      <c r="JTZ23" s="6"/>
      <c r="JUA23" s="6"/>
      <c r="JUB23" s="6"/>
      <c r="JUC23" s="6"/>
      <c r="JUD23" s="6"/>
      <c r="JUE23" s="6"/>
      <c r="JUF23" s="6"/>
      <c r="JUG23" s="6"/>
      <c r="JUH23" s="6"/>
      <c r="JUI23" s="6"/>
      <c r="JUJ23" s="6"/>
      <c r="JUK23" s="6"/>
      <c r="JUL23" s="6"/>
      <c r="JUM23" s="6"/>
      <c r="JUN23" s="6"/>
      <c r="JUO23" s="6"/>
      <c r="JUP23" s="6"/>
      <c r="JUQ23" s="6"/>
      <c r="JUR23" s="6"/>
      <c r="JUS23" s="6"/>
      <c r="JUT23" s="6"/>
      <c r="JUU23" s="6"/>
      <c r="JUV23" s="6"/>
      <c r="JUW23" s="6"/>
      <c r="JUX23" s="6"/>
      <c r="JUY23" s="6"/>
      <c r="JUZ23" s="6"/>
      <c r="JVA23" s="6"/>
      <c r="JVB23" s="6"/>
      <c r="JVC23" s="6"/>
      <c r="JVD23" s="6"/>
      <c r="JVE23" s="6"/>
      <c r="JVF23" s="6"/>
      <c r="JVG23" s="6"/>
      <c r="JVH23" s="6"/>
      <c r="JVI23" s="6"/>
      <c r="JVJ23" s="6"/>
      <c r="JVK23" s="6"/>
      <c r="JVL23" s="6"/>
      <c r="JVM23" s="6"/>
      <c r="JVN23" s="6"/>
      <c r="JVO23" s="6"/>
      <c r="JVP23" s="6"/>
      <c r="JVQ23" s="6"/>
      <c r="JVR23" s="6"/>
      <c r="JVS23" s="6"/>
      <c r="JVT23" s="6"/>
      <c r="JVU23" s="6"/>
      <c r="JVV23" s="6"/>
      <c r="JVW23" s="6"/>
      <c r="JVX23" s="6"/>
      <c r="JVY23" s="6"/>
      <c r="JVZ23" s="6"/>
      <c r="JWA23" s="6"/>
      <c r="JWB23" s="6"/>
      <c r="JWC23" s="6"/>
      <c r="JWD23" s="6"/>
      <c r="JWE23" s="6"/>
      <c r="JWF23" s="6"/>
      <c r="JWG23" s="6"/>
      <c r="JWH23" s="6"/>
      <c r="JWI23" s="6"/>
      <c r="JWJ23" s="6"/>
      <c r="JWK23" s="6"/>
      <c r="JWL23" s="6"/>
      <c r="JWM23" s="6"/>
      <c r="JWN23" s="6"/>
      <c r="JWO23" s="6"/>
      <c r="JWP23" s="6"/>
      <c r="JWQ23" s="6"/>
      <c r="JWR23" s="6"/>
      <c r="JWS23" s="6"/>
      <c r="JWT23" s="6"/>
      <c r="JWU23" s="6"/>
      <c r="JWV23" s="6"/>
      <c r="JWW23" s="6"/>
      <c r="JWX23" s="6"/>
      <c r="JWY23" s="6"/>
      <c r="JWZ23" s="6"/>
      <c r="JXA23" s="6"/>
      <c r="JXB23" s="6"/>
      <c r="JXC23" s="6"/>
      <c r="JXD23" s="6"/>
      <c r="JXE23" s="6"/>
      <c r="JXF23" s="6"/>
      <c r="JXG23" s="6"/>
      <c r="JXH23" s="6"/>
      <c r="JXI23" s="6"/>
      <c r="JXJ23" s="6"/>
      <c r="JXK23" s="6"/>
      <c r="JXL23" s="6"/>
      <c r="JXM23" s="6"/>
      <c r="JXN23" s="6"/>
      <c r="JXO23" s="6"/>
      <c r="JXP23" s="6"/>
      <c r="JXQ23" s="6"/>
      <c r="JXR23" s="6"/>
      <c r="JXS23" s="6"/>
      <c r="JXT23" s="6"/>
      <c r="JXU23" s="6"/>
      <c r="JXV23" s="6"/>
      <c r="JXW23" s="6"/>
      <c r="JXX23" s="6"/>
      <c r="JXY23" s="6"/>
      <c r="JXZ23" s="6"/>
      <c r="JYA23" s="6"/>
      <c r="JYB23" s="6"/>
      <c r="JYC23" s="6"/>
      <c r="JYD23" s="6"/>
      <c r="JYE23" s="6"/>
      <c r="JYF23" s="6"/>
      <c r="JYG23" s="6"/>
      <c r="JYH23" s="6"/>
      <c r="JYI23" s="6"/>
      <c r="JYJ23" s="6"/>
      <c r="JYK23" s="6"/>
      <c r="JYL23" s="6"/>
      <c r="JYM23" s="6"/>
      <c r="JYN23" s="6"/>
      <c r="JYO23" s="6"/>
      <c r="JYP23" s="6"/>
      <c r="JYQ23" s="6"/>
      <c r="JYR23" s="6"/>
      <c r="JYS23" s="6"/>
      <c r="JYT23" s="6"/>
      <c r="JYU23" s="6"/>
      <c r="JYV23" s="6"/>
      <c r="JYW23" s="6"/>
      <c r="JYX23" s="6"/>
      <c r="JYY23" s="6"/>
      <c r="JYZ23" s="6"/>
      <c r="JZA23" s="6"/>
      <c r="JZB23" s="6"/>
      <c r="JZC23" s="6"/>
      <c r="JZD23" s="6"/>
      <c r="JZE23" s="6"/>
      <c r="JZF23" s="6"/>
      <c r="JZG23" s="6"/>
      <c r="JZH23" s="6"/>
      <c r="JZI23" s="6"/>
      <c r="JZJ23" s="6"/>
      <c r="JZK23" s="6"/>
      <c r="JZL23" s="6"/>
      <c r="JZM23" s="6"/>
      <c r="JZN23" s="6"/>
      <c r="JZO23" s="6"/>
      <c r="JZP23" s="6"/>
      <c r="JZQ23" s="6"/>
      <c r="JZR23" s="6"/>
      <c r="JZS23" s="6"/>
      <c r="JZT23" s="6"/>
      <c r="JZU23" s="6"/>
      <c r="JZV23" s="6"/>
      <c r="JZW23" s="6"/>
      <c r="JZX23" s="6"/>
      <c r="JZY23" s="6"/>
      <c r="JZZ23" s="6"/>
      <c r="KAA23" s="6"/>
      <c r="KAB23" s="6"/>
      <c r="KAC23" s="6"/>
      <c r="KAD23" s="6"/>
      <c r="KAE23" s="6"/>
      <c r="KAF23" s="6"/>
      <c r="KAG23" s="6"/>
      <c r="KAH23" s="6"/>
      <c r="KAI23" s="6"/>
      <c r="KAJ23" s="6"/>
      <c r="KAK23" s="6"/>
      <c r="KAL23" s="6"/>
      <c r="KAM23" s="6"/>
      <c r="KAN23" s="6"/>
      <c r="KAO23" s="6"/>
      <c r="KAP23" s="6"/>
      <c r="KAQ23" s="6"/>
      <c r="KAR23" s="6"/>
      <c r="KAS23" s="6"/>
      <c r="KAT23" s="6"/>
      <c r="KAU23" s="6"/>
      <c r="KAV23" s="6"/>
      <c r="KAW23" s="6"/>
      <c r="KAX23" s="6"/>
      <c r="KAY23" s="6"/>
      <c r="KAZ23" s="6"/>
      <c r="KBA23" s="6"/>
      <c r="KBB23" s="6"/>
      <c r="KBC23" s="6"/>
      <c r="KBD23" s="6"/>
      <c r="KBE23" s="6"/>
      <c r="KBF23" s="6"/>
      <c r="KBG23" s="6"/>
      <c r="KBH23" s="6"/>
      <c r="KBI23" s="6"/>
      <c r="KBJ23" s="6"/>
      <c r="KBK23" s="6"/>
      <c r="KBL23" s="6"/>
      <c r="KBM23" s="6"/>
      <c r="KBN23" s="6"/>
      <c r="KBO23" s="6"/>
      <c r="KBP23" s="6"/>
      <c r="KBQ23" s="6"/>
      <c r="KBR23" s="6"/>
      <c r="KBS23" s="6"/>
      <c r="KBT23" s="6"/>
      <c r="KBU23" s="6"/>
      <c r="KBV23" s="6"/>
      <c r="KBW23" s="6"/>
      <c r="KBX23" s="6"/>
      <c r="KBY23" s="6"/>
      <c r="KBZ23" s="6"/>
      <c r="KCA23" s="6"/>
      <c r="KCB23" s="6"/>
      <c r="KCC23" s="6"/>
      <c r="KCD23" s="6"/>
      <c r="KCE23" s="6"/>
      <c r="KCF23" s="6"/>
      <c r="KCG23" s="6"/>
      <c r="KCH23" s="6"/>
      <c r="KCI23" s="6"/>
      <c r="KCJ23" s="6"/>
      <c r="KCK23" s="6"/>
      <c r="KCL23" s="6"/>
      <c r="KCM23" s="6"/>
      <c r="KCN23" s="6"/>
      <c r="KCO23" s="6"/>
      <c r="KCP23" s="6"/>
      <c r="KCQ23" s="6"/>
      <c r="KCR23" s="6"/>
      <c r="KCS23" s="6"/>
      <c r="KCT23" s="6"/>
      <c r="KCU23" s="6"/>
      <c r="KCV23" s="6"/>
      <c r="KCW23" s="6"/>
      <c r="KCX23" s="6"/>
      <c r="KCY23" s="6"/>
      <c r="KCZ23" s="6"/>
      <c r="KDA23" s="6"/>
      <c r="KDB23" s="6"/>
      <c r="KDC23" s="6"/>
      <c r="KDD23" s="6"/>
      <c r="KDE23" s="6"/>
      <c r="KDF23" s="6"/>
      <c r="KDG23" s="6"/>
      <c r="KDH23" s="6"/>
      <c r="KDI23" s="6"/>
      <c r="KDJ23" s="6"/>
      <c r="KDK23" s="6"/>
      <c r="KDL23" s="6"/>
      <c r="KDM23" s="6"/>
      <c r="KDN23" s="6"/>
      <c r="KDO23" s="6"/>
      <c r="KDP23" s="6"/>
      <c r="KDQ23" s="6"/>
      <c r="KDR23" s="6"/>
      <c r="KDS23" s="6"/>
      <c r="KDT23" s="6"/>
      <c r="KDU23" s="6"/>
      <c r="KDV23" s="6"/>
      <c r="KDW23" s="6"/>
      <c r="KDX23" s="6"/>
      <c r="KDY23" s="6"/>
      <c r="KDZ23" s="6"/>
      <c r="KEA23" s="6"/>
      <c r="KEB23" s="6"/>
      <c r="KEC23" s="6"/>
      <c r="KED23" s="6"/>
      <c r="KEE23" s="6"/>
      <c r="KEF23" s="6"/>
      <c r="KEG23" s="6"/>
      <c r="KEH23" s="6"/>
      <c r="KEI23" s="6"/>
      <c r="KEJ23" s="6"/>
      <c r="KEK23" s="6"/>
      <c r="KEL23" s="6"/>
      <c r="KEM23" s="6"/>
      <c r="KEN23" s="6"/>
      <c r="KEO23" s="6"/>
      <c r="KEP23" s="6"/>
      <c r="KEQ23" s="6"/>
      <c r="KER23" s="6"/>
      <c r="KES23" s="6"/>
      <c r="KET23" s="6"/>
      <c r="KEU23" s="6"/>
      <c r="KEV23" s="6"/>
      <c r="KEW23" s="6"/>
      <c r="KEX23" s="6"/>
      <c r="KEY23" s="6"/>
      <c r="KEZ23" s="6"/>
      <c r="KFA23" s="6"/>
      <c r="KFB23" s="6"/>
      <c r="KFC23" s="6"/>
      <c r="KFD23" s="6"/>
      <c r="KFE23" s="6"/>
      <c r="KFF23" s="6"/>
      <c r="KFG23" s="6"/>
      <c r="KFH23" s="6"/>
      <c r="KFI23" s="6"/>
      <c r="KFJ23" s="6"/>
      <c r="KFK23" s="6"/>
      <c r="KFL23" s="6"/>
      <c r="KFM23" s="6"/>
      <c r="KFN23" s="6"/>
      <c r="KFO23" s="6"/>
      <c r="KFP23" s="6"/>
      <c r="KFQ23" s="6"/>
      <c r="KFR23" s="6"/>
      <c r="KFS23" s="6"/>
      <c r="KFT23" s="6"/>
      <c r="KFU23" s="6"/>
      <c r="KFV23" s="6"/>
      <c r="KFW23" s="6"/>
      <c r="KFX23" s="6"/>
      <c r="KFY23" s="6"/>
      <c r="KFZ23" s="6"/>
      <c r="KGA23" s="6"/>
      <c r="KGB23" s="6"/>
      <c r="KGC23" s="6"/>
      <c r="KGD23" s="6"/>
      <c r="KGE23" s="6"/>
      <c r="KGF23" s="6"/>
      <c r="KGG23" s="6"/>
      <c r="KGH23" s="6"/>
      <c r="KGI23" s="6"/>
      <c r="KGJ23" s="6"/>
      <c r="KGK23" s="6"/>
      <c r="KGL23" s="6"/>
      <c r="KGM23" s="6"/>
      <c r="KGN23" s="6"/>
      <c r="KGO23" s="6"/>
      <c r="KGP23" s="6"/>
      <c r="KGQ23" s="6"/>
      <c r="KGR23" s="6"/>
      <c r="KGS23" s="6"/>
      <c r="KGT23" s="6"/>
      <c r="KGU23" s="6"/>
      <c r="KGV23" s="6"/>
      <c r="KGW23" s="6"/>
      <c r="KGX23" s="6"/>
      <c r="KGY23" s="6"/>
      <c r="KGZ23" s="6"/>
      <c r="KHA23" s="6"/>
      <c r="KHB23" s="6"/>
      <c r="KHC23" s="6"/>
      <c r="KHD23" s="6"/>
      <c r="KHE23" s="6"/>
      <c r="KHF23" s="6"/>
      <c r="KHG23" s="6"/>
      <c r="KHH23" s="6"/>
      <c r="KHI23" s="6"/>
      <c r="KHJ23" s="6"/>
      <c r="KHK23" s="6"/>
      <c r="KHL23" s="6"/>
      <c r="KHM23" s="6"/>
      <c r="KHN23" s="6"/>
      <c r="KHO23" s="6"/>
      <c r="KHP23" s="6"/>
      <c r="KHQ23" s="6"/>
      <c r="KHR23" s="6"/>
      <c r="KHS23" s="6"/>
      <c r="KHT23" s="6"/>
      <c r="KHU23" s="6"/>
      <c r="KHV23" s="6"/>
      <c r="KHW23" s="6"/>
      <c r="KHX23" s="6"/>
      <c r="KHY23" s="6"/>
      <c r="KHZ23" s="6"/>
      <c r="KIA23" s="6"/>
      <c r="KIB23" s="6"/>
      <c r="KIC23" s="6"/>
      <c r="KID23" s="6"/>
      <c r="KIE23" s="6"/>
      <c r="KIF23" s="6"/>
      <c r="KIG23" s="6"/>
      <c r="KIH23" s="6"/>
      <c r="KII23" s="6"/>
      <c r="KIJ23" s="6"/>
      <c r="KIK23" s="6"/>
      <c r="KIL23" s="6"/>
      <c r="KIM23" s="6"/>
      <c r="KIN23" s="6"/>
      <c r="KIO23" s="6"/>
      <c r="KIP23" s="6"/>
      <c r="KIQ23" s="6"/>
      <c r="KIR23" s="6"/>
      <c r="KIS23" s="6"/>
      <c r="KIT23" s="6"/>
      <c r="KIU23" s="6"/>
      <c r="KIV23" s="6"/>
      <c r="KIW23" s="6"/>
      <c r="KIX23" s="6"/>
      <c r="KIY23" s="6"/>
      <c r="KIZ23" s="6"/>
      <c r="KJA23" s="6"/>
      <c r="KJB23" s="6"/>
      <c r="KJC23" s="6"/>
      <c r="KJD23" s="6"/>
      <c r="KJE23" s="6"/>
      <c r="KJF23" s="6"/>
      <c r="KJG23" s="6"/>
      <c r="KJH23" s="6"/>
      <c r="KJI23" s="6"/>
      <c r="KJJ23" s="6"/>
      <c r="KJK23" s="6"/>
      <c r="KJL23" s="6"/>
      <c r="KJM23" s="6"/>
      <c r="KJN23" s="6"/>
      <c r="KJO23" s="6"/>
      <c r="KJP23" s="6"/>
      <c r="KJQ23" s="6"/>
      <c r="KJR23" s="6"/>
      <c r="KJS23" s="6"/>
      <c r="KJT23" s="6"/>
      <c r="KJU23" s="6"/>
      <c r="KJV23" s="6"/>
      <c r="KJW23" s="6"/>
      <c r="KJX23" s="6"/>
      <c r="KJY23" s="6"/>
      <c r="KJZ23" s="6"/>
      <c r="KKA23" s="6"/>
      <c r="KKB23" s="6"/>
      <c r="KKC23" s="6"/>
      <c r="KKD23" s="6"/>
      <c r="KKE23" s="6"/>
      <c r="KKF23" s="6"/>
      <c r="KKG23" s="6"/>
      <c r="KKH23" s="6"/>
      <c r="KKI23" s="6"/>
      <c r="KKJ23" s="6"/>
      <c r="KKK23" s="6"/>
      <c r="KKL23" s="6"/>
      <c r="KKM23" s="6"/>
      <c r="KKN23" s="6"/>
      <c r="KKO23" s="6"/>
      <c r="KKP23" s="6"/>
      <c r="KKQ23" s="6"/>
      <c r="KKR23" s="6"/>
      <c r="KKS23" s="6"/>
      <c r="KKT23" s="6"/>
      <c r="KKU23" s="6"/>
      <c r="KKV23" s="6"/>
      <c r="KKW23" s="6"/>
      <c r="KKX23" s="6"/>
      <c r="KKY23" s="6"/>
      <c r="KKZ23" s="6"/>
      <c r="KLA23" s="6"/>
      <c r="KLB23" s="6"/>
      <c r="KLC23" s="6"/>
      <c r="KLD23" s="6"/>
      <c r="KLE23" s="6"/>
      <c r="KLF23" s="6"/>
      <c r="KLG23" s="6"/>
      <c r="KLH23" s="6"/>
      <c r="KLI23" s="6"/>
      <c r="KLJ23" s="6"/>
      <c r="KLK23" s="6"/>
      <c r="KLL23" s="6"/>
      <c r="KLM23" s="6"/>
      <c r="KLN23" s="6"/>
      <c r="KLO23" s="6"/>
      <c r="KLP23" s="6"/>
      <c r="KLQ23" s="6"/>
      <c r="KLR23" s="6"/>
      <c r="KLS23" s="6"/>
      <c r="KLT23" s="6"/>
      <c r="KLU23" s="6"/>
      <c r="KLV23" s="6"/>
      <c r="KLW23" s="6"/>
      <c r="KLX23" s="6"/>
      <c r="KLY23" s="6"/>
      <c r="KLZ23" s="6"/>
      <c r="KMA23" s="6"/>
      <c r="KMB23" s="6"/>
      <c r="KMC23" s="6"/>
      <c r="KMD23" s="6"/>
      <c r="KME23" s="6"/>
      <c r="KMF23" s="6"/>
      <c r="KMG23" s="6"/>
      <c r="KMH23" s="6"/>
      <c r="KMI23" s="6"/>
      <c r="KMJ23" s="6"/>
      <c r="KMK23" s="6"/>
      <c r="KML23" s="6"/>
      <c r="KMM23" s="6"/>
      <c r="KMN23" s="6"/>
      <c r="KMO23" s="6"/>
      <c r="KMP23" s="6"/>
      <c r="KMQ23" s="6"/>
      <c r="KMR23" s="6"/>
      <c r="KMS23" s="6"/>
      <c r="KMT23" s="6"/>
      <c r="KMU23" s="6"/>
      <c r="KMV23" s="6"/>
      <c r="KMW23" s="6"/>
      <c r="KMX23" s="6"/>
      <c r="KMY23" s="6"/>
      <c r="KMZ23" s="6"/>
      <c r="KNA23" s="6"/>
      <c r="KNB23" s="6"/>
      <c r="KNC23" s="6"/>
      <c r="KND23" s="6"/>
      <c r="KNE23" s="6"/>
      <c r="KNF23" s="6"/>
      <c r="KNG23" s="6"/>
      <c r="KNH23" s="6"/>
      <c r="KNI23" s="6"/>
      <c r="KNJ23" s="6"/>
      <c r="KNK23" s="6"/>
      <c r="KNL23" s="6"/>
      <c r="KNM23" s="6"/>
      <c r="KNN23" s="6"/>
      <c r="KNO23" s="6"/>
      <c r="KNP23" s="6"/>
      <c r="KNQ23" s="6"/>
      <c r="KNR23" s="6"/>
      <c r="KNS23" s="6"/>
      <c r="KNT23" s="6"/>
      <c r="KNU23" s="6"/>
      <c r="KNV23" s="6"/>
      <c r="KNW23" s="6"/>
      <c r="KNX23" s="6"/>
      <c r="KNY23" s="6"/>
      <c r="KNZ23" s="6"/>
      <c r="KOA23" s="6"/>
      <c r="KOB23" s="6"/>
      <c r="KOC23" s="6"/>
      <c r="KOD23" s="6"/>
      <c r="KOE23" s="6"/>
      <c r="KOF23" s="6"/>
      <c r="KOG23" s="6"/>
      <c r="KOH23" s="6"/>
      <c r="KOI23" s="6"/>
      <c r="KOJ23" s="6"/>
      <c r="KOK23" s="6"/>
      <c r="KOL23" s="6"/>
      <c r="KOM23" s="6"/>
      <c r="KON23" s="6"/>
      <c r="KOO23" s="6"/>
      <c r="KOP23" s="6"/>
      <c r="KOQ23" s="6"/>
      <c r="KOR23" s="6"/>
      <c r="KOS23" s="6"/>
      <c r="KOT23" s="6"/>
      <c r="KOU23" s="6"/>
      <c r="KOV23" s="6"/>
      <c r="KOW23" s="6"/>
      <c r="KOX23" s="6"/>
      <c r="KOY23" s="6"/>
      <c r="KOZ23" s="6"/>
      <c r="KPA23" s="6"/>
      <c r="KPB23" s="6"/>
      <c r="KPC23" s="6"/>
      <c r="KPD23" s="6"/>
      <c r="KPE23" s="6"/>
      <c r="KPF23" s="6"/>
      <c r="KPG23" s="6"/>
      <c r="KPH23" s="6"/>
      <c r="KPI23" s="6"/>
      <c r="KPJ23" s="6"/>
      <c r="KPK23" s="6"/>
      <c r="KPL23" s="6"/>
      <c r="KPM23" s="6"/>
      <c r="KPN23" s="6"/>
      <c r="KPO23" s="6"/>
      <c r="KPP23" s="6"/>
      <c r="KPQ23" s="6"/>
      <c r="KPR23" s="6"/>
      <c r="KPS23" s="6"/>
      <c r="KPT23" s="6"/>
      <c r="KPU23" s="6"/>
      <c r="KPV23" s="6"/>
      <c r="KPW23" s="6"/>
      <c r="KPX23" s="6"/>
      <c r="KPY23" s="6"/>
      <c r="KPZ23" s="6"/>
      <c r="KQA23" s="6"/>
      <c r="KQB23" s="6"/>
      <c r="KQC23" s="6"/>
      <c r="KQD23" s="6"/>
      <c r="KQE23" s="6"/>
      <c r="KQF23" s="6"/>
      <c r="KQG23" s="6"/>
      <c r="KQH23" s="6"/>
      <c r="KQI23" s="6"/>
      <c r="KQJ23" s="6"/>
      <c r="KQK23" s="6"/>
      <c r="KQL23" s="6"/>
      <c r="KQM23" s="6"/>
      <c r="KQN23" s="6"/>
      <c r="KQO23" s="6"/>
      <c r="KQP23" s="6"/>
      <c r="KQQ23" s="6"/>
      <c r="KQR23" s="6"/>
      <c r="KQS23" s="6"/>
      <c r="KQT23" s="6"/>
      <c r="KQU23" s="6"/>
      <c r="KQV23" s="6"/>
      <c r="KQW23" s="6"/>
      <c r="KQX23" s="6"/>
      <c r="KQY23" s="6"/>
      <c r="KQZ23" s="6"/>
      <c r="KRA23" s="6"/>
      <c r="KRB23" s="6"/>
      <c r="KRC23" s="6"/>
      <c r="KRD23" s="6"/>
      <c r="KRE23" s="6"/>
      <c r="KRF23" s="6"/>
      <c r="KRG23" s="6"/>
      <c r="KRH23" s="6"/>
      <c r="KRI23" s="6"/>
      <c r="KRJ23" s="6"/>
      <c r="KRK23" s="6"/>
      <c r="KRL23" s="6"/>
      <c r="KRM23" s="6"/>
      <c r="KRN23" s="6"/>
      <c r="KRO23" s="6"/>
      <c r="KRP23" s="6"/>
      <c r="KRQ23" s="6"/>
      <c r="KRR23" s="6"/>
      <c r="KRS23" s="6"/>
      <c r="KRT23" s="6"/>
      <c r="KRU23" s="6"/>
      <c r="KRV23" s="6"/>
      <c r="KRW23" s="6"/>
      <c r="KRX23" s="6"/>
      <c r="KRY23" s="6"/>
      <c r="KRZ23" s="6"/>
      <c r="KSA23" s="6"/>
      <c r="KSB23" s="6"/>
      <c r="KSC23" s="6"/>
      <c r="KSD23" s="6"/>
      <c r="KSE23" s="6"/>
      <c r="KSF23" s="6"/>
      <c r="KSG23" s="6"/>
      <c r="KSH23" s="6"/>
      <c r="KSI23" s="6"/>
      <c r="KSJ23" s="6"/>
      <c r="KSK23" s="6"/>
      <c r="KSL23" s="6"/>
      <c r="KSM23" s="6"/>
      <c r="KSN23" s="6"/>
      <c r="KSO23" s="6"/>
      <c r="KSP23" s="6"/>
      <c r="KSQ23" s="6"/>
      <c r="KSR23" s="6"/>
      <c r="KSS23" s="6"/>
      <c r="KST23" s="6"/>
      <c r="KSU23" s="6"/>
      <c r="KSV23" s="6"/>
      <c r="KSW23" s="6"/>
      <c r="KSX23" s="6"/>
      <c r="KSY23" s="6"/>
      <c r="KSZ23" s="6"/>
      <c r="KTA23" s="6"/>
      <c r="KTB23" s="6"/>
      <c r="KTC23" s="6"/>
      <c r="KTD23" s="6"/>
      <c r="KTE23" s="6"/>
      <c r="KTF23" s="6"/>
      <c r="KTG23" s="6"/>
      <c r="KTH23" s="6"/>
      <c r="KTI23" s="6"/>
      <c r="KTJ23" s="6"/>
      <c r="KTK23" s="6"/>
      <c r="KTL23" s="6"/>
      <c r="KTM23" s="6"/>
      <c r="KTN23" s="6"/>
      <c r="KTO23" s="6"/>
      <c r="KTP23" s="6"/>
      <c r="KTQ23" s="6"/>
      <c r="KTR23" s="6"/>
      <c r="KTS23" s="6"/>
      <c r="KTT23" s="6"/>
      <c r="KTU23" s="6"/>
      <c r="KTV23" s="6"/>
      <c r="KTW23" s="6"/>
      <c r="KTX23" s="6"/>
      <c r="KTY23" s="6"/>
      <c r="KTZ23" s="6"/>
      <c r="KUA23" s="6"/>
      <c r="KUB23" s="6"/>
      <c r="KUC23" s="6"/>
      <c r="KUD23" s="6"/>
      <c r="KUE23" s="6"/>
      <c r="KUF23" s="6"/>
      <c r="KUG23" s="6"/>
      <c r="KUH23" s="6"/>
      <c r="KUI23" s="6"/>
      <c r="KUJ23" s="6"/>
      <c r="KUK23" s="6"/>
      <c r="KUL23" s="6"/>
      <c r="KUM23" s="6"/>
      <c r="KUN23" s="6"/>
      <c r="KUO23" s="6"/>
      <c r="KUP23" s="6"/>
      <c r="KUQ23" s="6"/>
      <c r="KUR23" s="6"/>
      <c r="KUS23" s="6"/>
      <c r="KUT23" s="6"/>
      <c r="KUU23" s="6"/>
      <c r="KUV23" s="6"/>
      <c r="KUW23" s="6"/>
      <c r="KUX23" s="6"/>
      <c r="KUY23" s="6"/>
      <c r="KUZ23" s="6"/>
      <c r="KVA23" s="6"/>
      <c r="KVB23" s="6"/>
      <c r="KVC23" s="6"/>
      <c r="KVD23" s="6"/>
      <c r="KVE23" s="6"/>
      <c r="KVF23" s="6"/>
      <c r="KVG23" s="6"/>
      <c r="KVH23" s="6"/>
      <c r="KVI23" s="6"/>
      <c r="KVJ23" s="6"/>
      <c r="KVK23" s="6"/>
      <c r="KVL23" s="6"/>
      <c r="KVM23" s="6"/>
      <c r="KVN23" s="6"/>
      <c r="KVO23" s="6"/>
      <c r="KVP23" s="6"/>
      <c r="KVQ23" s="6"/>
      <c r="KVR23" s="6"/>
      <c r="KVS23" s="6"/>
      <c r="KVT23" s="6"/>
      <c r="KVU23" s="6"/>
      <c r="KVV23" s="6"/>
      <c r="KVW23" s="6"/>
      <c r="KVX23" s="6"/>
      <c r="KVY23" s="6"/>
      <c r="KVZ23" s="6"/>
      <c r="KWA23" s="6"/>
      <c r="KWB23" s="6"/>
      <c r="KWC23" s="6"/>
      <c r="KWD23" s="6"/>
      <c r="KWE23" s="6"/>
      <c r="KWF23" s="6"/>
      <c r="KWG23" s="6"/>
      <c r="KWH23" s="6"/>
      <c r="KWI23" s="6"/>
      <c r="KWJ23" s="6"/>
      <c r="KWK23" s="6"/>
      <c r="KWL23" s="6"/>
      <c r="KWM23" s="6"/>
      <c r="KWN23" s="6"/>
      <c r="KWO23" s="6"/>
      <c r="KWP23" s="6"/>
      <c r="KWQ23" s="6"/>
      <c r="KWR23" s="6"/>
      <c r="KWS23" s="6"/>
      <c r="KWT23" s="6"/>
      <c r="KWU23" s="6"/>
      <c r="KWV23" s="6"/>
      <c r="KWW23" s="6"/>
      <c r="KWX23" s="6"/>
      <c r="KWY23" s="6"/>
      <c r="KWZ23" s="6"/>
      <c r="KXA23" s="6"/>
      <c r="KXB23" s="6"/>
      <c r="KXC23" s="6"/>
      <c r="KXD23" s="6"/>
      <c r="KXE23" s="6"/>
      <c r="KXF23" s="6"/>
      <c r="KXG23" s="6"/>
      <c r="KXH23" s="6"/>
      <c r="KXI23" s="6"/>
      <c r="KXJ23" s="6"/>
      <c r="KXK23" s="6"/>
      <c r="KXL23" s="6"/>
      <c r="KXM23" s="6"/>
      <c r="KXN23" s="6"/>
      <c r="KXO23" s="6"/>
      <c r="KXP23" s="6"/>
      <c r="KXQ23" s="6"/>
      <c r="KXR23" s="6"/>
      <c r="KXS23" s="6"/>
      <c r="KXT23" s="6"/>
      <c r="KXU23" s="6"/>
      <c r="KXV23" s="6"/>
      <c r="KXW23" s="6"/>
      <c r="KXX23" s="6"/>
      <c r="KXY23" s="6"/>
      <c r="KXZ23" s="6"/>
      <c r="KYA23" s="6"/>
      <c r="KYB23" s="6"/>
      <c r="KYC23" s="6"/>
      <c r="KYD23" s="6"/>
      <c r="KYE23" s="6"/>
      <c r="KYF23" s="6"/>
      <c r="KYG23" s="6"/>
      <c r="KYH23" s="6"/>
      <c r="KYI23" s="6"/>
      <c r="KYJ23" s="6"/>
      <c r="KYK23" s="6"/>
      <c r="KYL23" s="6"/>
      <c r="KYM23" s="6"/>
      <c r="KYN23" s="6"/>
      <c r="KYO23" s="6"/>
      <c r="KYP23" s="6"/>
      <c r="KYQ23" s="6"/>
      <c r="KYR23" s="6"/>
      <c r="KYS23" s="6"/>
      <c r="KYT23" s="6"/>
      <c r="KYU23" s="6"/>
      <c r="KYV23" s="6"/>
      <c r="KYW23" s="6"/>
      <c r="KYX23" s="6"/>
      <c r="KYY23" s="6"/>
      <c r="KYZ23" s="6"/>
      <c r="KZA23" s="6"/>
      <c r="KZB23" s="6"/>
      <c r="KZC23" s="6"/>
      <c r="KZD23" s="6"/>
      <c r="KZE23" s="6"/>
      <c r="KZF23" s="6"/>
      <c r="KZG23" s="6"/>
      <c r="KZH23" s="6"/>
      <c r="KZI23" s="6"/>
      <c r="KZJ23" s="6"/>
      <c r="KZK23" s="6"/>
      <c r="KZL23" s="6"/>
      <c r="KZM23" s="6"/>
      <c r="KZN23" s="6"/>
      <c r="KZO23" s="6"/>
      <c r="KZP23" s="6"/>
      <c r="KZQ23" s="6"/>
      <c r="KZR23" s="6"/>
      <c r="KZS23" s="6"/>
      <c r="KZT23" s="6"/>
      <c r="KZU23" s="6"/>
      <c r="KZV23" s="6"/>
      <c r="KZW23" s="6"/>
      <c r="KZX23" s="6"/>
      <c r="KZY23" s="6"/>
      <c r="KZZ23" s="6"/>
      <c r="LAA23" s="6"/>
      <c r="LAB23" s="6"/>
      <c r="LAC23" s="6"/>
      <c r="LAD23" s="6"/>
      <c r="LAE23" s="6"/>
      <c r="LAF23" s="6"/>
      <c r="LAG23" s="6"/>
      <c r="LAH23" s="6"/>
      <c r="LAI23" s="6"/>
      <c r="LAJ23" s="6"/>
      <c r="LAK23" s="6"/>
      <c r="LAL23" s="6"/>
      <c r="LAM23" s="6"/>
      <c r="LAN23" s="6"/>
      <c r="LAO23" s="6"/>
      <c r="LAP23" s="6"/>
      <c r="LAQ23" s="6"/>
      <c r="LAR23" s="6"/>
      <c r="LAS23" s="6"/>
      <c r="LAT23" s="6"/>
      <c r="LAU23" s="6"/>
      <c r="LAV23" s="6"/>
      <c r="LAW23" s="6"/>
      <c r="LAX23" s="6"/>
      <c r="LAY23" s="6"/>
      <c r="LAZ23" s="6"/>
      <c r="LBA23" s="6"/>
      <c r="LBB23" s="6"/>
      <c r="LBC23" s="6"/>
      <c r="LBD23" s="6"/>
      <c r="LBE23" s="6"/>
      <c r="LBF23" s="6"/>
      <c r="LBG23" s="6"/>
      <c r="LBH23" s="6"/>
      <c r="LBI23" s="6"/>
      <c r="LBJ23" s="6"/>
      <c r="LBK23" s="6"/>
      <c r="LBL23" s="6"/>
      <c r="LBM23" s="6"/>
      <c r="LBN23" s="6"/>
      <c r="LBO23" s="6"/>
      <c r="LBP23" s="6"/>
      <c r="LBQ23" s="6"/>
      <c r="LBR23" s="6"/>
      <c r="LBS23" s="6"/>
      <c r="LBT23" s="6"/>
      <c r="LBU23" s="6"/>
      <c r="LBV23" s="6"/>
      <c r="LBW23" s="6"/>
      <c r="LBX23" s="6"/>
      <c r="LBY23" s="6"/>
      <c r="LBZ23" s="6"/>
      <c r="LCA23" s="6"/>
      <c r="LCB23" s="6"/>
      <c r="LCC23" s="6"/>
      <c r="LCD23" s="6"/>
      <c r="LCE23" s="6"/>
      <c r="LCF23" s="6"/>
      <c r="LCG23" s="6"/>
      <c r="LCH23" s="6"/>
      <c r="LCI23" s="6"/>
      <c r="LCJ23" s="6"/>
      <c r="LCK23" s="6"/>
      <c r="LCL23" s="6"/>
      <c r="LCM23" s="6"/>
      <c r="LCN23" s="6"/>
      <c r="LCO23" s="6"/>
      <c r="LCP23" s="6"/>
      <c r="LCQ23" s="6"/>
      <c r="LCR23" s="6"/>
      <c r="LCS23" s="6"/>
      <c r="LCT23" s="6"/>
      <c r="LCU23" s="6"/>
      <c r="LCV23" s="6"/>
      <c r="LCW23" s="6"/>
      <c r="LCX23" s="6"/>
      <c r="LCY23" s="6"/>
      <c r="LCZ23" s="6"/>
      <c r="LDA23" s="6"/>
      <c r="LDB23" s="6"/>
      <c r="LDC23" s="6"/>
      <c r="LDD23" s="6"/>
      <c r="LDE23" s="6"/>
      <c r="LDF23" s="6"/>
      <c r="LDG23" s="6"/>
      <c r="LDH23" s="6"/>
      <c r="LDI23" s="6"/>
      <c r="LDJ23" s="6"/>
      <c r="LDK23" s="6"/>
      <c r="LDL23" s="6"/>
      <c r="LDM23" s="6"/>
      <c r="LDN23" s="6"/>
      <c r="LDO23" s="6"/>
      <c r="LDP23" s="6"/>
      <c r="LDQ23" s="6"/>
      <c r="LDR23" s="6"/>
      <c r="LDS23" s="6"/>
      <c r="LDT23" s="6"/>
      <c r="LDU23" s="6"/>
      <c r="LDV23" s="6"/>
      <c r="LDW23" s="6"/>
      <c r="LDX23" s="6"/>
      <c r="LDY23" s="6"/>
      <c r="LDZ23" s="6"/>
      <c r="LEA23" s="6"/>
      <c r="LEB23" s="6"/>
      <c r="LEC23" s="6"/>
      <c r="LED23" s="6"/>
      <c r="LEE23" s="6"/>
      <c r="LEF23" s="6"/>
      <c r="LEG23" s="6"/>
      <c r="LEH23" s="6"/>
      <c r="LEI23" s="6"/>
      <c r="LEJ23" s="6"/>
      <c r="LEK23" s="6"/>
      <c r="LEL23" s="6"/>
      <c r="LEM23" s="6"/>
      <c r="LEN23" s="6"/>
      <c r="LEO23" s="6"/>
      <c r="LEP23" s="6"/>
      <c r="LEQ23" s="6"/>
      <c r="LER23" s="6"/>
      <c r="LES23" s="6"/>
      <c r="LET23" s="6"/>
      <c r="LEU23" s="6"/>
      <c r="LEV23" s="6"/>
      <c r="LEW23" s="6"/>
      <c r="LEX23" s="6"/>
      <c r="LEY23" s="6"/>
      <c r="LEZ23" s="6"/>
      <c r="LFA23" s="6"/>
      <c r="LFB23" s="6"/>
      <c r="LFC23" s="6"/>
      <c r="LFD23" s="6"/>
      <c r="LFE23" s="6"/>
      <c r="LFF23" s="6"/>
      <c r="LFG23" s="6"/>
      <c r="LFH23" s="6"/>
      <c r="LFI23" s="6"/>
      <c r="LFJ23" s="6"/>
      <c r="LFK23" s="6"/>
      <c r="LFL23" s="6"/>
      <c r="LFM23" s="6"/>
      <c r="LFN23" s="6"/>
      <c r="LFO23" s="6"/>
      <c r="LFP23" s="6"/>
      <c r="LFQ23" s="6"/>
      <c r="LFR23" s="6"/>
      <c r="LFS23" s="6"/>
      <c r="LFT23" s="6"/>
      <c r="LFU23" s="6"/>
      <c r="LFV23" s="6"/>
      <c r="LFW23" s="6"/>
      <c r="LFX23" s="6"/>
      <c r="LFY23" s="6"/>
      <c r="LFZ23" s="6"/>
      <c r="LGA23" s="6"/>
      <c r="LGB23" s="6"/>
      <c r="LGC23" s="6"/>
      <c r="LGD23" s="6"/>
      <c r="LGE23" s="6"/>
      <c r="LGF23" s="6"/>
      <c r="LGG23" s="6"/>
      <c r="LGH23" s="6"/>
      <c r="LGI23" s="6"/>
      <c r="LGJ23" s="6"/>
      <c r="LGK23" s="6"/>
      <c r="LGL23" s="6"/>
      <c r="LGM23" s="6"/>
      <c r="LGN23" s="6"/>
      <c r="LGO23" s="6"/>
      <c r="LGP23" s="6"/>
      <c r="LGQ23" s="6"/>
      <c r="LGR23" s="6"/>
      <c r="LGS23" s="6"/>
      <c r="LGT23" s="6"/>
      <c r="LGU23" s="6"/>
      <c r="LGV23" s="6"/>
      <c r="LGW23" s="6"/>
      <c r="LGX23" s="6"/>
      <c r="LGY23" s="6"/>
      <c r="LGZ23" s="6"/>
      <c r="LHA23" s="6"/>
      <c r="LHB23" s="6"/>
      <c r="LHC23" s="6"/>
      <c r="LHD23" s="6"/>
      <c r="LHE23" s="6"/>
      <c r="LHF23" s="6"/>
      <c r="LHG23" s="6"/>
      <c r="LHH23" s="6"/>
      <c r="LHI23" s="6"/>
      <c r="LHJ23" s="6"/>
      <c r="LHK23" s="6"/>
      <c r="LHL23" s="6"/>
      <c r="LHM23" s="6"/>
      <c r="LHN23" s="6"/>
      <c r="LHO23" s="6"/>
      <c r="LHP23" s="6"/>
      <c r="LHQ23" s="6"/>
      <c r="LHR23" s="6"/>
      <c r="LHS23" s="6"/>
      <c r="LHT23" s="6"/>
      <c r="LHU23" s="6"/>
      <c r="LHV23" s="6"/>
      <c r="LHW23" s="6"/>
      <c r="LHX23" s="6"/>
      <c r="LHY23" s="6"/>
      <c r="LHZ23" s="6"/>
      <c r="LIA23" s="6"/>
      <c r="LIB23" s="6"/>
      <c r="LIC23" s="6"/>
      <c r="LID23" s="6"/>
      <c r="LIE23" s="6"/>
      <c r="LIF23" s="6"/>
      <c r="LIG23" s="6"/>
      <c r="LIH23" s="6"/>
      <c r="LII23" s="6"/>
      <c r="LIJ23" s="6"/>
      <c r="LIK23" s="6"/>
      <c r="LIL23" s="6"/>
      <c r="LIM23" s="6"/>
      <c r="LIN23" s="6"/>
      <c r="LIO23" s="6"/>
      <c r="LIP23" s="6"/>
      <c r="LIQ23" s="6"/>
      <c r="LIR23" s="6"/>
      <c r="LIS23" s="6"/>
      <c r="LIT23" s="6"/>
      <c r="LIU23" s="6"/>
      <c r="LIV23" s="6"/>
      <c r="LIW23" s="6"/>
      <c r="LIX23" s="6"/>
      <c r="LIY23" s="6"/>
      <c r="LIZ23" s="6"/>
      <c r="LJA23" s="6"/>
      <c r="LJB23" s="6"/>
      <c r="LJC23" s="6"/>
      <c r="LJD23" s="6"/>
      <c r="LJE23" s="6"/>
      <c r="LJF23" s="6"/>
      <c r="LJG23" s="6"/>
      <c r="LJH23" s="6"/>
      <c r="LJI23" s="6"/>
      <c r="LJJ23" s="6"/>
      <c r="LJK23" s="6"/>
      <c r="LJL23" s="6"/>
      <c r="LJM23" s="6"/>
      <c r="LJN23" s="6"/>
      <c r="LJO23" s="6"/>
      <c r="LJP23" s="6"/>
      <c r="LJQ23" s="6"/>
      <c r="LJR23" s="6"/>
      <c r="LJS23" s="6"/>
      <c r="LJT23" s="6"/>
      <c r="LJU23" s="6"/>
      <c r="LJV23" s="6"/>
      <c r="LJW23" s="6"/>
      <c r="LJX23" s="6"/>
      <c r="LJY23" s="6"/>
      <c r="LJZ23" s="6"/>
      <c r="LKA23" s="6"/>
      <c r="LKB23" s="6"/>
      <c r="LKC23" s="6"/>
      <c r="LKD23" s="6"/>
      <c r="LKE23" s="6"/>
      <c r="LKF23" s="6"/>
      <c r="LKG23" s="6"/>
      <c r="LKH23" s="6"/>
      <c r="LKI23" s="6"/>
      <c r="LKJ23" s="6"/>
      <c r="LKK23" s="6"/>
      <c r="LKL23" s="6"/>
      <c r="LKM23" s="6"/>
      <c r="LKN23" s="6"/>
      <c r="LKO23" s="6"/>
      <c r="LKP23" s="6"/>
      <c r="LKQ23" s="6"/>
      <c r="LKR23" s="6"/>
      <c r="LKS23" s="6"/>
      <c r="LKT23" s="6"/>
      <c r="LKU23" s="6"/>
      <c r="LKV23" s="6"/>
      <c r="LKW23" s="6"/>
      <c r="LKX23" s="6"/>
      <c r="LKY23" s="6"/>
      <c r="LKZ23" s="6"/>
      <c r="LLA23" s="6"/>
      <c r="LLB23" s="6"/>
      <c r="LLC23" s="6"/>
      <c r="LLD23" s="6"/>
      <c r="LLE23" s="6"/>
      <c r="LLF23" s="6"/>
      <c r="LLG23" s="6"/>
      <c r="LLH23" s="6"/>
      <c r="LLI23" s="6"/>
      <c r="LLJ23" s="6"/>
      <c r="LLK23" s="6"/>
      <c r="LLL23" s="6"/>
      <c r="LLM23" s="6"/>
      <c r="LLN23" s="6"/>
      <c r="LLO23" s="6"/>
      <c r="LLP23" s="6"/>
      <c r="LLQ23" s="6"/>
      <c r="LLR23" s="6"/>
      <c r="LLS23" s="6"/>
      <c r="LLT23" s="6"/>
      <c r="LLU23" s="6"/>
      <c r="LLV23" s="6"/>
      <c r="LLW23" s="6"/>
      <c r="LLX23" s="6"/>
      <c r="LLY23" s="6"/>
      <c r="LLZ23" s="6"/>
      <c r="LMA23" s="6"/>
      <c r="LMB23" s="6"/>
      <c r="LMC23" s="6"/>
      <c r="LMD23" s="6"/>
      <c r="LME23" s="6"/>
      <c r="LMF23" s="6"/>
      <c r="LMG23" s="6"/>
      <c r="LMH23" s="6"/>
      <c r="LMI23" s="6"/>
      <c r="LMJ23" s="6"/>
      <c r="LMK23" s="6"/>
      <c r="LML23" s="6"/>
      <c r="LMM23" s="6"/>
      <c r="LMN23" s="6"/>
      <c r="LMO23" s="6"/>
      <c r="LMP23" s="6"/>
      <c r="LMQ23" s="6"/>
      <c r="LMR23" s="6"/>
      <c r="LMS23" s="6"/>
      <c r="LMT23" s="6"/>
      <c r="LMU23" s="6"/>
      <c r="LMV23" s="6"/>
      <c r="LMW23" s="6"/>
      <c r="LMX23" s="6"/>
      <c r="LMY23" s="6"/>
      <c r="LMZ23" s="6"/>
      <c r="LNA23" s="6"/>
      <c r="LNB23" s="6"/>
      <c r="LNC23" s="6"/>
      <c r="LND23" s="6"/>
      <c r="LNE23" s="6"/>
      <c r="LNF23" s="6"/>
      <c r="LNG23" s="6"/>
      <c r="LNH23" s="6"/>
      <c r="LNI23" s="6"/>
      <c r="LNJ23" s="6"/>
      <c r="LNK23" s="6"/>
      <c r="LNL23" s="6"/>
      <c r="LNM23" s="6"/>
      <c r="LNN23" s="6"/>
      <c r="LNO23" s="6"/>
      <c r="LNP23" s="6"/>
      <c r="LNQ23" s="6"/>
      <c r="LNR23" s="6"/>
      <c r="LNS23" s="6"/>
      <c r="LNT23" s="6"/>
      <c r="LNU23" s="6"/>
      <c r="LNV23" s="6"/>
      <c r="LNW23" s="6"/>
      <c r="LNX23" s="6"/>
      <c r="LNY23" s="6"/>
      <c r="LNZ23" s="6"/>
      <c r="LOA23" s="6"/>
      <c r="LOB23" s="6"/>
      <c r="LOC23" s="6"/>
      <c r="LOD23" s="6"/>
      <c r="LOE23" s="6"/>
      <c r="LOF23" s="6"/>
      <c r="LOG23" s="6"/>
      <c r="LOH23" s="6"/>
      <c r="LOI23" s="6"/>
      <c r="LOJ23" s="6"/>
      <c r="LOK23" s="6"/>
      <c r="LOL23" s="6"/>
      <c r="LOM23" s="6"/>
      <c r="LON23" s="6"/>
      <c r="LOO23" s="6"/>
      <c r="LOP23" s="6"/>
      <c r="LOQ23" s="6"/>
      <c r="LOR23" s="6"/>
      <c r="LOS23" s="6"/>
      <c r="LOT23" s="6"/>
      <c r="LOU23" s="6"/>
      <c r="LOV23" s="6"/>
      <c r="LOW23" s="6"/>
      <c r="LOX23" s="6"/>
      <c r="LOY23" s="6"/>
      <c r="LOZ23" s="6"/>
      <c r="LPA23" s="6"/>
      <c r="LPB23" s="6"/>
      <c r="LPC23" s="6"/>
      <c r="LPD23" s="6"/>
      <c r="LPE23" s="6"/>
      <c r="LPF23" s="6"/>
      <c r="LPG23" s="6"/>
      <c r="LPH23" s="6"/>
      <c r="LPI23" s="6"/>
      <c r="LPJ23" s="6"/>
      <c r="LPK23" s="6"/>
      <c r="LPL23" s="6"/>
      <c r="LPM23" s="6"/>
      <c r="LPN23" s="6"/>
      <c r="LPO23" s="6"/>
      <c r="LPP23" s="6"/>
      <c r="LPQ23" s="6"/>
      <c r="LPR23" s="6"/>
      <c r="LPS23" s="6"/>
      <c r="LPT23" s="6"/>
      <c r="LPU23" s="6"/>
      <c r="LPV23" s="6"/>
      <c r="LPW23" s="6"/>
      <c r="LPX23" s="6"/>
      <c r="LPY23" s="6"/>
      <c r="LPZ23" s="6"/>
      <c r="LQA23" s="6"/>
      <c r="LQB23" s="6"/>
      <c r="LQC23" s="6"/>
      <c r="LQD23" s="6"/>
      <c r="LQE23" s="6"/>
      <c r="LQF23" s="6"/>
      <c r="LQG23" s="6"/>
      <c r="LQH23" s="6"/>
      <c r="LQI23" s="6"/>
      <c r="LQJ23" s="6"/>
      <c r="LQK23" s="6"/>
      <c r="LQL23" s="6"/>
      <c r="LQM23" s="6"/>
      <c r="LQN23" s="6"/>
      <c r="LQO23" s="6"/>
      <c r="LQP23" s="6"/>
      <c r="LQQ23" s="6"/>
      <c r="LQR23" s="6"/>
      <c r="LQS23" s="6"/>
      <c r="LQT23" s="6"/>
      <c r="LQU23" s="6"/>
      <c r="LQV23" s="6"/>
      <c r="LQW23" s="6"/>
      <c r="LQX23" s="6"/>
      <c r="LQY23" s="6"/>
      <c r="LQZ23" s="6"/>
      <c r="LRA23" s="6"/>
      <c r="LRB23" s="6"/>
      <c r="LRC23" s="6"/>
      <c r="LRD23" s="6"/>
      <c r="LRE23" s="6"/>
      <c r="LRF23" s="6"/>
      <c r="LRG23" s="6"/>
      <c r="LRH23" s="6"/>
      <c r="LRI23" s="6"/>
      <c r="LRJ23" s="6"/>
      <c r="LRK23" s="6"/>
      <c r="LRL23" s="6"/>
      <c r="LRM23" s="6"/>
      <c r="LRN23" s="6"/>
      <c r="LRO23" s="6"/>
      <c r="LRP23" s="6"/>
      <c r="LRQ23" s="6"/>
      <c r="LRR23" s="6"/>
      <c r="LRS23" s="6"/>
      <c r="LRT23" s="6"/>
      <c r="LRU23" s="6"/>
      <c r="LRV23" s="6"/>
      <c r="LRW23" s="6"/>
      <c r="LRX23" s="6"/>
      <c r="LRY23" s="6"/>
      <c r="LRZ23" s="6"/>
      <c r="LSA23" s="6"/>
      <c r="LSB23" s="6"/>
      <c r="LSC23" s="6"/>
      <c r="LSD23" s="6"/>
      <c r="LSE23" s="6"/>
      <c r="LSF23" s="6"/>
      <c r="LSG23" s="6"/>
      <c r="LSH23" s="6"/>
      <c r="LSI23" s="6"/>
      <c r="LSJ23" s="6"/>
      <c r="LSK23" s="6"/>
      <c r="LSL23" s="6"/>
      <c r="LSM23" s="6"/>
      <c r="LSN23" s="6"/>
      <c r="LSO23" s="6"/>
      <c r="LSP23" s="6"/>
      <c r="LSQ23" s="6"/>
      <c r="LSR23" s="6"/>
      <c r="LSS23" s="6"/>
      <c r="LST23" s="6"/>
      <c r="LSU23" s="6"/>
      <c r="LSV23" s="6"/>
      <c r="LSW23" s="6"/>
      <c r="LSX23" s="6"/>
      <c r="LSY23" s="6"/>
      <c r="LSZ23" s="6"/>
      <c r="LTA23" s="6"/>
      <c r="LTB23" s="6"/>
      <c r="LTC23" s="6"/>
      <c r="LTD23" s="6"/>
      <c r="LTE23" s="6"/>
      <c r="LTF23" s="6"/>
      <c r="LTG23" s="6"/>
      <c r="LTH23" s="6"/>
      <c r="LTI23" s="6"/>
      <c r="LTJ23" s="6"/>
      <c r="LTK23" s="6"/>
      <c r="LTL23" s="6"/>
      <c r="LTM23" s="6"/>
      <c r="LTN23" s="6"/>
      <c r="LTO23" s="6"/>
      <c r="LTP23" s="6"/>
      <c r="LTQ23" s="6"/>
      <c r="LTR23" s="6"/>
      <c r="LTS23" s="6"/>
      <c r="LTT23" s="6"/>
      <c r="LTU23" s="6"/>
      <c r="LTV23" s="6"/>
      <c r="LTW23" s="6"/>
      <c r="LTX23" s="6"/>
      <c r="LTY23" s="6"/>
      <c r="LTZ23" s="6"/>
      <c r="LUA23" s="6"/>
      <c r="LUB23" s="6"/>
      <c r="LUC23" s="6"/>
      <c r="LUD23" s="6"/>
      <c r="LUE23" s="6"/>
      <c r="LUF23" s="6"/>
      <c r="LUG23" s="6"/>
      <c r="LUH23" s="6"/>
      <c r="LUI23" s="6"/>
      <c r="LUJ23" s="6"/>
      <c r="LUK23" s="6"/>
      <c r="LUL23" s="6"/>
      <c r="LUM23" s="6"/>
      <c r="LUN23" s="6"/>
      <c r="LUO23" s="6"/>
      <c r="LUP23" s="6"/>
      <c r="LUQ23" s="6"/>
      <c r="LUR23" s="6"/>
      <c r="LUS23" s="6"/>
      <c r="LUT23" s="6"/>
      <c r="LUU23" s="6"/>
      <c r="LUV23" s="6"/>
      <c r="LUW23" s="6"/>
      <c r="LUX23" s="6"/>
      <c r="LUY23" s="6"/>
      <c r="LUZ23" s="6"/>
      <c r="LVA23" s="6"/>
      <c r="LVB23" s="6"/>
      <c r="LVC23" s="6"/>
      <c r="LVD23" s="6"/>
      <c r="LVE23" s="6"/>
      <c r="LVF23" s="6"/>
      <c r="LVG23" s="6"/>
      <c r="LVH23" s="6"/>
      <c r="LVI23" s="6"/>
      <c r="LVJ23" s="6"/>
      <c r="LVK23" s="6"/>
      <c r="LVL23" s="6"/>
      <c r="LVM23" s="6"/>
      <c r="LVN23" s="6"/>
      <c r="LVO23" s="6"/>
      <c r="LVP23" s="6"/>
      <c r="LVQ23" s="6"/>
      <c r="LVR23" s="6"/>
      <c r="LVS23" s="6"/>
      <c r="LVT23" s="6"/>
      <c r="LVU23" s="6"/>
      <c r="LVV23" s="6"/>
      <c r="LVW23" s="6"/>
      <c r="LVX23" s="6"/>
      <c r="LVY23" s="6"/>
      <c r="LVZ23" s="6"/>
      <c r="LWA23" s="6"/>
      <c r="LWB23" s="6"/>
      <c r="LWC23" s="6"/>
      <c r="LWD23" s="6"/>
      <c r="LWE23" s="6"/>
      <c r="LWF23" s="6"/>
      <c r="LWG23" s="6"/>
      <c r="LWH23" s="6"/>
      <c r="LWI23" s="6"/>
      <c r="LWJ23" s="6"/>
      <c r="LWK23" s="6"/>
      <c r="LWL23" s="6"/>
      <c r="LWM23" s="6"/>
      <c r="LWN23" s="6"/>
      <c r="LWO23" s="6"/>
      <c r="LWP23" s="6"/>
      <c r="LWQ23" s="6"/>
      <c r="LWR23" s="6"/>
      <c r="LWS23" s="6"/>
      <c r="LWT23" s="6"/>
      <c r="LWU23" s="6"/>
      <c r="LWV23" s="6"/>
      <c r="LWW23" s="6"/>
      <c r="LWX23" s="6"/>
      <c r="LWY23" s="6"/>
      <c r="LWZ23" s="6"/>
      <c r="LXA23" s="6"/>
      <c r="LXB23" s="6"/>
      <c r="LXC23" s="6"/>
      <c r="LXD23" s="6"/>
      <c r="LXE23" s="6"/>
      <c r="LXF23" s="6"/>
      <c r="LXG23" s="6"/>
      <c r="LXH23" s="6"/>
      <c r="LXI23" s="6"/>
      <c r="LXJ23" s="6"/>
      <c r="LXK23" s="6"/>
      <c r="LXL23" s="6"/>
      <c r="LXM23" s="6"/>
      <c r="LXN23" s="6"/>
      <c r="LXO23" s="6"/>
      <c r="LXP23" s="6"/>
      <c r="LXQ23" s="6"/>
      <c r="LXR23" s="6"/>
      <c r="LXS23" s="6"/>
      <c r="LXT23" s="6"/>
      <c r="LXU23" s="6"/>
      <c r="LXV23" s="6"/>
      <c r="LXW23" s="6"/>
      <c r="LXX23" s="6"/>
      <c r="LXY23" s="6"/>
      <c r="LXZ23" s="6"/>
      <c r="LYA23" s="6"/>
      <c r="LYB23" s="6"/>
      <c r="LYC23" s="6"/>
      <c r="LYD23" s="6"/>
      <c r="LYE23" s="6"/>
      <c r="LYF23" s="6"/>
      <c r="LYG23" s="6"/>
      <c r="LYH23" s="6"/>
      <c r="LYI23" s="6"/>
      <c r="LYJ23" s="6"/>
      <c r="LYK23" s="6"/>
      <c r="LYL23" s="6"/>
      <c r="LYM23" s="6"/>
      <c r="LYN23" s="6"/>
      <c r="LYO23" s="6"/>
      <c r="LYP23" s="6"/>
      <c r="LYQ23" s="6"/>
      <c r="LYR23" s="6"/>
      <c r="LYS23" s="6"/>
      <c r="LYT23" s="6"/>
      <c r="LYU23" s="6"/>
      <c r="LYV23" s="6"/>
      <c r="LYW23" s="6"/>
      <c r="LYX23" s="6"/>
      <c r="LYY23" s="6"/>
      <c r="LYZ23" s="6"/>
      <c r="LZA23" s="6"/>
      <c r="LZB23" s="6"/>
      <c r="LZC23" s="6"/>
      <c r="LZD23" s="6"/>
      <c r="LZE23" s="6"/>
      <c r="LZF23" s="6"/>
      <c r="LZG23" s="6"/>
      <c r="LZH23" s="6"/>
      <c r="LZI23" s="6"/>
      <c r="LZJ23" s="6"/>
      <c r="LZK23" s="6"/>
      <c r="LZL23" s="6"/>
      <c r="LZM23" s="6"/>
      <c r="LZN23" s="6"/>
      <c r="LZO23" s="6"/>
      <c r="LZP23" s="6"/>
      <c r="LZQ23" s="6"/>
      <c r="LZR23" s="6"/>
      <c r="LZS23" s="6"/>
      <c r="LZT23" s="6"/>
      <c r="LZU23" s="6"/>
      <c r="LZV23" s="6"/>
      <c r="LZW23" s="6"/>
      <c r="LZX23" s="6"/>
      <c r="LZY23" s="6"/>
      <c r="LZZ23" s="6"/>
      <c r="MAA23" s="6"/>
      <c r="MAB23" s="6"/>
      <c r="MAC23" s="6"/>
      <c r="MAD23" s="6"/>
      <c r="MAE23" s="6"/>
      <c r="MAF23" s="6"/>
      <c r="MAG23" s="6"/>
      <c r="MAH23" s="6"/>
      <c r="MAI23" s="6"/>
      <c r="MAJ23" s="6"/>
      <c r="MAK23" s="6"/>
      <c r="MAL23" s="6"/>
      <c r="MAM23" s="6"/>
      <c r="MAN23" s="6"/>
      <c r="MAO23" s="6"/>
      <c r="MAP23" s="6"/>
      <c r="MAQ23" s="6"/>
      <c r="MAR23" s="6"/>
      <c r="MAS23" s="6"/>
      <c r="MAT23" s="6"/>
      <c r="MAU23" s="6"/>
      <c r="MAV23" s="6"/>
      <c r="MAW23" s="6"/>
      <c r="MAX23" s="6"/>
      <c r="MAY23" s="6"/>
      <c r="MAZ23" s="6"/>
      <c r="MBA23" s="6"/>
      <c r="MBB23" s="6"/>
      <c r="MBC23" s="6"/>
      <c r="MBD23" s="6"/>
      <c r="MBE23" s="6"/>
      <c r="MBF23" s="6"/>
      <c r="MBG23" s="6"/>
      <c r="MBH23" s="6"/>
      <c r="MBI23" s="6"/>
      <c r="MBJ23" s="6"/>
      <c r="MBK23" s="6"/>
      <c r="MBL23" s="6"/>
      <c r="MBM23" s="6"/>
      <c r="MBN23" s="6"/>
      <c r="MBO23" s="6"/>
      <c r="MBP23" s="6"/>
      <c r="MBQ23" s="6"/>
      <c r="MBR23" s="6"/>
      <c r="MBS23" s="6"/>
      <c r="MBT23" s="6"/>
      <c r="MBU23" s="6"/>
      <c r="MBV23" s="6"/>
      <c r="MBW23" s="6"/>
      <c r="MBX23" s="6"/>
      <c r="MBY23" s="6"/>
      <c r="MBZ23" s="6"/>
      <c r="MCA23" s="6"/>
      <c r="MCB23" s="6"/>
      <c r="MCC23" s="6"/>
      <c r="MCD23" s="6"/>
      <c r="MCE23" s="6"/>
      <c r="MCF23" s="6"/>
      <c r="MCG23" s="6"/>
      <c r="MCH23" s="6"/>
      <c r="MCI23" s="6"/>
      <c r="MCJ23" s="6"/>
      <c r="MCK23" s="6"/>
      <c r="MCL23" s="6"/>
      <c r="MCM23" s="6"/>
      <c r="MCN23" s="6"/>
      <c r="MCO23" s="6"/>
      <c r="MCP23" s="6"/>
      <c r="MCQ23" s="6"/>
      <c r="MCR23" s="6"/>
      <c r="MCS23" s="6"/>
      <c r="MCT23" s="6"/>
      <c r="MCU23" s="6"/>
      <c r="MCV23" s="6"/>
      <c r="MCW23" s="6"/>
      <c r="MCX23" s="6"/>
      <c r="MCY23" s="6"/>
      <c r="MCZ23" s="6"/>
      <c r="MDA23" s="6"/>
      <c r="MDB23" s="6"/>
      <c r="MDC23" s="6"/>
      <c r="MDD23" s="6"/>
      <c r="MDE23" s="6"/>
      <c r="MDF23" s="6"/>
      <c r="MDG23" s="6"/>
      <c r="MDH23" s="6"/>
      <c r="MDI23" s="6"/>
      <c r="MDJ23" s="6"/>
      <c r="MDK23" s="6"/>
      <c r="MDL23" s="6"/>
      <c r="MDM23" s="6"/>
      <c r="MDN23" s="6"/>
      <c r="MDO23" s="6"/>
      <c r="MDP23" s="6"/>
      <c r="MDQ23" s="6"/>
      <c r="MDR23" s="6"/>
      <c r="MDS23" s="6"/>
      <c r="MDT23" s="6"/>
      <c r="MDU23" s="6"/>
      <c r="MDV23" s="6"/>
      <c r="MDW23" s="6"/>
      <c r="MDX23" s="6"/>
      <c r="MDY23" s="6"/>
      <c r="MDZ23" s="6"/>
      <c r="MEA23" s="6"/>
      <c r="MEB23" s="6"/>
      <c r="MEC23" s="6"/>
      <c r="MED23" s="6"/>
      <c r="MEE23" s="6"/>
      <c r="MEF23" s="6"/>
      <c r="MEG23" s="6"/>
      <c r="MEH23" s="6"/>
      <c r="MEI23" s="6"/>
      <c r="MEJ23" s="6"/>
      <c r="MEK23" s="6"/>
      <c r="MEL23" s="6"/>
      <c r="MEM23" s="6"/>
      <c r="MEN23" s="6"/>
      <c r="MEO23" s="6"/>
      <c r="MEP23" s="6"/>
      <c r="MEQ23" s="6"/>
      <c r="MER23" s="6"/>
      <c r="MES23" s="6"/>
      <c r="MET23" s="6"/>
      <c r="MEU23" s="6"/>
      <c r="MEV23" s="6"/>
      <c r="MEW23" s="6"/>
      <c r="MEX23" s="6"/>
      <c r="MEY23" s="6"/>
      <c r="MEZ23" s="6"/>
      <c r="MFA23" s="6"/>
      <c r="MFB23" s="6"/>
      <c r="MFC23" s="6"/>
      <c r="MFD23" s="6"/>
      <c r="MFE23" s="6"/>
      <c r="MFF23" s="6"/>
      <c r="MFG23" s="6"/>
      <c r="MFH23" s="6"/>
      <c r="MFI23" s="6"/>
      <c r="MFJ23" s="6"/>
      <c r="MFK23" s="6"/>
      <c r="MFL23" s="6"/>
      <c r="MFM23" s="6"/>
      <c r="MFN23" s="6"/>
      <c r="MFO23" s="6"/>
      <c r="MFP23" s="6"/>
      <c r="MFQ23" s="6"/>
      <c r="MFR23" s="6"/>
      <c r="MFS23" s="6"/>
      <c r="MFT23" s="6"/>
      <c r="MFU23" s="6"/>
      <c r="MFV23" s="6"/>
      <c r="MFW23" s="6"/>
      <c r="MFX23" s="6"/>
      <c r="MFY23" s="6"/>
      <c r="MFZ23" s="6"/>
      <c r="MGA23" s="6"/>
      <c r="MGB23" s="6"/>
      <c r="MGC23" s="6"/>
      <c r="MGD23" s="6"/>
      <c r="MGE23" s="6"/>
      <c r="MGF23" s="6"/>
      <c r="MGG23" s="6"/>
      <c r="MGH23" s="6"/>
      <c r="MGI23" s="6"/>
      <c r="MGJ23" s="6"/>
      <c r="MGK23" s="6"/>
      <c r="MGL23" s="6"/>
      <c r="MGM23" s="6"/>
      <c r="MGN23" s="6"/>
      <c r="MGO23" s="6"/>
      <c r="MGP23" s="6"/>
      <c r="MGQ23" s="6"/>
      <c r="MGR23" s="6"/>
      <c r="MGS23" s="6"/>
      <c r="MGT23" s="6"/>
      <c r="MGU23" s="6"/>
      <c r="MGV23" s="6"/>
      <c r="MGW23" s="6"/>
      <c r="MGX23" s="6"/>
      <c r="MGY23" s="6"/>
      <c r="MGZ23" s="6"/>
      <c r="MHA23" s="6"/>
      <c r="MHB23" s="6"/>
      <c r="MHC23" s="6"/>
      <c r="MHD23" s="6"/>
      <c r="MHE23" s="6"/>
      <c r="MHF23" s="6"/>
      <c r="MHG23" s="6"/>
      <c r="MHH23" s="6"/>
      <c r="MHI23" s="6"/>
      <c r="MHJ23" s="6"/>
      <c r="MHK23" s="6"/>
      <c r="MHL23" s="6"/>
      <c r="MHM23" s="6"/>
      <c r="MHN23" s="6"/>
      <c r="MHO23" s="6"/>
      <c r="MHP23" s="6"/>
      <c r="MHQ23" s="6"/>
      <c r="MHR23" s="6"/>
      <c r="MHS23" s="6"/>
      <c r="MHT23" s="6"/>
      <c r="MHU23" s="6"/>
      <c r="MHV23" s="6"/>
      <c r="MHW23" s="6"/>
      <c r="MHX23" s="6"/>
      <c r="MHY23" s="6"/>
      <c r="MHZ23" s="6"/>
      <c r="MIA23" s="6"/>
      <c r="MIB23" s="6"/>
      <c r="MIC23" s="6"/>
      <c r="MID23" s="6"/>
      <c r="MIE23" s="6"/>
      <c r="MIF23" s="6"/>
      <c r="MIG23" s="6"/>
      <c r="MIH23" s="6"/>
      <c r="MII23" s="6"/>
      <c r="MIJ23" s="6"/>
      <c r="MIK23" s="6"/>
      <c r="MIL23" s="6"/>
      <c r="MIM23" s="6"/>
      <c r="MIN23" s="6"/>
      <c r="MIO23" s="6"/>
      <c r="MIP23" s="6"/>
      <c r="MIQ23" s="6"/>
      <c r="MIR23" s="6"/>
      <c r="MIS23" s="6"/>
      <c r="MIT23" s="6"/>
      <c r="MIU23" s="6"/>
      <c r="MIV23" s="6"/>
      <c r="MIW23" s="6"/>
      <c r="MIX23" s="6"/>
      <c r="MIY23" s="6"/>
      <c r="MIZ23" s="6"/>
      <c r="MJA23" s="6"/>
      <c r="MJB23" s="6"/>
      <c r="MJC23" s="6"/>
      <c r="MJD23" s="6"/>
      <c r="MJE23" s="6"/>
      <c r="MJF23" s="6"/>
      <c r="MJG23" s="6"/>
      <c r="MJH23" s="6"/>
      <c r="MJI23" s="6"/>
      <c r="MJJ23" s="6"/>
      <c r="MJK23" s="6"/>
      <c r="MJL23" s="6"/>
      <c r="MJM23" s="6"/>
      <c r="MJN23" s="6"/>
      <c r="MJO23" s="6"/>
      <c r="MJP23" s="6"/>
      <c r="MJQ23" s="6"/>
      <c r="MJR23" s="6"/>
      <c r="MJS23" s="6"/>
      <c r="MJT23" s="6"/>
      <c r="MJU23" s="6"/>
      <c r="MJV23" s="6"/>
      <c r="MJW23" s="6"/>
      <c r="MJX23" s="6"/>
      <c r="MJY23" s="6"/>
      <c r="MJZ23" s="6"/>
      <c r="MKA23" s="6"/>
      <c r="MKB23" s="6"/>
      <c r="MKC23" s="6"/>
      <c r="MKD23" s="6"/>
      <c r="MKE23" s="6"/>
      <c r="MKF23" s="6"/>
      <c r="MKG23" s="6"/>
      <c r="MKH23" s="6"/>
      <c r="MKI23" s="6"/>
      <c r="MKJ23" s="6"/>
      <c r="MKK23" s="6"/>
      <c r="MKL23" s="6"/>
      <c r="MKM23" s="6"/>
      <c r="MKN23" s="6"/>
      <c r="MKO23" s="6"/>
      <c r="MKP23" s="6"/>
      <c r="MKQ23" s="6"/>
      <c r="MKR23" s="6"/>
      <c r="MKS23" s="6"/>
      <c r="MKT23" s="6"/>
      <c r="MKU23" s="6"/>
      <c r="MKV23" s="6"/>
      <c r="MKW23" s="6"/>
      <c r="MKX23" s="6"/>
      <c r="MKY23" s="6"/>
      <c r="MKZ23" s="6"/>
      <c r="MLA23" s="6"/>
      <c r="MLB23" s="6"/>
      <c r="MLC23" s="6"/>
      <c r="MLD23" s="6"/>
      <c r="MLE23" s="6"/>
      <c r="MLF23" s="6"/>
      <c r="MLG23" s="6"/>
      <c r="MLH23" s="6"/>
      <c r="MLI23" s="6"/>
      <c r="MLJ23" s="6"/>
      <c r="MLK23" s="6"/>
      <c r="MLL23" s="6"/>
      <c r="MLM23" s="6"/>
      <c r="MLN23" s="6"/>
      <c r="MLO23" s="6"/>
      <c r="MLP23" s="6"/>
      <c r="MLQ23" s="6"/>
      <c r="MLR23" s="6"/>
      <c r="MLS23" s="6"/>
      <c r="MLT23" s="6"/>
      <c r="MLU23" s="6"/>
      <c r="MLV23" s="6"/>
      <c r="MLW23" s="6"/>
      <c r="MLX23" s="6"/>
      <c r="MLY23" s="6"/>
      <c r="MLZ23" s="6"/>
      <c r="MMA23" s="6"/>
      <c r="MMB23" s="6"/>
      <c r="MMC23" s="6"/>
      <c r="MMD23" s="6"/>
      <c r="MME23" s="6"/>
      <c r="MMF23" s="6"/>
      <c r="MMG23" s="6"/>
      <c r="MMH23" s="6"/>
      <c r="MMI23" s="6"/>
      <c r="MMJ23" s="6"/>
      <c r="MMK23" s="6"/>
      <c r="MML23" s="6"/>
      <c r="MMM23" s="6"/>
      <c r="MMN23" s="6"/>
      <c r="MMO23" s="6"/>
      <c r="MMP23" s="6"/>
      <c r="MMQ23" s="6"/>
      <c r="MMR23" s="6"/>
      <c r="MMS23" s="6"/>
      <c r="MMT23" s="6"/>
      <c r="MMU23" s="6"/>
      <c r="MMV23" s="6"/>
      <c r="MMW23" s="6"/>
      <c r="MMX23" s="6"/>
      <c r="MMY23" s="6"/>
      <c r="MMZ23" s="6"/>
      <c r="MNA23" s="6"/>
      <c r="MNB23" s="6"/>
      <c r="MNC23" s="6"/>
      <c r="MND23" s="6"/>
      <c r="MNE23" s="6"/>
      <c r="MNF23" s="6"/>
      <c r="MNG23" s="6"/>
      <c r="MNH23" s="6"/>
      <c r="MNI23" s="6"/>
      <c r="MNJ23" s="6"/>
      <c r="MNK23" s="6"/>
      <c r="MNL23" s="6"/>
      <c r="MNM23" s="6"/>
      <c r="MNN23" s="6"/>
      <c r="MNO23" s="6"/>
      <c r="MNP23" s="6"/>
      <c r="MNQ23" s="6"/>
      <c r="MNR23" s="6"/>
      <c r="MNS23" s="6"/>
      <c r="MNT23" s="6"/>
      <c r="MNU23" s="6"/>
      <c r="MNV23" s="6"/>
      <c r="MNW23" s="6"/>
      <c r="MNX23" s="6"/>
      <c r="MNY23" s="6"/>
      <c r="MNZ23" s="6"/>
      <c r="MOA23" s="6"/>
      <c r="MOB23" s="6"/>
      <c r="MOC23" s="6"/>
      <c r="MOD23" s="6"/>
      <c r="MOE23" s="6"/>
      <c r="MOF23" s="6"/>
      <c r="MOG23" s="6"/>
      <c r="MOH23" s="6"/>
      <c r="MOI23" s="6"/>
      <c r="MOJ23" s="6"/>
      <c r="MOK23" s="6"/>
      <c r="MOL23" s="6"/>
      <c r="MOM23" s="6"/>
      <c r="MON23" s="6"/>
      <c r="MOO23" s="6"/>
      <c r="MOP23" s="6"/>
      <c r="MOQ23" s="6"/>
      <c r="MOR23" s="6"/>
      <c r="MOS23" s="6"/>
      <c r="MOT23" s="6"/>
      <c r="MOU23" s="6"/>
      <c r="MOV23" s="6"/>
      <c r="MOW23" s="6"/>
      <c r="MOX23" s="6"/>
      <c r="MOY23" s="6"/>
      <c r="MOZ23" s="6"/>
      <c r="MPA23" s="6"/>
      <c r="MPB23" s="6"/>
      <c r="MPC23" s="6"/>
      <c r="MPD23" s="6"/>
      <c r="MPE23" s="6"/>
      <c r="MPF23" s="6"/>
      <c r="MPG23" s="6"/>
      <c r="MPH23" s="6"/>
      <c r="MPI23" s="6"/>
      <c r="MPJ23" s="6"/>
      <c r="MPK23" s="6"/>
      <c r="MPL23" s="6"/>
      <c r="MPM23" s="6"/>
      <c r="MPN23" s="6"/>
      <c r="MPO23" s="6"/>
      <c r="MPP23" s="6"/>
      <c r="MPQ23" s="6"/>
      <c r="MPR23" s="6"/>
      <c r="MPS23" s="6"/>
      <c r="MPT23" s="6"/>
      <c r="MPU23" s="6"/>
      <c r="MPV23" s="6"/>
      <c r="MPW23" s="6"/>
      <c r="MPX23" s="6"/>
      <c r="MPY23" s="6"/>
      <c r="MPZ23" s="6"/>
      <c r="MQA23" s="6"/>
      <c r="MQB23" s="6"/>
      <c r="MQC23" s="6"/>
      <c r="MQD23" s="6"/>
      <c r="MQE23" s="6"/>
      <c r="MQF23" s="6"/>
      <c r="MQG23" s="6"/>
      <c r="MQH23" s="6"/>
      <c r="MQI23" s="6"/>
      <c r="MQJ23" s="6"/>
      <c r="MQK23" s="6"/>
      <c r="MQL23" s="6"/>
      <c r="MQM23" s="6"/>
      <c r="MQN23" s="6"/>
      <c r="MQO23" s="6"/>
      <c r="MQP23" s="6"/>
      <c r="MQQ23" s="6"/>
      <c r="MQR23" s="6"/>
      <c r="MQS23" s="6"/>
      <c r="MQT23" s="6"/>
      <c r="MQU23" s="6"/>
      <c r="MQV23" s="6"/>
      <c r="MQW23" s="6"/>
      <c r="MQX23" s="6"/>
      <c r="MQY23" s="6"/>
      <c r="MQZ23" s="6"/>
      <c r="MRA23" s="6"/>
      <c r="MRB23" s="6"/>
      <c r="MRC23" s="6"/>
      <c r="MRD23" s="6"/>
      <c r="MRE23" s="6"/>
      <c r="MRF23" s="6"/>
      <c r="MRG23" s="6"/>
      <c r="MRH23" s="6"/>
      <c r="MRI23" s="6"/>
      <c r="MRJ23" s="6"/>
      <c r="MRK23" s="6"/>
      <c r="MRL23" s="6"/>
      <c r="MRM23" s="6"/>
      <c r="MRN23" s="6"/>
      <c r="MRO23" s="6"/>
      <c r="MRP23" s="6"/>
      <c r="MRQ23" s="6"/>
      <c r="MRR23" s="6"/>
      <c r="MRS23" s="6"/>
      <c r="MRT23" s="6"/>
      <c r="MRU23" s="6"/>
      <c r="MRV23" s="6"/>
      <c r="MRW23" s="6"/>
      <c r="MRX23" s="6"/>
      <c r="MRY23" s="6"/>
      <c r="MRZ23" s="6"/>
      <c r="MSA23" s="6"/>
      <c r="MSB23" s="6"/>
      <c r="MSC23" s="6"/>
      <c r="MSD23" s="6"/>
      <c r="MSE23" s="6"/>
      <c r="MSF23" s="6"/>
      <c r="MSG23" s="6"/>
      <c r="MSH23" s="6"/>
      <c r="MSI23" s="6"/>
      <c r="MSJ23" s="6"/>
      <c r="MSK23" s="6"/>
      <c r="MSL23" s="6"/>
      <c r="MSM23" s="6"/>
      <c r="MSN23" s="6"/>
      <c r="MSO23" s="6"/>
      <c r="MSP23" s="6"/>
      <c r="MSQ23" s="6"/>
      <c r="MSR23" s="6"/>
      <c r="MSS23" s="6"/>
      <c r="MST23" s="6"/>
      <c r="MSU23" s="6"/>
      <c r="MSV23" s="6"/>
      <c r="MSW23" s="6"/>
      <c r="MSX23" s="6"/>
      <c r="MSY23" s="6"/>
      <c r="MSZ23" s="6"/>
      <c r="MTA23" s="6"/>
      <c r="MTB23" s="6"/>
      <c r="MTC23" s="6"/>
      <c r="MTD23" s="6"/>
      <c r="MTE23" s="6"/>
      <c r="MTF23" s="6"/>
      <c r="MTG23" s="6"/>
      <c r="MTH23" s="6"/>
      <c r="MTI23" s="6"/>
      <c r="MTJ23" s="6"/>
      <c r="MTK23" s="6"/>
      <c r="MTL23" s="6"/>
      <c r="MTM23" s="6"/>
      <c r="MTN23" s="6"/>
      <c r="MTO23" s="6"/>
      <c r="MTP23" s="6"/>
      <c r="MTQ23" s="6"/>
      <c r="MTR23" s="6"/>
      <c r="MTS23" s="6"/>
      <c r="MTT23" s="6"/>
      <c r="MTU23" s="6"/>
      <c r="MTV23" s="6"/>
      <c r="MTW23" s="6"/>
      <c r="MTX23" s="6"/>
      <c r="MTY23" s="6"/>
      <c r="MTZ23" s="6"/>
      <c r="MUA23" s="6"/>
      <c r="MUB23" s="6"/>
      <c r="MUC23" s="6"/>
      <c r="MUD23" s="6"/>
      <c r="MUE23" s="6"/>
      <c r="MUF23" s="6"/>
      <c r="MUG23" s="6"/>
      <c r="MUH23" s="6"/>
      <c r="MUI23" s="6"/>
      <c r="MUJ23" s="6"/>
      <c r="MUK23" s="6"/>
      <c r="MUL23" s="6"/>
      <c r="MUM23" s="6"/>
      <c r="MUN23" s="6"/>
      <c r="MUO23" s="6"/>
      <c r="MUP23" s="6"/>
      <c r="MUQ23" s="6"/>
      <c r="MUR23" s="6"/>
      <c r="MUS23" s="6"/>
      <c r="MUT23" s="6"/>
      <c r="MUU23" s="6"/>
      <c r="MUV23" s="6"/>
      <c r="MUW23" s="6"/>
      <c r="MUX23" s="6"/>
      <c r="MUY23" s="6"/>
      <c r="MUZ23" s="6"/>
      <c r="MVA23" s="6"/>
      <c r="MVB23" s="6"/>
      <c r="MVC23" s="6"/>
      <c r="MVD23" s="6"/>
      <c r="MVE23" s="6"/>
      <c r="MVF23" s="6"/>
      <c r="MVG23" s="6"/>
      <c r="MVH23" s="6"/>
      <c r="MVI23" s="6"/>
      <c r="MVJ23" s="6"/>
      <c r="MVK23" s="6"/>
      <c r="MVL23" s="6"/>
      <c r="MVM23" s="6"/>
      <c r="MVN23" s="6"/>
      <c r="MVO23" s="6"/>
      <c r="MVP23" s="6"/>
      <c r="MVQ23" s="6"/>
      <c r="MVR23" s="6"/>
      <c r="MVS23" s="6"/>
      <c r="MVT23" s="6"/>
      <c r="MVU23" s="6"/>
      <c r="MVV23" s="6"/>
      <c r="MVW23" s="6"/>
      <c r="MVX23" s="6"/>
      <c r="MVY23" s="6"/>
      <c r="MVZ23" s="6"/>
      <c r="MWA23" s="6"/>
      <c r="MWB23" s="6"/>
      <c r="MWC23" s="6"/>
      <c r="MWD23" s="6"/>
      <c r="MWE23" s="6"/>
      <c r="MWF23" s="6"/>
      <c r="MWG23" s="6"/>
      <c r="MWH23" s="6"/>
      <c r="MWI23" s="6"/>
      <c r="MWJ23" s="6"/>
      <c r="MWK23" s="6"/>
      <c r="MWL23" s="6"/>
      <c r="MWM23" s="6"/>
      <c r="MWN23" s="6"/>
      <c r="MWO23" s="6"/>
      <c r="MWP23" s="6"/>
      <c r="MWQ23" s="6"/>
      <c r="MWR23" s="6"/>
      <c r="MWS23" s="6"/>
      <c r="MWT23" s="6"/>
      <c r="MWU23" s="6"/>
      <c r="MWV23" s="6"/>
      <c r="MWW23" s="6"/>
      <c r="MWX23" s="6"/>
      <c r="MWY23" s="6"/>
      <c r="MWZ23" s="6"/>
      <c r="MXA23" s="6"/>
      <c r="MXB23" s="6"/>
      <c r="MXC23" s="6"/>
      <c r="MXD23" s="6"/>
      <c r="MXE23" s="6"/>
      <c r="MXF23" s="6"/>
      <c r="MXG23" s="6"/>
      <c r="MXH23" s="6"/>
      <c r="MXI23" s="6"/>
      <c r="MXJ23" s="6"/>
      <c r="MXK23" s="6"/>
      <c r="MXL23" s="6"/>
      <c r="MXM23" s="6"/>
      <c r="MXN23" s="6"/>
      <c r="MXO23" s="6"/>
      <c r="MXP23" s="6"/>
      <c r="MXQ23" s="6"/>
      <c r="MXR23" s="6"/>
      <c r="MXS23" s="6"/>
      <c r="MXT23" s="6"/>
      <c r="MXU23" s="6"/>
      <c r="MXV23" s="6"/>
      <c r="MXW23" s="6"/>
      <c r="MXX23" s="6"/>
      <c r="MXY23" s="6"/>
      <c r="MXZ23" s="6"/>
      <c r="MYA23" s="6"/>
      <c r="MYB23" s="6"/>
      <c r="MYC23" s="6"/>
      <c r="MYD23" s="6"/>
      <c r="MYE23" s="6"/>
      <c r="MYF23" s="6"/>
      <c r="MYG23" s="6"/>
      <c r="MYH23" s="6"/>
      <c r="MYI23" s="6"/>
      <c r="MYJ23" s="6"/>
      <c r="MYK23" s="6"/>
      <c r="MYL23" s="6"/>
      <c r="MYM23" s="6"/>
      <c r="MYN23" s="6"/>
      <c r="MYO23" s="6"/>
      <c r="MYP23" s="6"/>
      <c r="MYQ23" s="6"/>
      <c r="MYR23" s="6"/>
      <c r="MYS23" s="6"/>
      <c r="MYT23" s="6"/>
      <c r="MYU23" s="6"/>
      <c r="MYV23" s="6"/>
      <c r="MYW23" s="6"/>
      <c r="MYX23" s="6"/>
      <c r="MYY23" s="6"/>
      <c r="MYZ23" s="6"/>
      <c r="MZA23" s="6"/>
      <c r="MZB23" s="6"/>
      <c r="MZC23" s="6"/>
      <c r="MZD23" s="6"/>
      <c r="MZE23" s="6"/>
      <c r="MZF23" s="6"/>
      <c r="MZG23" s="6"/>
      <c r="MZH23" s="6"/>
      <c r="MZI23" s="6"/>
      <c r="MZJ23" s="6"/>
      <c r="MZK23" s="6"/>
      <c r="MZL23" s="6"/>
      <c r="MZM23" s="6"/>
      <c r="MZN23" s="6"/>
      <c r="MZO23" s="6"/>
      <c r="MZP23" s="6"/>
      <c r="MZQ23" s="6"/>
      <c r="MZR23" s="6"/>
      <c r="MZS23" s="6"/>
      <c r="MZT23" s="6"/>
      <c r="MZU23" s="6"/>
      <c r="MZV23" s="6"/>
      <c r="MZW23" s="6"/>
      <c r="MZX23" s="6"/>
      <c r="MZY23" s="6"/>
      <c r="MZZ23" s="6"/>
      <c r="NAA23" s="6"/>
      <c r="NAB23" s="6"/>
      <c r="NAC23" s="6"/>
      <c r="NAD23" s="6"/>
      <c r="NAE23" s="6"/>
      <c r="NAF23" s="6"/>
      <c r="NAG23" s="6"/>
      <c r="NAH23" s="6"/>
      <c r="NAI23" s="6"/>
      <c r="NAJ23" s="6"/>
      <c r="NAK23" s="6"/>
      <c r="NAL23" s="6"/>
      <c r="NAM23" s="6"/>
      <c r="NAN23" s="6"/>
      <c r="NAO23" s="6"/>
      <c r="NAP23" s="6"/>
      <c r="NAQ23" s="6"/>
      <c r="NAR23" s="6"/>
      <c r="NAS23" s="6"/>
      <c r="NAT23" s="6"/>
      <c r="NAU23" s="6"/>
      <c r="NAV23" s="6"/>
      <c r="NAW23" s="6"/>
      <c r="NAX23" s="6"/>
      <c r="NAY23" s="6"/>
      <c r="NAZ23" s="6"/>
      <c r="NBA23" s="6"/>
      <c r="NBB23" s="6"/>
      <c r="NBC23" s="6"/>
      <c r="NBD23" s="6"/>
      <c r="NBE23" s="6"/>
      <c r="NBF23" s="6"/>
      <c r="NBG23" s="6"/>
      <c r="NBH23" s="6"/>
      <c r="NBI23" s="6"/>
      <c r="NBJ23" s="6"/>
      <c r="NBK23" s="6"/>
      <c r="NBL23" s="6"/>
      <c r="NBM23" s="6"/>
      <c r="NBN23" s="6"/>
      <c r="NBO23" s="6"/>
      <c r="NBP23" s="6"/>
      <c r="NBQ23" s="6"/>
      <c r="NBR23" s="6"/>
      <c r="NBS23" s="6"/>
      <c r="NBT23" s="6"/>
      <c r="NBU23" s="6"/>
      <c r="NBV23" s="6"/>
      <c r="NBW23" s="6"/>
      <c r="NBX23" s="6"/>
      <c r="NBY23" s="6"/>
      <c r="NBZ23" s="6"/>
      <c r="NCA23" s="6"/>
      <c r="NCB23" s="6"/>
      <c r="NCC23" s="6"/>
      <c r="NCD23" s="6"/>
      <c r="NCE23" s="6"/>
      <c r="NCF23" s="6"/>
      <c r="NCG23" s="6"/>
      <c r="NCH23" s="6"/>
      <c r="NCI23" s="6"/>
      <c r="NCJ23" s="6"/>
      <c r="NCK23" s="6"/>
      <c r="NCL23" s="6"/>
      <c r="NCM23" s="6"/>
      <c r="NCN23" s="6"/>
      <c r="NCO23" s="6"/>
      <c r="NCP23" s="6"/>
      <c r="NCQ23" s="6"/>
      <c r="NCR23" s="6"/>
      <c r="NCS23" s="6"/>
      <c r="NCT23" s="6"/>
      <c r="NCU23" s="6"/>
      <c r="NCV23" s="6"/>
      <c r="NCW23" s="6"/>
      <c r="NCX23" s="6"/>
      <c r="NCY23" s="6"/>
      <c r="NCZ23" s="6"/>
      <c r="NDA23" s="6"/>
      <c r="NDB23" s="6"/>
      <c r="NDC23" s="6"/>
      <c r="NDD23" s="6"/>
      <c r="NDE23" s="6"/>
      <c r="NDF23" s="6"/>
      <c r="NDG23" s="6"/>
      <c r="NDH23" s="6"/>
      <c r="NDI23" s="6"/>
      <c r="NDJ23" s="6"/>
      <c r="NDK23" s="6"/>
      <c r="NDL23" s="6"/>
      <c r="NDM23" s="6"/>
      <c r="NDN23" s="6"/>
      <c r="NDO23" s="6"/>
      <c r="NDP23" s="6"/>
      <c r="NDQ23" s="6"/>
      <c r="NDR23" s="6"/>
      <c r="NDS23" s="6"/>
      <c r="NDT23" s="6"/>
      <c r="NDU23" s="6"/>
      <c r="NDV23" s="6"/>
      <c r="NDW23" s="6"/>
      <c r="NDX23" s="6"/>
      <c r="NDY23" s="6"/>
      <c r="NDZ23" s="6"/>
      <c r="NEA23" s="6"/>
      <c r="NEB23" s="6"/>
      <c r="NEC23" s="6"/>
      <c r="NED23" s="6"/>
      <c r="NEE23" s="6"/>
      <c r="NEF23" s="6"/>
      <c r="NEG23" s="6"/>
      <c r="NEH23" s="6"/>
      <c r="NEI23" s="6"/>
      <c r="NEJ23" s="6"/>
      <c r="NEK23" s="6"/>
      <c r="NEL23" s="6"/>
      <c r="NEM23" s="6"/>
      <c r="NEN23" s="6"/>
      <c r="NEO23" s="6"/>
      <c r="NEP23" s="6"/>
      <c r="NEQ23" s="6"/>
      <c r="NER23" s="6"/>
      <c r="NES23" s="6"/>
      <c r="NET23" s="6"/>
      <c r="NEU23" s="6"/>
      <c r="NEV23" s="6"/>
      <c r="NEW23" s="6"/>
      <c r="NEX23" s="6"/>
      <c r="NEY23" s="6"/>
      <c r="NEZ23" s="6"/>
      <c r="NFA23" s="6"/>
      <c r="NFB23" s="6"/>
      <c r="NFC23" s="6"/>
      <c r="NFD23" s="6"/>
      <c r="NFE23" s="6"/>
      <c r="NFF23" s="6"/>
      <c r="NFG23" s="6"/>
      <c r="NFH23" s="6"/>
      <c r="NFI23" s="6"/>
      <c r="NFJ23" s="6"/>
      <c r="NFK23" s="6"/>
      <c r="NFL23" s="6"/>
      <c r="NFM23" s="6"/>
      <c r="NFN23" s="6"/>
      <c r="NFO23" s="6"/>
      <c r="NFP23" s="6"/>
      <c r="NFQ23" s="6"/>
      <c r="NFR23" s="6"/>
      <c r="NFS23" s="6"/>
      <c r="NFT23" s="6"/>
      <c r="NFU23" s="6"/>
      <c r="NFV23" s="6"/>
      <c r="NFW23" s="6"/>
      <c r="NFX23" s="6"/>
      <c r="NFY23" s="6"/>
      <c r="NFZ23" s="6"/>
      <c r="NGA23" s="6"/>
      <c r="NGB23" s="6"/>
      <c r="NGC23" s="6"/>
      <c r="NGD23" s="6"/>
      <c r="NGE23" s="6"/>
      <c r="NGF23" s="6"/>
      <c r="NGG23" s="6"/>
      <c r="NGH23" s="6"/>
      <c r="NGI23" s="6"/>
      <c r="NGJ23" s="6"/>
      <c r="NGK23" s="6"/>
      <c r="NGL23" s="6"/>
      <c r="NGM23" s="6"/>
      <c r="NGN23" s="6"/>
      <c r="NGO23" s="6"/>
      <c r="NGP23" s="6"/>
      <c r="NGQ23" s="6"/>
      <c r="NGR23" s="6"/>
      <c r="NGS23" s="6"/>
      <c r="NGT23" s="6"/>
      <c r="NGU23" s="6"/>
      <c r="NGV23" s="6"/>
      <c r="NGW23" s="6"/>
      <c r="NGX23" s="6"/>
      <c r="NGY23" s="6"/>
      <c r="NGZ23" s="6"/>
      <c r="NHA23" s="6"/>
      <c r="NHB23" s="6"/>
      <c r="NHC23" s="6"/>
      <c r="NHD23" s="6"/>
      <c r="NHE23" s="6"/>
      <c r="NHF23" s="6"/>
      <c r="NHG23" s="6"/>
      <c r="NHH23" s="6"/>
      <c r="NHI23" s="6"/>
      <c r="NHJ23" s="6"/>
      <c r="NHK23" s="6"/>
      <c r="NHL23" s="6"/>
      <c r="NHM23" s="6"/>
      <c r="NHN23" s="6"/>
      <c r="NHO23" s="6"/>
      <c r="NHP23" s="6"/>
      <c r="NHQ23" s="6"/>
      <c r="NHR23" s="6"/>
      <c r="NHS23" s="6"/>
      <c r="NHT23" s="6"/>
      <c r="NHU23" s="6"/>
      <c r="NHV23" s="6"/>
      <c r="NHW23" s="6"/>
      <c r="NHX23" s="6"/>
      <c r="NHY23" s="6"/>
      <c r="NHZ23" s="6"/>
      <c r="NIA23" s="6"/>
      <c r="NIB23" s="6"/>
      <c r="NIC23" s="6"/>
      <c r="NID23" s="6"/>
      <c r="NIE23" s="6"/>
      <c r="NIF23" s="6"/>
      <c r="NIG23" s="6"/>
      <c r="NIH23" s="6"/>
      <c r="NII23" s="6"/>
      <c r="NIJ23" s="6"/>
      <c r="NIK23" s="6"/>
      <c r="NIL23" s="6"/>
      <c r="NIM23" s="6"/>
      <c r="NIN23" s="6"/>
      <c r="NIO23" s="6"/>
      <c r="NIP23" s="6"/>
      <c r="NIQ23" s="6"/>
      <c r="NIR23" s="6"/>
      <c r="NIS23" s="6"/>
      <c r="NIT23" s="6"/>
      <c r="NIU23" s="6"/>
      <c r="NIV23" s="6"/>
      <c r="NIW23" s="6"/>
      <c r="NIX23" s="6"/>
      <c r="NIY23" s="6"/>
      <c r="NIZ23" s="6"/>
      <c r="NJA23" s="6"/>
      <c r="NJB23" s="6"/>
      <c r="NJC23" s="6"/>
      <c r="NJD23" s="6"/>
      <c r="NJE23" s="6"/>
      <c r="NJF23" s="6"/>
      <c r="NJG23" s="6"/>
      <c r="NJH23" s="6"/>
      <c r="NJI23" s="6"/>
      <c r="NJJ23" s="6"/>
      <c r="NJK23" s="6"/>
      <c r="NJL23" s="6"/>
      <c r="NJM23" s="6"/>
      <c r="NJN23" s="6"/>
      <c r="NJO23" s="6"/>
      <c r="NJP23" s="6"/>
      <c r="NJQ23" s="6"/>
      <c r="NJR23" s="6"/>
      <c r="NJS23" s="6"/>
      <c r="NJT23" s="6"/>
      <c r="NJU23" s="6"/>
      <c r="NJV23" s="6"/>
      <c r="NJW23" s="6"/>
      <c r="NJX23" s="6"/>
      <c r="NJY23" s="6"/>
      <c r="NJZ23" s="6"/>
      <c r="NKA23" s="6"/>
      <c r="NKB23" s="6"/>
      <c r="NKC23" s="6"/>
      <c r="NKD23" s="6"/>
      <c r="NKE23" s="6"/>
      <c r="NKF23" s="6"/>
      <c r="NKG23" s="6"/>
      <c r="NKH23" s="6"/>
      <c r="NKI23" s="6"/>
      <c r="NKJ23" s="6"/>
      <c r="NKK23" s="6"/>
      <c r="NKL23" s="6"/>
      <c r="NKM23" s="6"/>
      <c r="NKN23" s="6"/>
      <c r="NKO23" s="6"/>
      <c r="NKP23" s="6"/>
      <c r="NKQ23" s="6"/>
      <c r="NKR23" s="6"/>
      <c r="NKS23" s="6"/>
      <c r="NKT23" s="6"/>
      <c r="NKU23" s="6"/>
      <c r="NKV23" s="6"/>
      <c r="NKW23" s="6"/>
      <c r="NKX23" s="6"/>
      <c r="NKY23" s="6"/>
      <c r="NKZ23" s="6"/>
      <c r="NLA23" s="6"/>
      <c r="NLB23" s="6"/>
      <c r="NLC23" s="6"/>
      <c r="NLD23" s="6"/>
      <c r="NLE23" s="6"/>
      <c r="NLF23" s="6"/>
      <c r="NLG23" s="6"/>
      <c r="NLH23" s="6"/>
      <c r="NLI23" s="6"/>
      <c r="NLJ23" s="6"/>
      <c r="NLK23" s="6"/>
      <c r="NLL23" s="6"/>
      <c r="NLM23" s="6"/>
      <c r="NLN23" s="6"/>
      <c r="NLO23" s="6"/>
      <c r="NLP23" s="6"/>
      <c r="NLQ23" s="6"/>
      <c r="NLR23" s="6"/>
      <c r="NLS23" s="6"/>
      <c r="NLT23" s="6"/>
      <c r="NLU23" s="6"/>
      <c r="NLV23" s="6"/>
      <c r="NLW23" s="6"/>
      <c r="NLX23" s="6"/>
      <c r="NLY23" s="6"/>
      <c r="NLZ23" s="6"/>
      <c r="NMA23" s="6"/>
      <c r="NMB23" s="6"/>
      <c r="NMC23" s="6"/>
      <c r="NMD23" s="6"/>
      <c r="NME23" s="6"/>
      <c r="NMF23" s="6"/>
      <c r="NMG23" s="6"/>
      <c r="NMH23" s="6"/>
      <c r="NMI23" s="6"/>
      <c r="NMJ23" s="6"/>
      <c r="NMK23" s="6"/>
      <c r="NML23" s="6"/>
      <c r="NMM23" s="6"/>
      <c r="NMN23" s="6"/>
      <c r="NMO23" s="6"/>
      <c r="NMP23" s="6"/>
      <c r="NMQ23" s="6"/>
      <c r="NMR23" s="6"/>
      <c r="NMS23" s="6"/>
      <c r="NMT23" s="6"/>
      <c r="NMU23" s="6"/>
      <c r="NMV23" s="6"/>
      <c r="NMW23" s="6"/>
      <c r="NMX23" s="6"/>
      <c r="NMY23" s="6"/>
      <c r="NMZ23" s="6"/>
      <c r="NNA23" s="6"/>
      <c r="NNB23" s="6"/>
      <c r="NNC23" s="6"/>
      <c r="NND23" s="6"/>
      <c r="NNE23" s="6"/>
      <c r="NNF23" s="6"/>
      <c r="NNG23" s="6"/>
      <c r="NNH23" s="6"/>
      <c r="NNI23" s="6"/>
      <c r="NNJ23" s="6"/>
      <c r="NNK23" s="6"/>
      <c r="NNL23" s="6"/>
      <c r="NNM23" s="6"/>
      <c r="NNN23" s="6"/>
      <c r="NNO23" s="6"/>
      <c r="NNP23" s="6"/>
      <c r="NNQ23" s="6"/>
      <c r="NNR23" s="6"/>
      <c r="NNS23" s="6"/>
      <c r="NNT23" s="6"/>
      <c r="NNU23" s="6"/>
      <c r="NNV23" s="6"/>
      <c r="NNW23" s="6"/>
      <c r="NNX23" s="6"/>
      <c r="NNY23" s="6"/>
      <c r="NNZ23" s="6"/>
      <c r="NOA23" s="6"/>
      <c r="NOB23" s="6"/>
      <c r="NOC23" s="6"/>
      <c r="NOD23" s="6"/>
      <c r="NOE23" s="6"/>
      <c r="NOF23" s="6"/>
      <c r="NOG23" s="6"/>
      <c r="NOH23" s="6"/>
      <c r="NOI23" s="6"/>
      <c r="NOJ23" s="6"/>
      <c r="NOK23" s="6"/>
      <c r="NOL23" s="6"/>
      <c r="NOM23" s="6"/>
      <c r="NON23" s="6"/>
      <c r="NOO23" s="6"/>
      <c r="NOP23" s="6"/>
      <c r="NOQ23" s="6"/>
      <c r="NOR23" s="6"/>
      <c r="NOS23" s="6"/>
      <c r="NOT23" s="6"/>
      <c r="NOU23" s="6"/>
      <c r="NOV23" s="6"/>
      <c r="NOW23" s="6"/>
      <c r="NOX23" s="6"/>
      <c r="NOY23" s="6"/>
      <c r="NOZ23" s="6"/>
      <c r="NPA23" s="6"/>
      <c r="NPB23" s="6"/>
      <c r="NPC23" s="6"/>
      <c r="NPD23" s="6"/>
      <c r="NPE23" s="6"/>
      <c r="NPF23" s="6"/>
      <c r="NPG23" s="6"/>
      <c r="NPH23" s="6"/>
      <c r="NPI23" s="6"/>
      <c r="NPJ23" s="6"/>
      <c r="NPK23" s="6"/>
      <c r="NPL23" s="6"/>
      <c r="NPM23" s="6"/>
      <c r="NPN23" s="6"/>
      <c r="NPO23" s="6"/>
      <c r="NPP23" s="6"/>
      <c r="NPQ23" s="6"/>
      <c r="NPR23" s="6"/>
      <c r="NPS23" s="6"/>
      <c r="NPT23" s="6"/>
      <c r="NPU23" s="6"/>
      <c r="NPV23" s="6"/>
      <c r="NPW23" s="6"/>
      <c r="NPX23" s="6"/>
      <c r="NPY23" s="6"/>
      <c r="NPZ23" s="6"/>
      <c r="NQA23" s="6"/>
      <c r="NQB23" s="6"/>
      <c r="NQC23" s="6"/>
      <c r="NQD23" s="6"/>
      <c r="NQE23" s="6"/>
      <c r="NQF23" s="6"/>
      <c r="NQG23" s="6"/>
      <c r="NQH23" s="6"/>
      <c r="NQI23" s="6"/>
      <c r="NQJ23" s="6"/>
      <c r="NQK23" s="6"/>
      <c r="NQL23" s="6"/>
      <c r="NQM23" s="6"/>
      <c r="NQN23" s="6"/>
      <c r="NQO23" s="6"/>
      <c r="NQP23" s="6"/>
      <c r="NQQ23" s="6"/>
      <c r="NQR23" s="6"/>
      <c r="NQS23" s="6"/>
      <c r="NQT23" s="6"/>
      <c r="NQU23" s="6"/>
      <c r="NQV23" s="6"/>
      <c r="NQW23" s="6"/>
      <c r="NQX23" s="6"/>
      <c r="NQY23" s="6"/>
      <c r="NQZ23" s="6"/>
      <c r="NRA23" s="6"/>
      <c r="NRB23" s="6"/>
      <c r="NRC23" s="6"/>
      <c r="NRD23" s="6"/>
      <c r="NRE23" s="6"/>
      <c r="NRF23" s="6"/>
      <c r="NRG23" s="6"/>
      <c r="NRH23" s="6"/>
      <c r="NRI23" s="6"/>
      <c r="NRJ23" s="6"/>
      <c r="NRK23" s="6"/>
      <c r="NRL23" s="6"/>
      <c r="NRM23" s="6"/>
      <c r="NRN23" s="6"/>
      <c r="NRO23" s="6"/>
      <c r="NRP23" s="6"/>
      <c r="NRQ23" s="6"/>
      <c r="NRR23" s="6"/>
      <c r="NRS23" s="6"/>
      <c r="NRT23" s="6"/>
      <c r="NRU23" s="6"/>
      <c r="NRV23" s="6"/>
      <c r="NRW23" s="6"/>
      <c r="NRX23" s="6"/>
      <c r="NRY23" s="6"/>
      <c r="NRZ23" s="6"/>
      <c r="NSA23" s="6"/>
      <c r="NSB23" s="6"/>
      <c r="NSC23" s="6"/>
      <c r="NSD23" s="6"/>
      <c r="NSE23" s="6"/>
      <c r="NSF23" s="6"/>
      <c r="NSG23" s="6"/>
      <c r="NSH23" s="6"/>
      <c r="NSI23" s="6"/>
      <c r="NSJ23" s="6"/>
      <c r="NSK23" s="6"/>
      <c r="NSL23" s="6"/>
      <c r="NSM23" s="6"/>
      <c r="NSN23" s="6"/>
      <c r="NSO23" s="6"/>
      <c r="NSP23" s="6"/>
      <c r="NSQ23" s="6"/>
      <c r="NSR23" s="6"/>
      <c r="NSS23" s="6"/>
      <c r="NST23" s="6"/>
      <c r="NSU23" s="6"/>
      <c r="NSV23" s="6"/>
      <c r="NSW23" s="6"/>
      <c r="NSX23" s="6"/>
      <c r="NSY23" s="6"/>
      <c r="NSZ23" s="6"/>
      <c r="NTA23" s="6"/>
      <c r="NTB23" s="6"/>
      <c r="NTC23" s="6"/>
      <c r="NTD23" s="6"/>
      <c r="NTE23" s="6"/>
      <c r="NTF23" s="6"/>
      <c r="NTG23" s="6"/>
      <c r="NTH23" s="6"/>
      <c r="NTI23" s="6"/>
      <c r="NTJ23" s="6"/>
      <c r="NTK23" s="6"/>
      <c r="NTL23" s="6"/>
      <c r="NTM23" s="6"/>
      <c r="NTN23" s="6"/>
      <c r="NTO23" s="6"/>
      <c r="NTP23" s="6"/>
      <c r="NTQ23" s="6"/>
      <c r="NTR23" s="6"/>
      <c r="NTS23" s="6"/>
      <c r="NTT23" s="6"/>
      <c r="NTU23" s="6"/>
      <c r="NTV23" s="6"/>
      <c r="NTW23" s="6"/>
      <c r="NTX23" s="6"/>
      <c r="NTY23" s="6"/>
      <c r="NTZ23" s="6"/>
      <c r="NUA23" s="6"/>
      <c r="NUB23" s="6"/>
      <c r="NUC23" s="6"/>
      <c r="NUD23" s="6"/>
      <c r="NUE23" s="6"/>
      <c r="NUF23" s="6"/>
      <c r="NUG23" s="6"/>
      <c r="NUH23" s="6"/>
      <c r="NUI23" s="6"/>
      <c r="NUJ23" s="6"/>
      <c r="NUK23" s="6"/>
      <c r="NUL23" s="6"/>
      <c r="NUM23" s="6"/>
      <c r="NUN23" s="6"/>
      <c r="NUO23" s="6"/>
      <c r="NUP23" s="6"/>
      <c r="NUQ23" s="6"/>
      <c r="NUR23" s="6"/>
      <c r="NUS23" s="6"/>
      <c r="NUT23" s="6"/>
      <c r="NUU23" s="6"/>
      <c r="NUV23" s="6"/>
      <c r="NUW23" s="6"/>
      <c r="NUX23" s="6"/>
      <c r="NUY23" s="6"/>
      <c r="NUZ23" s="6"/>
      <c r="NVA23" s="6"/>
      <c r="NVB23" s="6"/>
      <c r="NVC23" s="6"/>
      <c r="NVD23" s="6"/>
      <c r="NVE23" s="6"/>
      <c r="NVF23" s="6"/>
      <c r="NVG23" s="6"/>
      <c r="NVH23" s="6"/>
      <c r="NVI23" s="6"/>
      <c r="NVJ23" s="6"/>
      <c r="NVK23" s="6"/>
      <c r="NVL23" s="6"/>
      <c r="NVM23" s="6"/>
      <c r="NVN23" s="6"/>
      <c r="NVO23" s="6"/>
      <c r="NVP23" s="6"/>
      <c r="NVQ23" s="6"/>
      <c r="NVR23" s="6"/>
      <c r="NVS23" s="6"/>
      <c r="NVT23" s="6"/>
      <c r="NVU23" s="6"/>
      <c r="NVV23" s="6"/>
      <c r="NVW23" s="6"/>
      <c r="NVX23" s="6"/>
      <c r="NVY23" s="6"/>
      <c r="NVZ23" s="6"/>
      <c r="NWA23" s="6"/>
      <c r="NWB23" s="6"/>
      <c r="NWC23" s="6"/>
      <c r="NWD23" s="6"/>
      <c r="NWE23" s="6"/>
      <c r="NWF23" s="6"/>
      <c r="NWG23" s="6"/>
      <c r="NWH23" s="6"/>
      <c r="NWI23" s="6"/>
      <c r="NWJ23" s="6"/>
      <c r="NWK23" s="6"/>
      <c r="NWL23" s="6"/>
      <c r="NWM23" s="6"/>
      <c r="NWN23" s="6"/>
      <c r="NWO23" s="6"/>
      <c r="NWP23" s="6"/>
      <c r="NWQ23" s="6"/>
      <c r="NWR23" s="6"/>
      <c r="NWS23" s="6"/>
      <c r="NWT23" s="6"/>
      <c r="NWU23" s="6"/>
      <c r="NWV23" s="6"/>
      <c r="NWW23" s="6"/>
      <c r="NWX23" s="6"/>
      <c r="NWY23" s="6"/>
      <c r="NWZ23" s="6"/>
      <c r="NXA23" s="6"/>
      <c r="NXB23" s="6"/>
      <c r="NXC23" s="6"/>
      <c r="NXD23" s="6"/>
      <c r="NXE23" s="6"/>
      <c r="NXF23" s="6"/>
      <c r="NXG23" s="6"/>
      <c r="NXH23" s="6"/>
      <c r="NXI23" s="6"/>
      <c r="NXJ23" s="6"/>
      <c r="NXK23" s="6"/>
      <c r="NXL23" s="6"/>
      <c r="NXM23" s="6"/>
      <c r="NXN23" s="6"/>
      <c r="NXO23" s="6"/>
      <c r="NXP23" s="6"/>
      <c r="NXQ23" s="6"/>
      <c r="NXR23" s="6"/>
      <c r="NXS23" s="6"/>
      <c r="NXT23" s="6"/>
      <c r="NXU23" s="6"/>
      <c r="NXV23" s="6"/>
      <c r="NXW23" s="6"/>
      <c r="NXX23" s="6"/>
      <c r="NXY23" s="6"/>
      <c r="NXZ23" s="6"/>
      <c r="NYA23" s="6"/>
      <c r="NYB23" s="6"/>
      <c r="NYC23" s="6"/>
      <c r="NYD23" s="6"/>
      <c r="NYE23" s="6"/>
      <c r="NYF23" s="6"/>
      <c r="NYG23" s="6"/>
      <c r="NYH23" s="6"/>
      <c r="NYI23" s="6"/>
      <c r="NYJ23" s="6"/>
      <c r="NYK23" s="6"/>
      <c r="NYL23" s="6"/>
      <c r="NYM23" s="6"/>
      <c r="NYN23" s="6"/>
      <c r="NYO23" s="6"/>
      <c r="NYP23" s="6"/>
      <c r="NYQ23" s="6"/>
      <c r="NYR23" s="6"/>
      <c r="NYS23" s="6"/>
      <c r="NYT23" s="6"/>
      <c r="NYU23" s="6"/>
      <c r="NYV23" s="6"/>
      <c r="NYW23" s="6"/>
      <c r="NYX23" s="6"/>
      <c r="NYY23" s="6"/>
      <c r="NYZ23" s="6"/>
      <c r="NZA23" s="6"/>
      <c r="NZB23" s="6"/>
      <c r="NZC23" s="6"/>
      <c r="NZD23" s="6"/>
      <c r="NZE23" s="6"/>
      <c r="NZF23" s="6"/>
      <c r="NZG23" s="6"/>
      <c r="NZH23" s="6"/>
      <c r="NZI23" s="6"/>
      <c r="NZJ23" s="6"/>
      <c r="NZK23" s="6"/>
      <c r="NZL23" s="6"/>
      <c r="NZM23" s="6"/>
      <c r="NZN23" s="6"/>
      <c r="NZO23" s="6"/>
      <c r="NZP23" s="6"/>
      <c r="NZQ23" s="6"/>
      <c r="NZR23" s="6"/>
      <c r="NZS23" s="6"/>
      <c r="NZT23" s="6"/>
      <c r="NZU23" s="6"/>
      <c r="NZV23" s="6"/>
      <c r="NZW23" s="6"/>
      <c r="NZX23" s="6"/>
      <c r="NZY23" s="6"/>
      <c r="NZZ23" s="6"/>
      <c r="OAA23" s="6"/>
      <c r="OAB23" s="6"/>
      <c r="OAC23" s="6"/>
      <c r="OAD23" s="6"/>
      <c r="OAE23" s="6"/>
      <c r="OAF23" s="6"/>
      <c r="OAG23" s="6"/>
      <c r="OAH23" s="6"/>
      <c r="OAI23" s="6"/>
      <c r="OAJ23" s="6"/>
      <c r="OAK23" s="6"/>
      <c r="OAL23" s="6"/>
      <c r="OAM23" s="6"/>
      <c r="OAN23" s="6"/>
      <c r="OAO23" s="6"/>
      <c r="OAP23" s="6"/>
      <c r="OAQ23" s="6"/>
      <c r="OAR23" s="6"/>
      <c r="OAS23" s="6"/>
      <c r="OAT23" s="6"/>
      <c r="OAU23" s="6"/>
      <c r="OAV23" s="6"/>
      <c r="OAW23" s="6"/>
      <c r="OAX23" s="6"/>
      <c r="OAY23" s="6"/>
      <c r="OAZ23" s="6"/>
      <c r="OBA23" s="6"/>
      <c r="OBB23" s="6"/>
      <c r="OBC23" s="6"/>
      <c r="OBD23" s="6"/>
      <c r="OBE23" s="6"/>
      <c r="OBF23" s="6"/>
      <c r="OBG23" s="6"/>
      <c r="OBH23" s="6"/>
      <c r="OBI23" s="6"/>
      <c r="OBJ23" s="6"/>
      <c r="OBK23" s="6"/>
      <c r="OBL23" s="6"/>
      <c r="OBM23" s="6"/>
      <c r="OBN23" s="6"/>
      <c r="OBO23" s="6"/>
      <c r="OBP23" s="6"/>
      <c r="OBQ23" s="6"/>
      <c r="OBR23" s="6"/>
      <c r="OBS23" s="6"/>
      <c r="OBT23" s="6"/>
      <c r="OBU23" s="6"/>
      <c r="OBV23" s="6"/>
      <c r="OBW23" s="6"/>
      <c r="OBX23" s="6"/>
      <c r="OBY23" s="6"/>
      <c r="OBZ23" s="6"/>
      <c r="OCA23" s="6"/>
      <c r="OCB23" s="6"/>
      <c r="OCC23" s="6"/>
      <c r="OCD23" s="6"/>
      <c r="OCE23" s="6"/>
      <c r="OCF23" s="6"/>
      <c r="OCG23" s="6"/>
      <c r="OCH23" s="6"/>
      <c r="OCI23" s="6"/>
      <c r="OCJ23" s="6"/>
      <c r="OCK23" s="6"/>
      <c r="OCL23" s="6"/>
      <c r="OCM23" s="6"/>
      <c r="OCN23" s="6"/>
      <c r="OCO23" s="6"/>
      <c r="OCP23" s="6"/>
      <c r="OCQ23" s="6"/>
      <c r="OCR23" s="6"/>
      <c r="OCS23" s="6"/>
      <c r="OCT23" s="6"/>
      <c r="OCU23" s="6"/>
      <c r="OCV23" s="6"/>
      <c r="OCW23" s="6"/>
      <c r="OCX23" s="6"/>
      <c r="OCY23" s="6"/>
      <c r="OCZ23" s="6"/>
      <c r="ODA23" s="6"/>
      <c r="ODB23" s="6"/>
      <c r="ODC23" s="6"/>
      <c r="ODD23" s="6"/>
      <c r="ODE23" s="6"/>
      <c r="ODF23" s="6"/>
      <c r="ODG23" s="6"/>
      <c r="ODH23" s="6"/>
      <c r="ODI23" s="6"/>
      <c r="ODJ23" s="6"/>
      <c r="ODK23" s="6"/>
      <c r="ODL23" s="6"/>
      <c r="ODM23" s="6"/>
      <c r="ODN23" s="6"/>
      <c r="ODO23" s="6"/>
      <c r="ODP23" s="6"/>
      <c r="ODQ23" s="6"/>
      <c r="ODR23" s="6"/>
      <c r="ODS23" s="6"/>
      <c r="ODT23" s="6"/>
      <c r="ODU23" s="6"/>
      <c r="ODV23" s="6"/>
      <c r="ODW23" s="6"/>
      <c r="ODX23" s="6"/>
      <c r="ODY23" s="6"/>
      <c r="ODZ23" s="6"/>
      <c r="OEA23" s="6"/>
      <c r="OEB23" s="6"/>
      <c r="OEC23" s="6"/>
      <c r="OED23" s="6"/>
      <c r="OEE23" s="6"/>
      <c r="OEF23" s="6"/>
      <c r="OEG23" s="6"/>
      <c r="OEH23" s="6"/>
      <c r="OEI23" s="6"/>
      <c r="OEJ23" s="6"/>
      <c r="OEK23" s="6"/>
      <c r="OEL23" s="6"/>
      <c r="OEM23" s="6"/>
      <c r="OEN23" s="6"/>
      <c r="OEO23" s="6"/>
      <c r="OEP23" s="6"/>
      <c r="OEQ23" s="6"/>
      <c r="OER23" s="6"/>
      <c r="OES23" s="6"/>
      <c r="OET23" s="6"/>
      <c r="OEU23" s="6"/>
      <c r="OEV23" s="6"/>
      <c r="OEW23" s="6"/>
      <c r="OEX23" s="6"/>
      <c r="OEY23" s="6"/>
      <c r="OEZ23" s="6"/>
      <c r="OFA23" s="6"/>
      <c r="OFB23" s="6"/>
      <c r="OFC23" s="6"/>
      <c r="OFD23" s="6"/>
      <c r="OFE23" s="6"/>
      <c r="OFF23" s="6"/>
      <c r="OFG23" s="6"/>
      <c r="OFH23" s="6"/>
      <c r="OFI23" s="6"/>
      <c r="OFJ23" s="6"/>
      <c r="OFK23" s="6"/>
      <c r="OFL23" s="6"/>
      <c r="OFM23" s="6"/>
      <c r="OFN23" s="6"/>
      <c r="OFO23" s="6"/>
      <c r="OFP23" s="6"/>
      <c r="OFQ23" s="6"/>
      <c r="OFR23" s="6"/>
      <c r="OFS23" s="6"/>
      <c r="OFT23" s="6"/>
      <c r="OFU23" s="6"/>
      <c r="OFV23" s="6"/>
      <c r="OFW23" s="6"/>
      <c r="OFX23" s="6"/>
      <c r="OFY23" s="6"/>
      <c r="OFZ23" s="6"/>
      <c r="OGA23" s="6"/>
      <c r="OGB23" s="6"/>
      <c r="OGC23" s="6"/>
      <c r="OGD23" s="6"/>
      <c r="OGE23" s="6"/>
      <c r="OGF23" s="6"/>
      <c r="OGG23" s="6"/>
      <c r="OGH23" s="6"/>
      <c r="OGI23" s="6"/>
      <c r="OGJ23" s="6"/>
      <c r="OGK23" s="6"/>
      <c r="OGL23" s="6"/>
      <c r="OGM23" s="6"/>
      <c r="OGN23" s="6"/>
      <c r="OGO23" s="6"/>
      <c r="OGP23" s="6"/>
      <c r="OGQ23" s="6"/>
      <c r="OGR23" s="6"/>
      <c r="OGS23" s="6"/>
      <c r="OGT23" s="6"/>
      <c r="OGU23" s="6"/>
      <c r="OGV23" s="6"/>
      <c r="OGW23" s="6"/>
      <c r="OGX23" s="6"/>
      <c r="OGY23" s="6"/>
      <c r="OGZ23" s="6"/>
      <c r="OHA23" s="6"/>
      <c r="OHB23" s="6"/>
      <c r="OHC23" s="6"/>
      <c r="OHD23" s="6"/>
      <c r="OHE23" s="6"/>
      <c r="OHF23" s="6"/>
      <c r="OHG23" s="6"/>
      <c r="OHH23" s="6"/>
      <c r="OHI23" s="6"/>
      <c r="OHJ23" s="6"/>
      <c r="OHK23" s="6"/>
      <c r="OHL23" s="6"/>
      <c r="OHM23" s="6"/>
      <c r="OHN23" s="6"/>
      <c r="OHO23" s="6"/>
      <c r="OHP23" s="6"/>
      <c r="OHQ23" s="6"/>
      <c r="OHR23" s="6"/>
      <c r="OHS23" s="6"/>
      <c r="OHT23" s="6"/>
      <c r="OHU23" s="6"/>
      <c r="OHV23" s="6"/>
      <c r="OHW23" s="6"/>
      <c r="OHX23" s="6"/>
      <c r="OHY23" s="6"/>
      <c r="OHZ23" s="6"/>
      <c r="OIA23" s="6"/>
      <c r="OIB23" s="6"/>
      <c r="OIC23" s="6"/>
      <c r="OID23" s="6"/>
      <c r="OIE23" s="6"/>
      <c r="OIF23" s="6"/>
      <c r="OIG23" s="6"/>
      <c r="OIH23" s="6"/>
      <c r="OII23" s="6"/>
      <c r="OIJ23" s="6"/>
      <c r="OIK23" s="6"/>
      <c r="OIL23" s="6"/>
      <c r="OIM23" s="6"/>
      <c r="OIN23" s="6"/>
      <c r="OIO23" s="6"/>
      <c r="OIP23" s="6"/>
      <c r="OIQ23" s="6"/>
      <c r="OIR23" s="6"/>
      <c r="OIS23" s="6"/>
      <c r="OIT23" s="6"/>
      <c r="OIU23" s="6"/>
      <c r="OIV23" s="6"/>
      <c r="OIW23" s="6"/>
      <c r="OIX23" s="6"/>
      <c r="OIY23" s="6"/>
      <c r="OIZ23" s="6"/>
      <c r="OJA23" s="6"/>
      <c r="OJB23" s="6"/>
      <c r="OJC23" s="6"/>
      <c r="OJD23" s="6"/>
      <c r="OJE23" s="6"/>
      <c r="OJF23" s="6"/>
      <c r="OJG23" s="6"/>
      <c r="OJH23" s="6"/>
      <c r="OJI23" s="6"/>
      <c r="OJJ23" s="6"/>
      <c r="OJK23" s="6"/>
      <c r="OJL23" s="6"/>
      <c r="OJM23" s="6"/>
      <c r="OJN23" s="6"/>
      <c r="OJO23" s="6"/>
      <c r="OJP23" s="6"/>
      <c r="OJQ23" s="6"/>
      <c r="OJR23" s="6"/>
      <c r="OJS23" s="6"/>
      <c r="OJT23" s="6"/>
      <c r="OJU23" s="6"/>
      <c r="OJV23" s="6"/>
      <c r="OJW23" s="6"/>
      <c r="OJX23" s="6"/>
      <c r="OJY23" s="6"/>
      <c r="OJZ23" s="6"/>
      <c r="OKA23" s="6"/>
      <c r="OKB23" s="6"/>
      <c r="OKC23" s="6"/>
      <c r="OKD23" s="6"/>
      <c r="OKE23" s="6"/>
      <c r="OKF23" s="6"/>
      <c r="OKG23" s="6"/>
      <c r="OKH23" s="6"/>
      <c r="OKI23" s="6"/>
      <c r="OKJ23" s="6"/>
      <c r="OKK23" s="6"/>
      <c r="OKL23" s="6"/>
      <c r="OKM23" s="6"/>
      <c r="OKN23" s="6"/>
      <c r="OKO23" s="6"/>
      <c r="OKP23" s="6"/>
      <c r="OKQ23" s="6"/>
      <c r="OKR23" s="6"/>
      <c r="OKS23" s="6"/>
      <c r="OKT23" s="6"/>
      <c r="OKU23" s="6"/>
      <c r="OKV23" s="6"/>
      <c r="OKW23" s="6"/>
      <c r="OKX23" s="6"/>
      <c r="OKY23" s="6"/>
      <c r="OKZ23" s="6"/>
      <c r="OLA23" s="6"/>
      <c r="OLB23" s="6"/>
      <c r="OLC23" s="6"/>
      <c r="OLD23" s="6"/>
      <c r="OLE23" s="6"/>
      <c r="OLF23" s="6"/>
      <c r="OLG23" s="6"/>
      <c r="OLH23" s="6"/>
      <c r="OLI23" s="6"/>
      <c r="OLJ23" s="6"/>
      <c r="OLK23" s="6"/>
      <c r="OLL23" s="6"/>
      <c r="OLM23" s="6"/>
      <c r="OLN23" s="6"/>
      <c r="OLO23" s="6"/>
      <c r="OLP23" s="6"/>
      <c r="OLQ23" s="6"/>
      <c r="OLR23" s="6"/>
      <c r="OLS23" s="6"/>
      <c r="OLT23" s="6"/>
      <c r="OLU23" s="6"/>
      <c r="OLV23" s="6"/>
      <c r="OLW23" s="6"/>
      <c r="OLX23" s="6"/>
      <c r="OLY23" s="6"/>
      <c r="OLZ23" s="6"/>
      <c r="OMA23" s="6"/>
      <c r="OMB23" s="6"/>
      <c r="OMC23" s="6"/>
      <c r="OMD23" s="6"/>
      <c r="OME23" s="6"/>
      <c r="OMF23" s="6"/>
      <c r="OMG23" s="6"/>
      <c r="OMH23" s="6"/>
      <c r="OMI23" s="6"/>
      <c r="OMJ23" s="6"/>
      <c r="OMK23" s="6"/>
      <c r="OML23" s="6"/>
      <c r="OMM23" s="6"/>
      <c r="OMN23" s="6"/>
      <c r="OMO23" s="6"/>
      <c r="OMP23" s="6"/>
      <c r="OMQ23" s="6"/>
      <c r="OMR23" s="6"/>
      <c r="OMS23" s="6"/>
      <c r="OMT23" s="6"/>
      <c r="OMU23" s="6"/>
      <c r="OMV23" s="6"/>
      <c r="OMW23" s="6"/>
      <c r="OMX23" s="6"/>
      <c r="OMY23" s="6"/>
      <c r="OMZ23" s="6"/>
      <c r="ONA23" s="6"/>
      <c r="ONB23" s="6"/>
      <c r="ONC23" s="6"/>
      <c r="OND23" s="6"/>
      <c r="ONE23" s="6"/>
      <c r="ONF23" s="6"/>
      <c r="ONG23" s="6"/>
      <c r="ONH23" s="6"/>
      <c r="ONI23" s="6"/>
      <c r="ONJ23" s="6"/>
      <c r="ONK23" s="6"/>
      <c r="ONL23" s="6"/>
      <c r="ONM23" s="6"/>
      <c r="ONN23" s="6"/>
      <c r="ONO23" s="6"/>
      <c r="ONP23" s="6"/>
      <c r="ONQ23" s="6"/>
      <c r="ONR23" s="6"/>
      <c r="ONS23" s="6"/>
      <c r="ONT23" s="6"/>
      <c r="ONU23" s="6"/>
      <c r="ONV23" s="6"/>
      <c r="ONW23" s="6"/>
      <c r="ONX23" s="6"/>
      <c r="ONY23" s="6"/>
      <c r="ONZ23" s="6"/>
      <c r="OOA23" s="6"/>
      <c r="OOB23" s="6"/>
      <c r="OOC23" s="6"/>
      <c r="OOD23" s="6"/>
      <c r="OOE23" s="6"/>
      <c r="OOF23" s="6"/>
      <c r="OOG23" s="6"/>
      <c r="OOH23" s="6"/>
      <c r="OOI23" s="6"/>
      <c r="OOJ23" s="6"/>
      <c r="OOK23" s="6"/>
      <c r="OOL23" s="6"/>
      <c r="OOM23" s="6"/>
      <c r="OON23" s="6"/>
      <c r="OOO23" s="6"/>
      <c r="OOP23" s="6"/>
      <c r="OOQ23" s="6"/>
      <c r="OOR23" s="6"/>
      <c r="OOS23" s="6"/>
      <c r="OOT23" s="6"/>
      <c r="OOU23" s="6"/>
      <c r="OOV23" s="6"/>
      <c r="OOW23" s="6"/>
      <c r="OOX23" s="6"/>
      <c r="OOY23" s="6"/>
      <c r="OOZ23" s="6"/>
      <c r="OPA23" s="6"/>
      <c r="OPB23" s="6"/>
      <c r="OPC23" s="6"/>
      <c r="OPD23" s="6"/>
      <c r="OPE23" s="6"/>
      <c r="OPF23" s="6"/>
      <c r="OPG23" s="6"/>
      <c r="OPH23" s="6"/>
      <c r="OPI23" s="6"/>
      <c r="OPJ23" s="6"/>
      <c r="OPK23" s="6"/>
      <c r="OPL23" s="6"/>
      <c r="OPM23" s="6"/>
      <c r="OPN23" s="6"/>
      <c r="OPO23" s="6"/>
      <c r="OPP23" s="6"/>
      <c r="OPQ23" s="6"/>
      <c r="OPR23" s="6"/>
      <c r="OPS23" s="6"/>
      <c r="OPT23" s="6"/>
      <c r="OPU23" s="6"/>
      <c r="OPV23" s="6"/>
      <c r="OPW23" s="6"/>
      <c r="OPX23" s="6"/>
      <c r="OPY23" s="6"/>
      <c r="OPZ23" s="6"/>
      <c r="OQA23" s="6"/>
      <c r="OQB23" s="6"/>
      <c r="OQC23" s="6"/>
      <c r="OQD23" s="6"/>
      <c r="OQE23" s="6"/>
      <c r="OQF23" s="6"/>
      <c r="OQG23" s="6"/>
      <c r="OQH23" s="6"/>
      <c r="OQI23" s="6"/>
      <c r="OQJ23" s="6"/>
      <c r="OQK23" s="6"/>
      <c r="OQL23" s="6"/>
      <c r="OQM23" s="6"/>
      <c r="OQN23" s="6"/>
      <c r="OQO23" s="6"/>
      <c r="OQP23" s="6"/>
      <c r="OQQ23" s="6"/>
      <c r="OQR23" s="6"/>
      <c r="OQS23" s="6"/>
      <c r="OQT23" s="6"/>
      <c r="OQU23" s="6"/>
      <c r="OQV23" s="6"/>
      <c r="OQW23" s="6"/>
      <c r="OQX23" s="6"/>
      <c r="OQY23" s="6"/>
      <c r="OQZ23" s="6"/>
      <c r="ORA23" s="6"/>
      <c r="ORB23" s="6"/>
      <c r="ORC23" s="6"/>
      <c r="ORD23" s="6"/>
      <c r="ORE23" s="6"/>
      <c r="ORF23" s="6"/>
      <c r="ORG23" s="6"/>
      <c r="ORH23" s="6"/>
      <c r="ORI23" s="6"/>
      <c r="ORJ23" s="6"/>
      <c r="ORK23" s="6"/>
      <c r="ORL23" s="6"/>
      <c r="ORM23" s="6"/>
      <c r="ORN23" s="6"/>
      <c r="ORO23" s="6"/>
      <c r="ORP23" s="6"/>
      <c r="ORQ23" s="6"/>
      <c r="ORR23" s="6"/>
      <c r="ORS23" s="6"/>
      <c r="ORT23" s="6"/>
      <c r="ORU23" s="6"/>
      <c r="ORV23" s="6"/>
      <c r="ORW23" s="6"/>
      <c r="ORX23" s="6"/>
      <c r="ORY23" s="6"/>
      <c r="ORZ23" s="6"/>
      <c r="OSA23" s="6"/>
      <c r="OSB23" s="6"/>
      <c r="OSC23" s="6"/>
      <c r="OSD23" s="6"/>
      <c r="OSE23" s="6"/>
      <c r="OSF23" s="6"/>
      <c r="OSG23" s="6"/>
      <c r="OSH23" s="6"/>
      <c r="OSI23" s="6"/>
      <c r="OSJ23" s="6"/>
      <c r="OSK23" s="6"/>
      <c r="OSL23" s="6"/>
      <c r="OSM23" s="6"/>
      <c r="OSN23" s="6"/>
      <c r="OSO23" s="6"/>
      <c r="OSP23" s="6"/>
      <c r="OSQ23" s="6"/>
      <c r="OSR23" s="6"/>
      <c r="OSS23" s="6"/>
      <c r="OST23" s="6"/>
      <c r="OSU23" s="6"/>
      <c r="OSV23" s="6"/>
      <c r="OSW23" s="6"/>
      <c r="OSX23" s="6"/>
      <c r="OSY23" s="6"/>
      <c r="OSZ23" s="6"/>
      <c r="OTA23" s="6"/>
      <c r="OTB23" s="6"/>
      <c r="OTC23" s="6"/>
      <c r="OTD23" s="6"/>
      <c r="OTE23" s="6"/>
      <c r="OTF23" s="6"/>
      <c r="OTG23" s="6"/>
      <c r="OTH23" s="6"/>
      <c r="OTI23" s="6"/>
      <c r="OTJ23" s="6"/>
      <c r="OTK23" s="6"/>
      <c r="OTL23" s="6"/>
      <c r="OTM23" s="6"/>
      <c r="OTN23" s="6"/>
      <c r="OTO23" s="6"/>
      <c r="OTP23" s="6"/>
      <c r="OTQ23" s="6"/>
      <c r="OTR23" s="6"/>
      <c r="OTS23" s="6"/>
      <c r="OTT23" s="6"/>
      <c r="OTU23" s="6"/>
      <c r="OTV23" s="6"/>
      <c r="OTW23" s="6"/>
      <c r="OTX23" s="6"/>
      <c r="OTY23" s="6"/>
      <c r="OTZ23" s="6"/>
      <c r="OUA23" s="6"/>
      <c r="OUB23" s="6"/>
      <c r="OUC23" s="6"/>
      <c r="OUD23" s="6"/>
      <c r="OUE23" s="6"/>
      <c r="OUF23" s="6"/>
      <c r="OUG23" s="6"/>
      <c r="OUH23" s="6"/>
      <c r="OUI23" s="6"/>
      <c r="OUJ23" s="6"/>
      <c r="OUK23" s="6"/>
      <c r="OUL23" s="6"/>
      <c r="OUM23" s="6"/>
      <c r="OUN23" s="6"/>
      <c r="OUO23" s="6"/>
      <c r="OUP23" s="6"/>
      <c r="OUQ23" s="6"/>
      <c r="OUR23" s="6"/>
      <c r="OUS23" s="6"/>
      <c r="OUT23" s="6"/>
      <c r="OUU23" s="6"/>
      <c r="OUV23" s="6"/>
      <c r="OUW23" s="6"/>
      <c r="OUX23" s="6"/>
      <c r="OUY23" s="6"/>
      <c r="OUZ23" s="6"/>
      <c r="OVA23" s="6"/>
      <c r="OVB23" s="6"/>
      <c r="OVC23" s="6"/>
      <c r="OVD23" s="6"/>
      <c r="OVE23" s="6"/>
      <c r="OVF23" s="6"/>
      <c r="OVG23" s="6"/>
      <c r="OVH23" s="6"/>
      <c r="OVI23" s="6"/>
      <c r="OVJ23" s="6"/>
      <c r="OVK23" s="6"/>
      <c r="OVL23" s="6"/>
      <c r="OVM23" s="6"/>
      <c r="OVN23" s="6"/>
      <c r="OVO23" s="6"/>
      <c r="OVP23" s="6"/>
      <c r="OVQ23" s="6"/>
      <c r="OVR23" s="6"/>
      <c r="OVS23" s="6"/>
      <c r="OVT23" s="6"/>
      <c r="OVU23" s="6"/>
      <c r="OVV23" s="6"/>
      <c r="OVW23" s="6"/>
      <c r="OVX23" s="6"/>
      <c r="OVY23" s="6"/>
      <c r="OVZ23" s="6"/>
      <c r="OWA23" s="6"/>
      <c r="OWB23" s="6"/>
      <c r="OWC23" s="6"/>
      <c r="OWD23" s="6"/>
      <c r="OWE23" s="6"/>
      <c r="OWF23" s="6"/>
      <c r="OWG23" s="6"/>
      <c r="OWH23" s="6"/>
      <c r="OWI23" s="6"/>
      <c r="OWJ23" s="6"/>
      <c r="OWK23" s="6"/>
      <c r="OWL23" s="6"/>
      <c r="OWM23" s="6"/>
      <c r="OWN23" s="6"/>
      <c r="OWO23" s="6"/>
      <c r="OWP23" s="6"/>
      <c r="OWQ23" s="6"/>
      <c r="OWR23" s="6"/>
      <c r="OWS23" s="6"/>
      <c r="OWT23" s="6"/>
      <c r="OWU23" s="6"/>
      <c r="OWV23" s="6"/>
      <c r="OWW23" s="6"/>
      <c r="OWX23" s="6"/>
      <c r="OWY23" s="6"/>
      <c r="OWZ23" s="6"/>
      <c r="OXA23" s="6"/>
      <c r="OXB23" s="6"/>
      <c r="OXC23" s="6"/>
      <c r="OXD23" s="6"/>
      <c r="OXE23" s="6"/>
      <c r="OXF23" s="6"/>
      <c r="OXG23" s="6"/>
      <c r="OXH23" s="6"/>
      <c r="OXI23" s="6"/>
      <c r="OXJ23" s="6"/>
      <c r="OXK23" s="6"/>
      <c r="OXL23" s="6"/>
      <c r="OXM23" s="6"/>
      <c r="OXN23" s="6"/>
      <c r="OXO23" s="6"/>
      <c r="OXP23" s="6"/>
      <c r="OXQ23" s="6"/>
      <c r="OXR23" s="6"/>
      <c r="OXS23" s="6"/>
      <c r="OXT23" s="6"/>
      <c r="OXU23" s="6"/>
      <c r="OXV23" s="6"/>
      <c r="OXW23" s="6"/>
      <c r="OXX23" s="6"/>
      <c r="OXY23" s="6"/>
      <c r="OXZ23" s="6"/>
      <c r="OYA23" s="6"/>
      <c r="OYB23" s="6"/>
      <c r="OYC23" s="6"/>
      <c r="OYD23" s="6"/>
      <c r="OYE23" s="6"/>
      <c r="OYF23" s="6"/>
      <c r="OYG23" s="6"/>
      <c r="OYH23" s="6"/>
      <c r="OYI23" s="6"/>
      <c r="OYJ23" s="6"/>
      <c r="OYK23" s="6"/>
      <c r="OYL23" s="6"/>
      <c r="OYM23" s="6"/>
      <c r="OYN23" s="6"/>
      <c r="OYO23" s="6"/>
      <c r="OYP23" s="6"/>
      <c r="OYQ23" s="6"/>
      <c r="OYR23" s="6"/>
      <c r="OYS23" s="6"/>
      <c r="OYT23" s="6"/>
      <c r="OYU23" s="6"/>
      <c r="OYV23" s="6"/>
      <c r="OYW23" s="6"/>
      <c r="OYX23" s="6"/>
      <c r="OYY23" s="6"/>
      <c r="OYZ23" s="6"/>
      <c r="OZA23" s="6"/>
      <c r="OZB23" s="6"/>
      <c r="OZC23" s="6"/>
      <c r="OZD23" s="6"/>
      <c r="OZE23" s="6"/>
      <c r="OZF23" s="6"/>
      <c r="OZG23" s="6"/>
      <c r="OZH23" s="6"/>
      <c r="OZI23" s="6"/>
      <c r="OZJ23" s="6"/>
      <c r="OZK23" s="6"/>
      <c r="OZL23" s="6"/>
      <c r="OZM23" s="6"/>
      <c r="OZN23" s="6"/>
      <c r="OZO23" s="6"/>
      <c r="OZP23" s="6"/>
      <c r="OZQ23" s="6"/>
      <c r="OZR23" s="6"/>
      <c r="OZS23" s="6"/>
      <c r="OZT23" s="6"/>
      <c r="OZU23" s="6"/>
      <c r="OZV23" s="6"/>
      <c r="OZW23" s="6"/>
      <c r="OZX23" s="6"/>
      <c r="OZY23" s="6"/>
      <c r="OZZ23" s="6"/>
      <c r="PAA23" s="6"/>
      <c r="PAB23" s="6"/>
      <c r="PAC23" s="6"/>
      <c r="PAD23" s="6"/>
      <c r="PAE23" s="6"/>
      <c r="PAF23" s="6"/>
      <c r="PAG23" s="6"/>
      <c r="PAH23" s="6"/>
      <c r="PAI23" s="6"/>
      <c r="PAJ23" s="6"/>
      <c r="PAK23" s="6"/>
      <c r="PAL23" s="6"/>
      <c r="PAM23" s="6"/>
      <c r="PAN23" s="6"/>
      <c r="PAO23" s="6"/>
      <c r="PAP23" s="6"/>
      <c r="PAQ23" s="6"/>
      <c r="PAR23" s="6"/>
      <c r="PAS23" s="6"/>
      <c r="PAT23" s="6"/>
      <c r="PAU23" s="6"/>
      <c r="PAV23" s="6"/>
      <c r="PAW23" s="6"/>
      <c r="PAX23" s="6"/>
      <c r="PAY23" s="6"/>
      <c r="PAZ23" s="6"/>
      <c r="PBA23" s="6"/>
      <c r="PBB23" s="6"/>
      <c r="PBC23" s="6"/>
      <c r="PBD23" s="6"/>
      <c r="PBE23" s="6"/>
      <c r="PBF23" s="6"/>
      <c r="PBG23" s="6"/>
      <c r="PBH23" s="6"/>
      <c r="PBI23" s="6"/>
      <c r="PBJ23" s="6"/>
      <c r="PBK23" s="6"/>
      <c r="PBL23" s="6"/>
      <c r="PBM23" s="6"/>
      <c r="PBN23" s="6"/>
      <c r="PBO23" s="6"/>
      <c r="PBP23" s="6"/>
      <c r="PBQ23" s="6"/>
      <c r="PBR23" s="6"/>
      <c r="PBS23" s="6"/>
      <c r="PBT23" s="6"/>
      <c r="PBU23" s="6"/>
      <c r="PBV23" s="6"/>
      <c r="PBW23" s="6"/>
      <c r="PBX23" s="6"/>
      <c r="PBY23" s="6"/>
      <c r="PBZ23" s="6"/>
      <c r="PCA23" s="6"/>
      <c r="PCB23" s="6"/>
      <c r="PCC23" s="6"/>
      <c r="PCD23" s="6"/>
      <c r="PCE23" s="6"/>
      <c r="PCF23" s="6"/>
      <c r="PCG23" s="6"/>
      <c r="PCH23" s="6"/>
      <c r="PCI23" s="6"/>
      <c r="PCJ23" s="6"/>
      <c r="PCK23" s="6"/>
      <c r="PCL23" s="6"/>
      <c r="PCM23" s="6"/>
      <c r="PCN23" s="6"/>
      <c r="PCO23" s="6"/>
      <c r="PCP23" s="6"/>
      <c r="PCQ23" s="6"/>
      <c r="PCR23" s="6"/>
      <c r="PCS23" s="6"/>
      <c r="PCT23" s="6"/>
      <c r="PCU23" s="6"/>
      <c r="PCV23" s="6"/>
      <c r="PCW23" s="6"/>
      <c r="PCX23" s="6"/>
      <c r="PCY23" s="6"/>
      <c r="PCZ23" s="6"/>
      <c r="PDA23" s="6"/>
      <c r="PDB23" s="6"/>
      <c r="PDC23" s="6"/>
      <c r="PDD23" s="6"/>
      <c r="PDE23" s="6"/>
      <c r="PDF23" s="6"/>
      <c r="PDG23" s="6"/>
      <c r="PDH23" s="6"/>
      <c r="PDI23" s="6"/>
      <c r="PDJ23" s="6"/>
      <c r="PDK23" s="6"/>
      <c r="PDL23" s="6"/>
      <c r="PDM23" s="6"/>
      <c r="PDN23" s="6"/>
      <c r="PDO23" s="6"/>
      <c r="PDP23" s="6"/>
      <c r="PDQ23" s="6"/>
      <c r="PDR23" s="6"/>
      <c r="PDS23" s="6"/>
      <c r="PDT23" s="6"/>
      <c r="PDU23" s="6"/>
      <c r="PDV23" s="6"/>
      <c r="PDW23" s="6"/>
      <c r="PDX23" s="6"/>
      <c r="PDY23" s="6"/>
      <c r="PDZ23" s="6"/>
      <c r="PEA23" s="6"/>
      <c r="PEB23" s="6"/>
      <c r="PEC23" s="6"/>
      <c r="PED23" s="6"/>
      <c r="PEE23" s="6"/>
      <c r="PEF23" s="6"/>
      <c r="PEG23" s="6"/>
      <c r="PEH23" s="6"/>
      <c r="PEI23" s="6"/>
      <c r="PEJ23" s="6"/>
      <c r="PEK23" s="6"/>
      <c r="PEL23" s="6"/>
      <c r="PEM23" s="6"/>
      <c r="PEN23" s="6"/>
      <c r="PEO23" s="6"/>
      <c r="PEP23" s="6"/>
      <c r="PEQ23" s="6"/>
      <c r="PER23" s="6"/>
      <c r="PES23" s="6"/>
      <c r="PET23" s="6"/>
      <c r="PEU23" s="6"/>
      <c r="PEV23" s="6"/>
      <c r="PEW23" s="6"/>
      <c r="PEX23" s="6"/>
      <c r="PEY23" s="6"/>
      <c r="PEZ23" s="6"/>
      <c r="PFA23" s="6"/>
      <c r="PFB23" s="6"/>
      <c r="PFC23" s="6"/>
      <c r="PFD23" s="6"/>
      <c r="PFE23" s="6"/>
      <c r="PFF23" s="6"/>
      <c r="PFG23" s="6"/>
      <c r="PFH23" s="6"/>
      <c r="PFI23" s="6"/>
      <c r="PFJ23" s="6"/>
      <c r="PFK23" s="6"/>
      <c r="PFL23" s="6"/>
      <c r="PFM23" s="6"/>
      <c r="PFN23" s="6"/>
      <c r="PFO23" s="6"/>
      <c r="PFP23" s="6"/>
      <c r="PFQ23" s="6"/>
      <c r="PFR23" s="6"/>
      <c r="PFS23" s="6"/>
      <c r="PFT23" s="6"/>
      <c r="PFU23" s="6"/>
      <c r="PFV23" s="6"/>
      <c r="PFW23" s="6"/>
      <c r="PFX23" s="6"/>
      <c r="PFY23" s="6"/>
      <c r="PFZ23" s="6"/>
      <c r="PGA23" s="6"/>
      <c r="PGB23" s="6"/>
      <c r="PGC23" s="6"/>
      <c r="PGD23" s="6"/>
      <c r="PGE23" s="6"/>
      <c r="PGF23" s="6"/>
      <c r="PGG23" s="6"/>
      <c r="PGH23" s="6"/>
      <c r="PGI23" s="6"/>
      <c r="PGJ23" s="6"/>
      <c r="PGK23" s="6"/>
      <c r="PGL23" s="6"/>
      <c r="PGM23" s="6"/>
      <c r="PGN23" s="6"/>
      <c r="PGO23" s="6"/>
      <c r="PGP23" s="6"/>
      <c r="PGQ23" s="6"/>
      <c r="PGR23" s="6"/>
      <c r="PGS23" s="6"/>
      <c r="PGT23" s="6"/>
      <c r="PGU23" s="6"/>
      <c r="PGV23" s="6"/>
      <c r="PGW23" s="6"/>
      <c r="PGX23" s="6"/>
      <c r="PGY23" s="6"/>
      <c r="PGZ23" s="6"/>
      <c r="PHA23" s="6"/>
      <c r="PHB23" s="6"/>
      <c r="PHC23" s="6"/>
      <c r="PHD23" s="6"/>
      <c r="PHE23" s="6"/>
      <c r="PHF23" s="6"/>
      <c r="PHG23" s="6"/>
      <c r="PHH23" s="6"/>
      <c r="PHI23" s="6"/>
      <c r="PHJ23" s="6"/>
      <c r="PHK23" s="6"/>
      <c r="PHL23" s="6"/>
      <c r="PHM23" s="6"/>
      <c r="PHN23" s="6"/>
      <c r="PHO23" s="6"/>
      <c r="PHP23" s="6"/>
      <c r="PHQ23" s="6"/>
      <c r="PHR23" s="6"/>
      <c r="PHS23" s="6"/>
      <c r="PHT23" s="6"/>
      <c r="PHU23" s="6"/>
      <c r="PHV23" s="6"/>
      <c r="PHW23" s="6"/>
      <c r="PHX23" s="6"/>
      <c r="PHY23" s="6"/>
      <c r="PHZ23" s="6"/>
      <c r="PIA23" s="6"/>
      <c r="PIB23" s="6"/>
      <c r="PIC23" s="6"/>
      <c r="PID23" s="6"/>
      <c r="PIE23" s="6"/>
      <c r="PIF23" s="6"/>
      <c r="PIG23" s="6"/>
      <c r="PIH23" s="6"/>
      <c r="PII23" s="6"/>
      <c r="PIJ23" s="6"/>
      <c r="PIK23" s="6"/>
      <c r="PIL23" s="6"/>
      <c r="PIM23" s="6"/>
      <c r="PIN23" s="6"/>
      <c r="PIO23" s="6"/>
      <c r="PIP23" s="6"/>
      <c r="PIQ23" s="6"/>
      <c r="PIR23" s="6"/>
      <c r="PIS23" s="6"/>
      <c r="PIT23" s="6"/>
      <c r="PIU23" s="6"/>
      <c r="PIV23" s="6"/>
      <c r="PIW23" s="6"/>
      <c r="PIX23" s="6"/>
      <c r="PIY23" s="6"/>
      <c r="PIZ23" s="6"/>
      <c r="PJA23" s="6"/>
      <c r="PJB23" s="6"/>
      <c r="PJC23" s="6"/>
      <c r="PJD23" s="6"/>
      <c r="PJE23" s="6"/>
      <c r="PJF23" s="6"/>
      <c r="PJG23" s="6"/>
      <c r="PJH23" s="6"/>
      <c r="PJI23" s="6"/>
      <c r="PJJ23" s="6"/>
      <c r="PJK23" s="6"/>
      <c r="PJL23" s="6"/>
      <c r="PJM23" s="6"/>
      <c r="PJN23" s="6"/>
      <c r="PJO23" s="6"/>
      <c r="PJP23" s="6"/>
      <c r="PJQ23" s="6"/>
      <c r="PJR23" s="6"/>
      <c r="PJS23" s="6"/>
      <c r="PJT23" s="6"/>
      <c r="PJU23" s="6"/>
      <c r="PJV23" s="6"/>
      <c r="PJW23" s="6"/>
      <c r="PJX23" s="6"/>
      <c r="PJY23" s="6"/>
      <c r="PJZ23" s="6"/>
      <c r="PKA23" s="6"/>
      <c r="PKB23" s="6"/>
      <c r="PKC23" s="6"/>
      <c r="PKD23" s="6"/>
      <c r="PKE23" s="6"/>
      <c r="PKF23" s="6"/>
      <c r="PKG23" s="6"/>
      <c r="PKH23" s="6"/>
      <c r="PKI23" s="6"/>
      <c r="PKJ23" s="6"/>
      <c r="PKK23" s="6"/>
      <c r="PKL23" s="6"/>
      <c r="PKM23" s="6"/>
      <c r="PKN23" s="6"/>
      <c r="PKO23" s="6"/>
      <c r="PKP23" s="6"/>
      <c r="PKQ23" s="6"/>
      <c r="PKR23" s="6"/>
      <c r="PKS23" s="6"/>
      <c r="PKT23" s="6"/>
      <c r="PKU23" s="6"/>
      <c r="PKV23" s="6"/>
      <c r="PKW23" s="6"/>
      <c r="PKX23" s="6"/>
      <c r="PKY23" s="6"/>
      <c r="PKZ23" s="6"/>
      <c r="PLA23" s="6"/>
      <c r="PLB23" s="6"/>
      <c r="PLC23" s="6"/>
      <c r="PLD23" s="6"/>
      <c r="PLE23" s="6"/>
      <c r="PLF23" s="6"/>
      <c r="PLG23" s="6"/>
      <c r="PLH23" s="6"/>
      <c r="PLI23" s="6"/>
      <c r="PLJ23" s="6"/>
      <c r="PLK23" s="6"/>
      <c r="PLL23" s="6"/>
      <c r="PLM23" s="6"/>
      <c r="PLN23" s="6"/>
      <c r="PLO23" s="6"/>
      <c r="PLP23" s="6"/>
      <c r="PLQ23" s="6"/>
      <c r="PLR23" s="6"/>
      <c r="PLS23" s="6"/>
      <c r="PLT23" s="6"/>
      <c r="PLU23" s="6"/>
      <c r="PLV23" s="6"/>
      <c r="PLW23" s="6"/>
      <c r="PLX23" s="6"/>
      <c r="PLY23" s="6"/>
      <c r="PLZ23" s="6"/>
      <c r="PMA23" s="6"/>
      <c r="PMB23" s="6"/>
      <c r="PMC23" s="6"/>
      <c r="PMD23" s="6"/>
      <c r="PME23" s="6"/>
      <c r="PMF23" s="6"/>
      <c r="PMG23" s="6"/>
      <c r="PMH23" s="6"/>
      <c r="PMI23" s="6"/>
      <c r="PMJ23" s="6"/>
      <c r="PMK23" s="6"/>
      <c r="PML23" s="6"/>
      <c r="PMM23" s="6"/>
      <c r="PMN23" s="6"/>
      <c r="PMO23" s="6"/>
      <c r="PMP23" s="6"/>
      <c r="PMQ23" s="6"/>
      <c r="PMR23" s="6"/>
      <c r="PMS23" s="6"/>
      <c r="PMT23" s="6"/>
      <c r="PMU23" s="6"/>
      <c r="PMV23" s="6"/>
      <c r="PMW23" s="6"/>
      <c r="PMX23" s="6"/>
      <c r="PMY23" s="6"/>
      <c r="PMZ23" s="6"/>
      <c r="PNA23" s="6"/>
      <c r="PNB23" s="6"/>
      <c r="PNC23" s="6"/>
      <c r="PND23" s="6"/>
      <c r="PNE23" s="6"/>
      <c r="PNF23" s="6"/>
      <c r="PNG23" s="6"/>
      <c r="PNH23" s="6"/>
      <c r="PNI23" s="6"/>
      <c r="PNJ23" s="6"/>
      <c r="PNK23" s="6"/>
      <c r="PNL23" s="6"/>
      <c r="PNM23" s="6"/>
      <c r="PNN23" s="6"/>
      <c r="PNO23" s="6"/>
      <c r="PNP23" s="6"/>
      <c r="PNQ23" s="6"/>
      <c r="PNR23" s="6"/>
      <c r="PNS23" s="6"/>
      <c r="PNT23" s="6"/>
      <c r="PNU23" s="6"/>
      <c r="PNV23" s="6"/>
      <c r="PNW23" s="6"/>
      <c r="PNX23" s="6"/>
      <c r="PNY23" s="6"/>
      <c r="PNZ23" s="6"/>
      <c r="POA23" s="6"/>
      <c r="POB23" s="6"/>
      <c r="POC23" s="6"/>
      <c r="POD23" s="6"/>
      <c r="POE23" s="6"/>
      <c r="POF23" s="6"/>
      <c r="POG23" s="6"/>
      <c r="POH23" s="6"/>
      <c r="POI23" s="6"/>
      <c r="POJ23" s="6"/>
      <c r="POK23" s="6"/>
      <c r="POL23" s="6"/>
      <c r="POM23" s="6"/>
      <c r="PON23" s="6"/>
      <c r="POO23" s="6"/>
      <c r="POP23" s="6"/>
      <c r="POQ23" s="6"/>
      <c r="POR23" s="6"/>
      <c r="POS23" s="6"/>
      <c r="POT23" s="6"/>
      <c r="POU23" s="6"/>
      <c r="POV23" s="6"/>
      <c r="POW23" s="6"/>
      <c r="POX23" s="6"/>
      <c r="POY23" s="6"/>
      <c r="POZ23" s="6"/>
      <c r="PPA23" s="6"/>
      <c r="PPB23" s="6"/>
      <c r="PPC23" s="6"/>
      <c r="PPD23" s="6"/>
      <c r="PPE23" s="6"/>
      <c r="PPF23" s="6"/>
      <c r="PPG23" s="6"/>
      <c r="PPH23" s="6"/>
      <c r="PPI23" s="6"/>
      <c r="PPJ23" s="6"/>
      <c r="PPK23" s="6"/>
      <c r="PPL23" s="6"/>
      <c r="PPM23" s="6"/>
      <c r="PPN23" s="6"/>
      <c r="PPO23" s="6"/>
      <c r="PPP23" s="6"/>
      <c r="PPQ23" s="6"/>
      <c r="PPR23" s="6"/>
      <c r="PPS23" s="6"/>
      <c r="PPT23" s="6"/>
      <c r="PPU23" s="6"/>
      <c r="PPV23" s="6"/>
      <c r="PPW23" s="6"/>
      <c r="PPX23" s="6"/>
      <c r="PPY23" s="6"/>
      <c r="PPZ23" s="6"/>
      <c r="PQA23" s="6"/>
      <c r="PQB23" s="6"/>
      <c r="PQC23" s="6"/>
      <c r="PQD23" s="6"/>
      <c r="PQE23" s="6"/>
      <c r="PQF23" s="6"/>
      <c r="PQG23" s="6"/>
      <c r="PQH23" s="6"/>
      <c r="PQI23" s="6"/>
      <c r="PQJ23" s="6"/>
      <c r="PQK23" s="6"/>
      <c r="PQL23" s="6"/>
      <c r="PQM23" s="6"/>
      <c r="PQN23" s="6"/>
      <c r="PQO23" s="6"/>
      <c r="PQP23" s="6"/>
      <c r="PQQ23" s="6"/>
      <c r="PQR23" s="6"/>
      <c r="PQS23" s="6"/>
      <c r="PQT23" s="6"/>
      <c r="PQU23" s="6"/>
      <c r="PQV23" s="6"/>
      <c r="PQW23" s="6"/>
      <c r="PQX23" s="6"/>
      <c r="PQY23" s="6"/>
      <c r="PQZ23" s="6"/>
      <c r="PRA23" s="6"/>
      <c r="PRB23" s="6"/>
      <c r="PRC23" s="6"/>
      <c r="PRD23" s="6"/>
      <c r="PRE23" s="6"/>
      <c r="PRF23" s="6"/>
      <c r="PRG23" s="6"/>
      <c r="PRH23" s="6"/>
      <c r="PRI23" s="6"/>
      <c r="PRJ23" s="6"/>
      <c r="PRK23" s="6"/>
      <c r="PRL23" s="6"/>
      <c r="PRM23" s="6"/>
      <c r="PRN23" s="6"/>
      <c r="PRO23" s="6"/>
      <c r="PRP23" s="6"/>
      <c r="PRQ23" s="6"/>
      <c r="PRR23" s="6"/>
      <c r="PRS23" s="6"/>
      <c r="PRT23" s="6"/>
      <c r="PRU23" s="6"/>
      <c r="PRV23" s="6"/>
      <c r="PRW23" s="6"/>
      <c r="PRX23" s="6"/>
      <c r="PRY23" s="6"/>
      <c r="PRZ23" s="6"/>
      <c r="PSA23" s="6"/>
      <c r="PSB23" s="6"/>
      <c r="PSC23" s="6"/>
      <c r="PSD23" s="6"/>
      <c r="PSE23" s="6"/>
      <c r="PSF23" s="6"/>
      <c r="PSG23" s="6"/>
      <c r="PSH23" s="6"/>
      <c r="PSI23" s="6"/>
      <c r="PSJ23" s="6"/>
      <c r="PSK23" s="6"/>
      <c r="PSL23" s="6"/>
      <c r="PSM23" s="6"/>
      <c r="PSN23" s="6"/>
      <c r="PSO23" s="6"/>
      <c r="PSP23" s="6"/>
      <c r="PSQ23" s="6"/>
      <c r="PSR23" s="6"/>
      <c r="PSS23" s="6"/>
      <c r="PST23" s="6"/>
      <c r="PSU23" s="6"/>
      <c r="PSV23" s="6"/>
      <c r="PSW23" s="6"/>
      <c r="PSX23" s="6"/>
      <c r="PSY23" s="6"/>
      <c r="PSZ23" s="6"/>
      <c r="PTA23" s="6"/>
      <c r="PTB23" s="6"/>
      <c r="PTC23" s="6"/>
      <c r="PTD23" s="6"/>
      <c r="PTE23" s="6"/>
      <c r="PTF23" s="6"/>
      <c r="PTG23" s="6"/>
      <c r="PTH23" s="6"/>
      <c r="PTI23" s="6"/>
      <c r="PTJ23" s="6"/>
      <c r="PTK23" s="6"/>
      <c r="PTL23" s="6"/>
      <c r="PTM23" s="6"/>
      <c r="PTN23" s="6"/>
      <c r="PTO23" s="6"/>
      <c r="PTP23" s="6"/>
      <c r="PTQ23" s="6"/>
      <c r="PTR23" s="6"/>
      <c r="PTS23" s="6"/>
      <c r="PTT23" s="6"/>
      <c r="PTU23" s="6"/>
      <c r="PTV23" s="6"/>
      <c r="PTW23" s="6"/>
      <c r="PTX23" s="6"/>
      <c r="PTY23" s="6"/>
      <c r="PTZ23" s="6"/>
      <c r="PUA23" s="6"/>
      <c r="PUB23" s="6"/>
      <c r="PUC23" s="6"/>
      <c r="PUD23" s="6"/>
      <c r="PUE23" s="6"/>
      <c r="PUF23" s="6"/>
      <c r="PUG23" s="6"/>
      <c r="PUH23" s="6"/>
      <c r="PUI23" s="6"/>
      <c r="PUJ23" s="6"/>
      <c r="PUK23" s="6"/>
      <c r="PUL23" s="6"/>
      <c r="PUM23" s="6"/>
      <c r="PUN23" s="6"/>
      <c r="PUO23" s="6"/>
      <c r="PUP23" s="6"/>
      <c r="PUQ23" s="6"/>
      <c r="PUR23" s="6"/>
      <c r="PUS23" s="6"/>
      <c r="PUT23" s="6"/>
      <c r="PUU23" s="6"/>
      <c r="PUV23" s="6"/>
      <c r="PUW23" s="6"/>
      <c r="PUX23" s="6"/>
      <c r="PUY23" s="6"/>
      <c r="PUZ23" s="6"/>
      <c r="PVA23" s="6"/>
      <c r="PVB23" s="6"/>
      <c r="PVC23" s="6"/>
      <c r="PVD23" s="6"/>
      <c r="PVE23" s="6"/>
      <c r="PVF23" s="6"/>
      <c r="PVG23" s="6"/>
      <c r="PVH23" s="6"/>
      <c r="PVI23" s="6"/>
      <c r="PVJ23" s="6"/>
      <c r="PVK23" s="6"/>
      <c r="PVL23" s="6"/>
      <c r="PVM23" s="6"/>
      <c r="PVN23" s="6"/>
      <c r="PVO23" s="6"/>
      <c r="PVP23" s="6"/>
      <c r="PVQ23" s="6"/>
      <c r="PVR23" s="6"/>
      <c r="PVS23" s="6"/>
      <c r="PVT23" s="6"/>
      <c r="PVU23" s="6"/>
      <c r="PVV23" s="6"/>
      <c r="PVW23" s="6"/>
      <c r="PVX23" s="6"/>
      <c r="PVY23" s="6"/>
      <c r="PVZ23" s="6"/>
      <c r="PWA23" s="6"/>
      <c r="PWB23" s="6"/>
      <c r="PWC23" s="6"/>
      <c r="PWD23" s="6"/>
      <c r="PWE23" s="6"/>
      <c r="PWF23" s="6"/>
      <c r="PWG23" s="6"/>
      <c r="PWH23" s="6"/>
      <c r="PWI23" s="6"/>
      <c r="PWJ23" s="6"/>
      <c r="PWK23" s="6"/>
      <c r="PWL23" s="6"/>
      <c r="PWM23" s="6"/>
      <c r="PWN23" s="6"/>
      <c r="PWO23" s="6"/>
      <c r="PWP23" s="6"/>
      <c r="PWQ23" s="6"/>
      <c r="PWR23" s="6"/>
      <c r="PWS23" s="6"/>
      <c r="PWT23" s="6"/>
      <c r="PWU23" s="6"/>
      <c r="PWV23" s="6"/>
      <c r="PWW23" s="6"/>
      <c r="PWX23" s="6"/>
      <c r="PWY23" s="6"/>
      <c r="PWZ23" s="6"/>
      <c r="PXA23" s="6"/>
      <c r="PXB23" s="6"/>
      <c r="PXC23" s="6"/>
      <c r="PXD23" s="6"/>
      <c r="PXE23" s="6"/>
      <c r="PXF23" s="6"/>
      <c r="PXG23" s="6"/>
      <c r="PXH23" s="6"/>
      <c r="PXI23" s="6"/>
      <c r="PXJ23" s="6"/>
      <c r="PXK23" s="6"/>
      <c r="PXL23" s="6"/>
      <c r="PXM23" s="6"/>
      <c r="PXN23" s="6"/>
      <c r="PXO23" s="6"/>
      <c r="PXP23" s="6"/>
      <c r="PXQ23" s="6"/>
      <c r="PXR23" s="6"/>
      <c r="PXS23" s="6"/>
      <c r="PXT23" s="6"/>
      <c r="PXU23" s="6"/>
      <c r="PXV23" s="6"/>
      <c r="PXW23" s="6"/>
      <c r="PXX23" s="6"/>
      <c r="PXY23" s="6"/>
      <c r="PXZ23" s="6"/>
      <c r="PYA23" s="6"/>
      <c r="PYB23" s="6"/>
      <c r="PYC23" s="6"/>
      <c r="PYD23" s="6"/>
      <c r="PYE23" s="6"/>
      <c r="PYF23" s="6"/>
      <c r="PYG23" s="6"/>
      <c r="PYH23" s="6"/>
      <c r="PYI23" s="6"/>
      <c r="PYJ23" s="6"/>
      <c r="PYK23" s="6"/>
      <c r="PYL23" s="6"/>
      <c r="PYM23" s="6"/>
      <c r="PYN23" s="6"/>
      <c r="PYO23" s="6"/>
      <c r="PYP23" s="6"/>
      <c r="PYQ23" s="6"/>
      <c r="PYR23" s="6"/>
      <c r="PYS23" s="6"/>
      <c r="PYT23" s="6"/>
      <c r="PYU23" s="6"/>
      <c r="PYV23" s="6"/>
      <c r="PYW23" s="6"/>
      <c r="PYX23" s="6"/>
      <c r="PYY23" s="6"/>
      <c r="PYZ23" s="6"/>
      <c r="PZA23" s="6"/>
      <c r="PZB23" s="6"/>
      <c r="PZC23" s="6"/>
      <c r="PZD23" s="6"/>
      <c r="PZE23" s="6"/>
      <c r="PZF23" s="6"/>
      <c r="PZG23" s="6"/>
      <c r="PZH23" s="6"/>
      <c r="PZI23" s="6"/>
      <c r="PZJ23" s="6"/>
      <c r="PZK23" s="6"/>
      <c r="PZL23" s="6"/>
      <c r="PZM23" s="6"/>
      <c r="PZN23" s="6"/>
      <c r="PZO23" s="6"/>
      <c r="PZP23" s="6"/>
      <c r="PZQ23" s="6"/>
      <c r="PZR23" s="6"/>
      <c r="PZS23" s="6"/>
      <c r="PZT23" s="6"/>
      <c r="PZU23" s="6"/>
      <c r="PZV23" s="6"/>
      <c r="PZW23" s="6"/>
      <c r="PZX23" s="6"/>
      <c r="PZY23" s="6"/>
      <c r="PZZ23" s="6"/>
      <c r="QAA23" s="6"/>
      <c r="QAB23" s="6"/>
      <c r="QAC23" s="6"/>
      <c r="QAD23" s="6"/>
      <c r="QAE23" s="6"/>
      <c r="QAF23" s="6"/>
      <c r="QAG23" s="6"/>
      <c r="QAH23" s="6"/>
      <c r="QAI23" s="6"/>
      <c r="QAJ23" s="6"/>
      <c r="QAK23" s="6"/>
      <c r="QAL23" s="6"/>
      <c r="QAM23" s="6"/>
      <c r="QAN23" s="6"/>
      <c r="QAO23" s="6"/>
      <c r="QAP23" s="6"/>
      <c r="QAQ23" s="6"/>
      <c r="QAR23" s="6"/>
      <c r="QAS23" s="6"/>
      <c r="QAT23" s="6"/>
      <c r="QAU23" s="6"/>
      <c r="QAV23" s="6"/>
      <c r="QAW23" s="6"/>
      <c r="QAX23" s="6"/>
      <c r="QAY23" s="6"/>
      <c r="QAZ23" s="6"/>
      <c r="QBA23" s="6"/>
      <c r="QBB23" s="6"/>
      <c r="QBC23" s="6"/>
      <c r="QBD23" s="6"/>
      <c r="QBE23" s="6"/>
      <c r="QBF23" s="6"/>
      <c r="QBG23" s="6"/>
      <c r="QBH23" s="6"/>
      <c r="QBI23" s="6"/>
      <c r="QBJ23" s="6"/>
      <c r="QBK23" s="6"/>
      <c r="QBL23" s="6"/>
      <c r="QBM23" s="6"/>
      <c r="QBN23" s="6"/>
      <c r="QBO23" s="6"/>
      <c r="QBP23" s="6"/>
      <c r="QBQ23" s="6"/>
      <c r="QBR23" s="6"/>
      <c r="QBS23" s="6"/>
      <c r="QBT23" s="6"/>
      <c r="QBU23" s="6"/>
      <c r="QBV23" s="6"/>
      <c r="QBW23" s="6"/>
      <c r="QBX23" s="6"/>
      <c r="QBY23" s="6"/>
      <c r="QBZ23" s="6"/>
      <c r="QCA23" s="6"/>
      <c r="QCB23" s="6"/>
      <c r="QCC23" s="6"/>
      <c r="QCD23" s="6"/>
      <c r="QCE23" s="6"/>
      <c r="QCF23" s="6"/>
      <c r="QCG23" s="6"/>
      <c r="QCH23" s="6"/>
      <c r="QCI23" s="6"/>
      <c r="QCJ23" s="6"/>
      <c r="QCK23" s="6"/>
      <c r="QCL23" s="6"/>
      <c r="QCM23" s="6"/>
      <c r="QCN23" s="6"/>
      <c r="QCO23" s="6"/>
      <c r="QCP23" s="6"/>
      <c r="QCQ23" s="6"/>
      <c r="QCR23" s="6"/>
      <c r="QCS23" s="6"/>
      <c r="QCT23" s="6"/>
      <c r="QCU23" s="6"/>
      <c r="QCV23" s="6"/>
      <c r="QCW23" s="6"/>
      <c r="QCX23" s="6"/>
      <c r="QCY23" s="6"/>
      <c r="QCZ23" s="6"/>
      <c r="QDA23" s="6"/>
      <c r="QDB23" s="6"/>
      <c r="QDC23" s="6"/>
      <c r="QDD23" s="6"/>
      <c r="QDE23" s="6"/>
      <c r="QDF23" s="6"/>
      <c r="QDG23" s="6"/>
      <c r="QDH23" s="6"/>
      <c r="QDI23" s="6"/>
      <c r="QDJ23" s="6"/>
      <c r="QDK23" s="6"/>
      <c r="QDL23" s="6"/>
      <c r="QDM23" s="6"/>
      <c r="QDN23" s="6"/>
      <c r="QDO23" s="6"/>
      <c r="QDP23" s="6"/>
      <c r="QDQ23" s="6"/>
      <c r="QDR23" s="6"/>
      <c r="QDS23" s="6"/>
      <c r="QDT23" s="6"/>
      <c r="QDU23" s="6"/>
      <c r="QDV23" s="6"/>
      <c r="QDW23" s="6"/>
      <c r="QDX23" s="6"/>
      <c r="QDY23" s="6"/>
      <c r="QDZ23" s="6"/>
      <c r="QEA23" s="6"/>
      <c r="QEB23" s="6"/>
      <c r="QEC23" s="6"/>
      <c r="QED23" s="6"/>
      <c r="QEE23" s="6"/>
      <c r="QEF23" s="6"/>
      <c r="QEG23" s="6"/>
      <c r="QEH23" s="6"/>
      <c r="QEI23" s="6"/>
      <c r="QEJ23" s="6"/>
      <c r="QEK23" s="6"/>
      <c r="QEL23" s="6"/>
      <c r="QEM23" s="6"/>
      <c r="QEN23" s="6"/>
      <c r="QEO23" s="6"/>
      <c r="QEP23" s="6"/>
      <c r="QEQ23" s="6"/>
      <c r="QER23" s="6"/>
      <c r="QES23" s="6"/>
      <c r="QET23" s="6"/>
      <c r="QEU23" s="6"/>
      <c r="QEV23" s="6"/>
      <c r="QEW23" s="6"/>
      <c r="QEX23" s="6"/>
      <c r="QEY23" s="6"/>
      <c r="QEZ23" s="6"/>
      <c r="QFA23" s="6"/>
      <c r="QFB23" s="6"/>
      <c r="QFC23" s="6"/>
      <c r="QFD23" s="6"/>
      <c r="QFE23" s="6"/>
      <c r="QFF23" s="6"/>
      <c r="QFG23" s="6"/>
      <c r="QFH23" s="6"/>
      <c r="QFI23" s="6"/>
      <c r="QFJ23" s="6"/>
      <c r="QFK23" s="6"/>
      <c r="QFL23" s="6"/>
      <c r="QFM23" s="6"/>
      <c r="QFN23" s="6"/>
      <c r="QFO23" s="6"/>
      <c r="QFP23" s="6"/>
      <c r="QFQ23" s="6"/>
      <c r="QFR23" s="6"/>
      <c r="QFS23" s="6"/>
      <c r="QFT23" s="6"/>
      <c r="QFU23" s="6"/>
      <c r="QFV23" s="6"/>
      <c r="QFW23" s="6"/>
      <c r="QFX23" s="6"/>
      <c r="QFY23" s="6"/>
      <c r="QFZ23" s="6"/>
      <c r="QGA23" s="6"/>
      <c r="QGB23" s="6"/>
      <c r="QGC23" s="6"/>
      <c r="QGD23" s="6"/>
      <c r="QGE23" s="6"/>
      <c r="QGF23" s="6"/>
      <c r="QGG23" s="6"/>
      <c r="QGH23" s="6"/>
      <c r="QGI23" s="6"/>
      <c r="QGJ23" s="6"/>
      <c r="QGK23" s="6"/>
      <c r="QGL23" s="6"/>
      <c r="QGM23" s="6"/>
      <c r="QGN23" s="6"/>
      <c r="QGO23" s="6"/>
      <c r="QGP23" s="6"/>
      <c r="QGQ23" s="6"/>
      <c r="QGR23" s="6"/>
      <c r="QGS23" s="6"/>
      <c r="QGT23" s="6"/>
      <c r="QGU23" s="6"/>
      <c r="QGV23" s="6"/>
      <c r="QGW23" s="6"/>
      <c r="QGX23" s="6"/>
      <c r="QGY23" s="6"/>
      <c r="QGZ23" s="6"/>
      <c r="QHA23" s="6"/>
      <c r="QHB23" s="6"/>
      <c r="QHC23" s="6"/>
      <c r="QHD23" s="6"/>
      <c r="QHE23" s="6"/>
      <c r="QHF23" s="6"/>
      <c r="QHG23" s="6"/>
      <c r="QHH23" s="6"/>
      <c r="QHI23" s="6"/>
      <c r="QHJ23" s="6"/>
      <c r="QHK23" s="6"/>
      <c r="QHL23" s="6"/>
      <c r="QHM23" s="6"/>
      <c r="QHN23" s="6"/>
      <c r="QHO23" s="6"/>
      <c r="QHP23" s="6"/>
      <c r="QHQ23" s="6"/>
      <c r="QHR23" s="6"/>
      <c r="QHS23" s="6"/>
      <c r="QHT23" s="6"/>
      <c r="QHU23" s="6"/>
      <c r="QHV23" s="6"/>
      <c r="QHW23" s="6"/>
      <c r="QHX23" s="6"/>
      <c r="QHY23" s="6"/>
      <c r="QHZ23" s="6"/>
      <c r="QIA23" s="6"/>
      <c r="QIB23" s="6"/>
      <c r="QIC23" s="6"/>
      <c r="QID23" s="6"/>
      <c r="QIE23" s="6"/>
      <c r="QIF23" s="6"/>
      <c r="QIG23" s="6"/>
      <c r="QIH23" s="6"/>
      <c r="QII23" s="6"/>
      <c r="QIJ23" s="6"/>
      <c r="QIK23" s="6"/>
      <c r="QIL23" s="6"/>
      <c r="QIM23" s="6"/>
      <c r="QIN23" s="6"/>
      <c r="QIO23" s="6"/>
      <c r="QIP23" s="6"/>
      <c r="QIQ23" s="6"/>
      <c r="QIR23" s="6"/>
      <c r="QIS23" s="6"/>
      <c r="QIT23" s="6"/>
      <c r="QIU23" s="6"/>
      <c r="QIV23" s="6"/>
      <c r="QIW23" s="6"/>
      <c r="QIX23" s="6"/>
      <c r="QIY23" s="6"/>
      <c r="QIZ23" s="6"/>
      <c r="QJA23" s="6"/>
      <c r="QJB23" s="6"/>
      <c r="QJC23" s="6"/>
      <c r="QJD23" s="6"/>
      <c r="QJE23" s="6"/>
      <c r="QJF23" s="6"/>
      <c r="QJG23" s="6"/>
      <c r="QJH23" s="6"/>
      <c r="QJI23" s="6"/>
      <c r="QJJ23" s="6"/>
      <c r="QJK23" s="6"/>
      <c r="QJL23" s="6"/>
      <c r="QJM23" s="6"/>
      <c r="QJN23" s="6"/>
      <c r="QJO23" s="6"/>
      <c r="QJP23" s="6"/>
      <c r="QJQ23" s="6"/>
      <c r="QJR23" s="6"/>
      <c r="QJS23" s="6"/>
      <c r="QJT23" s="6"/>
      <c r="QJU23" s="6"/>
      <c r="QJV23" s="6"/>
      <c r="QJW23" s="6"/>
      <c r="QJX23" s="6"/>
      <c r="QJY23" s="6"/>
      <c r="QJZ23" s="6"/>
      <c r="QKA23" s="6"/>
      <c r="QKB23" s="6"/>
      <c r="QKC23" s="6"/>
      <c r="QKD23" s="6"/>
      <c r="QKE23" s="6"/>
      <c r="QKF23" s="6"/>
      <c r="QKG23" s="6"/>
      <c r="QKH23" s="6"/>
      <c r="QKI23" s="6"/>
      <c r="QKJ23" s="6"/>
      <c r="QKK23" s="6"/>
      <c r="QKL23" s="6"/>
      <c r="QKM23" s="6"/>
      <c r="QKN23" s="6"/>
      <c r="QKO23" s="6"/>
      <c r="QKP23" s="6"/>
      <c r="QKQ23" s="6"/>
      <c r="QKR23" s="6"/>
      <c r="QKS23" s="6"/>
      <c r="QKT23" s="6"/>
      <c r="QKU23" s="6"/>
      <c r="QKV23" s="6"/>
      <c r="QKW23" s="6"/>
      <c r="QKX23" s="6"/>
      <c r="QKY23" s="6"/>
      <c r="QKZ23" s="6"/>
      <c r="QLA23" s="6"/>
      <c r="QLB23" s="6"/>
      <c r="QLC23" s="6"/>
      <c r="QLD23" s="6"/>
      <c r="QLE23" s="6"/>
      <c r="QLF23" s="6"/>
      <c r="QLG23" s="6"/>
      <c r="QLH23" s="6"/>
      <c r="QLI23" s="6"/>
      <c r="QLJ23" s="6"/>
      <c r="QLK23" s="6"/>
      <c r="QLL23" s="6"/>
      <c r="QLM23" s="6"/>
      <c r="QLN23" s="6"/>
      <c r="QLO23" s="6"/>
      <c r="QLP23" s="6"/>
      <c r="QLQ23" s="6"/>
      <c r="QLR23" s="6"/>
      <c r="QLS23" s="6"/>
      <c r="QLT23" s="6"/>
      <c r="QLU23" s="6"/>
      <c r="QLV23" s="6"/>
      <c r="QLW23" s="6"/>
      <c r="QLX23" s="6"/>
      <c r="QLY23" s="6"/>
      <c r="QLZ23" s="6"/>
      <c r="QMA23" s="6"/>
      <c r="QMB23" s="6"/>
      <c r="QMC23" s="6"/>
      <c r="QMD23" s="6"/>
      <c r="QME23" s="6"/>
      <c r="QMF23" s="6"/>
      <c r="QMG23" s="6"/>
      <c r="QMH23" s="6"/>
      <c r="QMI23" s="6"/>
      <c r="QMJ23" s="6"/>
      <c r="QMK23" s="6"/>
      <c r="QML23" s="6"/>
      <c r="QMM23" s="6"/>
      <c r="QMN23" s="6"/>
      <c r="QMO23" s="6"/>
      <c r="QMP23" s="6"/>
      <c r="QMQ23" s="6"/>
      <c r="QMR23" s="6"/>
      <c r="QMS23" s="6"/>
      <c r="QMT23" s="6"/>
      <c r="QMU23" s="6"/>
      <c r="QMV23" s="6"/>
      <c r="QMW23" s="6"/>
      <c r="QMX23" s="6"/>
      <c r="QMY23" s="6"/>
      <c r="QMZ23" s="6"/>
      <c r="QNA23" s="6"/>
      <c r="QNB23" s="6"/>
      <c r="QNC23" s="6"/>
      <c r="QND23" s="6"/>
      <c r="QNE23" s="6"/>
      <c r="QNF23" s="6"/>
      <c r="QNG23" s="6"/>
      <c r="QNH23" s="6"/>
      <c r="QNI23" s="6"/>
      <c r="QNJ23" s="6"/>
      <c r="QNK23" s="6"/>
      <c r="QNL23" s="6"/>
      <c r="QNM23" s="6"/>
      <c r="QNN23" s="6"/>
      <c r="QNO23" s="6"/>
      <c r="QNP23" s="6"/>
      <c r="QNQ23" s="6"/>
      <c r="QNR23" s="6"/>
      <c r="QNS23" s="6"/>
      <c r="QNT23" s="6"/>
      <c r="QNU23" s="6"/>
      <c r="QNV23" s="6"/>
      <c r="QNW23" s="6"/>
      <c r="QNX23" s="6"/>
      <c r="QNY23" s="6"/>
      <c r="QNZ23" s="6"/>
      <c r="QOA23" s="6"/>
      <c r="QOB23" s="6"/>
      <c r="QOC23" s="6"/>
      <c r="QOD23" s="6"/>
      <c r="QOE23" s="6"/>
      <c r="QOF23" s="6"/>
      <c r="QOG23" s="6"/>
      <c r="QOH23" s="6"/>
      <c r="QOI23" s="6"/>
      <c r="QOJ23" s="6"/>
      <c r="QOK23" s="6"/>
      <c r="QOL23" s="6"/>
      <c r="QOM23" s="6"/>
      <c r="QON23" s="6"/>
      <c r="QOO23" s="6"/>
      <c r="QOP23" s="6"/>
      <c r="QOQ23" s="6"/>
      <c r="QOR23" s="6"/>
      <c r="QOS23" s="6"/>
      <c r="QOT23" s="6"/>
      <c r="QOU23" s="6"/>
      <c r="QOV23" s="6"/>
      <c r="QOW23" s="6"/>
      <c r="QOX23" s="6"/>
      <c r="QOY23" s="6"/>
      <c r="QOZ23" s="6"/>
      <c r="QPA23" s="6"/>
      <c r="QPB23" s="6"/>
      <c r="QPC23" s="6"/>
      <c r="QPD23" s="6"/>
      <c r="QPE23" s="6"/>
      <c r="QPF23" s="6"/>
      <c r="QPG23" s="6"/>
      <c r="QPH23" s="6"/>
      <c r="QPI23" s="6"/>
      <c r="QPJ23" s="6"/>
      <c r="QPK23" s="6"/>
      <c r="QPL23" s="6"/>
      <c r="QPM23" s="6"/>
      <c r="QPN23" s="6"/>
      <c r="QPO23" s="6"/>
      <c r="QPP23" s="6"/>
      <c r="QPQ23" s="6"/>
      <c r="QPR23" s="6"/>
      <c r="QPS23" s="6"/>
      <c r="QPT23" s="6"/>
      <c r="QPU23" s="6"/>
      <c r="QPV23" s="6"/>
      <c r="QPW23" s="6"/>
      <c r="QPX23" s="6"/>
      <c r="QPY23" s="6"/>
      <c r="QPZ23" s="6"/>
      <c r="QQA23" s="6"/>
      <c r="QQB23" s="6"/>
      <c r="QQC23" s="6"/>
      <c r="QQD23" s="6"/>
      <c r="QQE23" s="6"/>
      <c r="QQF23" s="6"/>
      <c r="QQG23" s="6"/>
      <c r="QQH23" s="6"/>
      <c r="QQI23" s="6"/>
      <c r="QQJ23" s="6"/>
      <c r="QQK23" s="6"/>
      <c r="QQL23" s="6"/>
      <c r="QQM23" s="6"/>
      <c r="QQN23" s="6"/>
      <c r="QQO23" s="6"/>
      <c r="QQP23" s="6"/>
      <c r="QQQ23" s="6"/>
      <c r="QQR23" s="6"/>
      <c r="QQS23" s="6"/>
      <c r="QQT23" s="6"/>
      <c r="QQU23" s="6"/>
      <c r="QQV23" s="6"/>
      <c r="QQW23" s="6"/>
      <c r="QQX23" s="6"/>
      <c r="QQY23" s="6"/>
      <c r="QQZ23" s="6"/>
      <c r="QRA23" s="6"/>
      <c r="QRB23" s="6"/>
      <c r="QRC23" s="6"/>
      <c r="QRD23" s="6"/>
      <c r="QRE23" s="6"/>
      <c r="QRF23" s="6"/>
      <c r="QRG23" s="6"/>
      <c r="QRH23" s="6"/>
      <c r="QRI23" s="6"/>
      <c r="QRJ23" s="6"/>
      <c r="QRK23" s="6"/>
      <c r="QRL23" s="6"/>
      <c r="QRM23" s="6"/>
      <c r="QRN23" s="6"/>
      <c r="QRO23" s="6"/>
      <c r="QRP23" s="6"/>
      <c r="QRQ23" s="6"/>
      <c r="QRR23" s="6"/>
      <c r="QRS23" s="6"/>
      <c r="QRT23" s="6"/>
      <c r="QRU23" s="6"/>
      <c r="QRV23" s="6"/>
      <c r="QRW23" s="6"/>
      <c r="QRX23" s="6"/>
      <c r="QRY23" s="6"/>
      <c r="QRZ23" s="6"/>
      <c r="QSA23" s="6"/>
      <c r="QSB23" s="6"/>
      <c r="QSC23" s="6"/>
      <c r="QSD23" s="6"/>
      <c r="QSE23" s="6"/>
      <c r="QSF23" s="6"/>
      <c r="QSG23" s="6"/>
      <c r="QSH23" s="6"/>
      <c r="QSI23" s="6"/>
      <c r="QSJ23" s="6"/>
      <c r="QSK23" s="6"/>
      <c r="QSL23" s="6"/>
      <c r="QSM23" s="6"/>
      <c r="QSN23" s="6"/>
      <c r="QSO23" s="6"/>
      <c r="QSP23" s="6"/>
      <c r="QSQ23" s="6"/>
      <c r="QSR23" s="6"/>
      <c r="QSS23" s="6"/>
      <c r="QST23" s="6"/>
      <c r="QSU23" s="6"/>
      <c r="QSV23" s="6"/>
      <c r="QSW23" s="6"/>
      <c r="QSX23" s="6"/>
      <c r="QSY23" s="6"/>
      <c r="QSZ23" s="6"/>
      <c r="QTA23" s="6"/>
      <c r="QTB23" s="6"/>
      <c r="QTC23" s="6"/>
      <c r="QTD23" s="6"/>
      <c r="QTE23" s="6"/>
      <c r="QTF23" s="6"/>
      <c r="QTG23" s="6"/>
      <c r="QTH23" s="6"/>
      <c r="QTI23" s="6"/>
      <c r="QTJ23" s="6"/>
      <c r="QTK23" s="6"/>
      <c r="QTL23" s="6"/>
      <c r="QTM23" s="6"/>
      <c r="QTN23" s="6"/>
      <c r="QTO23" s="6"/>
      <c r="QTP23" s="6"/>
      <c r="QTQ23" s="6"/>
      <c r="QTR23" s="6"/>
      <c r="QTS23" s="6"/>
      <c r="QTT23" s="6"/>
      <c r="QTU23" s="6"/>
      <c r="QTV23" s="6"/>
      <c r="QTW23" s="6"/>
      <c r="QTX23" s="6"/>
      <c r="QTY23" s="6"/>
      <c r="QTZ23" s="6"/>
      <c r="QUA23" s="6"/>
      <c r="QUB23" s="6"/>
      <c r="QUC23" s="6"/>
      <c r="QUD23" s="6"/>
      <c r="QUE23" s="6"/>
      <c r="QUF23" s="6"/>
      <c r="QUG23" s="6"/>
      <c r="QUH23" s="6"/>
      <c r="QUI23" s="6"/>
      <c r="QUJ23" s="6"/>
      <c r="QUK23" s="6"/>
      <c r="QUL23" s="6"/>
      <c r="QUM23" s="6"/>
      <c r="QUN23" s="6"/>
      <c r="QUO23" s="6"/>
      <c r="QUP23" s="6"/>
      <c r="QUQ23" s="6"/>
      <c r="QUR23" s="6"/>
      <c r="QUS23" s="6"/>
      <c r="QUT23" s="6"/>
      <c r="QUU23" s="6"/>
      <c r="QUV23" s="6"/>
      <c r="QUW23" s="6"/>
      <c r="QUX23" s="6"/>
      <c r="QUY23" s="6"/>
      <c r="QUZ23" s="6"/>
      <c r="QVA23" s="6"/>
      <c r="QVB23" s="6"/>
      <c r="QVC23" s="6"/>
      <c r="QVD23" s="6"/>
      <c r="QVE23" s="6"/>
      <c r="QVF23" s="6"/>
      <c r="QVG23" s="6"/>
      <c r="QVH23" s="6"/>
      <c r="QVI23" s="6"/>
      <c r="QVJ23" s="6"/>
      <c r="QVK23" s="6"/>
      <c r="QVL23" s="6"/>
      <c r="QVM23" s="6"/>
      <c r="QVN23" s="6"/>
      <c r="QVO23" s="6"/>
      <c r="QVP23" s="6"/>
      <c r="QVQ23" s="6"/>
      <c r="QVR23" s="6"/>
      <c r="QVS23" s="6"/>
      <c r="QVT23" s="6"/>
      <c r="QVU23" s="6"/>
      <c r="QVV23" s="6"/>
      <c r="QVW23" s="6"/>
      <c r="QVX23" s="6"/>
      <c r="QVY23" s="6"/>
      <c r="QVZ23" s="6"/>
      <c r="QWA23" s="6"/>
      <c r="QWB23" s="6"/>
      <c r="QWC23" s="6"/>
      <c r="QWD23" s="6"/>
      <c r="QWE23" s="6"/>
      <c r="QWF23" s="6"/>
      <c r="QWG23" s="6"/>
      <c r="QWH23" s="6"/>
      <c r="QWI23" s="6"/>
      <c r="QWJ23" s="6"/>
      <c r="QWK23" s="6"/>
      <c r="QWL23" s="6"/>
      <c r="QWM23" s="6"/>
      <c r="QWN23" s="6"/>
      <c r="QWO23" s="6"/>
      <c r="QWP23" s="6"/>
      <c r="QWQ23" s="6"/>
      <c r="QWR23" s="6"/>
      <c r="QWS23" s="6"/>
      <c r="QWT23" s="6"/>
      <c r="QWU23" s="6"/>
      <c r="QWV23" s="6"/>
      <c r="QWW23" s="6"/>
      <c r="QWX23" s="6"/>
      <c r="QWY23" s="6"/>
      <c r="QWZ23" s="6"/>
      <c r="QXA23" s="6"/>
      <c r="QXB23" s="6"/>
      <c r="QXC23" s="6"/>
      <c r="QXD23" s="6"/>
      <c r="QXE23" s="6"/>
      <c r="QXF23" s="6"/>
      <c r="QXG23" s="6"/>
      <c r="QXH23" s="6"/>
      <c r="QXI23" s="6"/>
      <c r="QXJ23" s="6"/>
      <c r="QXK23" s="6"/>
      <c r="QXL23" s="6"/>
      <c r="QXM23" s="6"/>
      <c r="QXN23" s="6"/>
      <c r="QXO23" s="6"/>
      <c r="QXP23" s="6"/>
      <c r="QXQ23" s="6"/>
      <c r="QXR23" s="6"/>
      <c r="QXS23" s="6"/>
      <c r="QXT23" s="6"/>
      <c r="QXU23" s="6"/>
      <c r="QXV23" s="6"/>
      <c r="QXW23" s="6"/>
      <c r="QXX23" s="6"/>
      <c r="QXY23" s="6"/>
      <c r="QXZ23" s="6"/>
      <c r="QYA23" s="6"/>
      <c r="QYB23" s="6"/>
      <c r="QYC23" s="6"/>
      <c r="QYD23" s="6"/>
      <c r="QYE23" s="6"/>
      <c r="QYF23" s="6"/>
      <c r="QYG23" s="6"/>
      <c r="QYH23" s="6"/>
      <c r="QYI23" s="6"/>
      <c r="QYJ23" s="6"/>
      <c r="QYK23" s="6"/>
      <c r="QYL23" s="6"/>
      <c r="QYM23" s="6"/>
      <c r="QYN23" s="6"/>
      <c r="QYO23" s="6"/>
      <c r="QYP23" s="6"/>
      <c r="QYQ23" s="6"/>
      <c r="QYR23" s="6"/>
      <c r="QYS23" s="6"/>
      <c r="QYT23" s="6"/>
      <c r="QYU23" s="6"/>
      <c r="QYV23" s="6"/>
      <c r="QYW23" s="6"/>
      <c r="QYX23" s="6"/>
      <c r="QYY23" s="6"/>
      <c r="QYZ23" s="6"/>
      <c r="QZA23" s="6"/>
      <c r="QZB23" s="6"/>
      <c r="QZC23" s="6"/>
      <c r="QZD23" s="6"/>
      <c r="QZE23" s="6"/>
      <c r="QZF23" s="6"/>
      <c r="QZG23" s="6"/>
      <c r="QZH23" s="6"/>
      <c r="QZI23" s="6"/>
      <c r="QZJ23" s="6"/>
      <c r="QZK23" s="6"/>
      <c r="QZL23" s="6"/>
      <c r="QZM23" s="6"/>
      <c r="QZN23" s="6"/>
      <c r="QZO23" s="6"/>
      <c r="QZP23" s="6"/>
      <c r="QZQ23" s="6"/>
      <c r="QZR23" s="6"/>
      <c r="QZS23" s="6"/>
      <c r="QZT23" s="6"/>
      <c r="QZU23" s="6"/>
      <c r="QZV23" s="6"/>
      <c r="QZW23" s="6"/>
      <c r="QZX23" s="6"/>
      <c r="QZY23" s="6"/>
      <c r="QZZ23" s="6"/>
      <c r="RAA23" s="6"/>
      <c r="RAB23" s="6"/>
      <c r="RAC23" s="6"/>
      <c r="RAD23" s="6"/>
      <c r="RAE23" s="6"/>
      <c r="RAF23" s="6"/>
      <c r="RAG23" s="6"/>
      <c r="RAH23" s="6"/>
      <c r="RAI23" s="6"/>
      <c r="RAJ23" s="6"/>
      <c r="RAK23" s="6"/>
      <c r="RAL23" s="6"/>
      <c r="RAM23" s="6"/>
      <c r="RAN23" s="6"/>
      <c r="RAO23" s="6"/>
      <c r="RAP23" s="6"/>
      <c r="RAQ23" s="6"/>
      <c r="RAR23" s="6"/>
      <c r="RAS23" s="6"/>
      <c r="RAT23" s="6"/>
      <c r="RAU23" s="6"/>
      <c r="RAV23" s="6"/>
      <c r="RAW23" s="6"/>
      <c r="RAX23" s="6"/>
      <c r="RAY23" s="6"/>
      <c r="RAZ23" s="6"/>
      <c r="RBA23" s="6"/>
      <c r="RBB23" s="6"/>
      <c r="RBC23" s="6"/>
      <c r="RBD23" s="6"/>
      <c r="RBE23" s="6"/>
      <c r="RBF23" s="6"/>
      <c r="RBG23" s="6"/>
      <c r="RBH23" s="6"/>
      <c r="RBI23" s="6"/>
      <c r="RBJ23" s="6"/>
      <c r="RBK23" s="6"/>
      <c r="RBL23" s="6"/>
      <c r="RBM23" s="6"/>
      <c r="RBN23" s="6"/>
      <c r="RBO23" s="6"/>
      <c r="RBP23" s="6"/>
      <c r="RBQ23" s="6"/>
      <c r="RBR23" s="6"/>
      <c r="RBS23" s="6"/>
      <c r="RBT23" s="6"/>
      <c r="RBU23" s="6"/>
      <c r="RBV23" s="6"/>
      <c r="RBW23" s="6"/>
      <c r="RBX23" s="6"/>
      <c r="RBY23" s="6"/>
      <c r="RBZ23" s="6"/>
      <c r="RCA23" s="6"/>
      <c r="RCB23" s="6"/>
      <c r="RCC23" s="6"/>
      <c r="RCD23" s="6"/>
      <c r="RCE23" s="6"/>
      <c r="RCF23" s="6"/>
      <c r="RCG23" s="6"/>
      <c r="RCH23" s="6"/>
      <c r="RCI23" s="6"/>
      <c r="RCJ23" s="6"/>
      <c r="RCK23" s="6"/>
      <c r="RCL23" s="6"/>
      <c r="RCM23" s="6"/>
      <c r="RCN23" s="6"/>
      <c r="RCO23" s="6"/>
      <c r="RCP23" s="6"/>
      <c r="RCQ23" s="6"/>
      <c r="RCR23" s="6"/>
      <c r="RCS23" s="6"/>
      <c r="RCT23" s="6"/>
      <c r="RCU23" s="6"/>
      <c r="RCV23" s="6"/>
      <c r="RCW23" s="6"/>
      <c r="RCX23" s="6"/>
      <c r="RCY23" s="6"/>
      <c r="RCZ23" s="6"/>
      <c r="RDA23" s="6"/>
      <c r="RDB23" s="6"/>
      <c r="RDC23" s="6"/>
      <c r="RDD23" s="6"/>
      <c r="RDE23" s="6"/>
      <c r="RDF23" s="6"/>
      <c r="RDG23" s="6"/>
      <c r="RDH23" s="6"/>
      <c r="RDI23" s="6"/>
      <c r="RDJ23" s="6"/>
      <c r="RDK23" s="6"/>
      <c r="RDL23" s="6"/>
      <c r="RDM23" s="6"/>
      <c r="RDN23" s="6"/>
      <c r="RDO23" s="6"/>
      <c r="RDP23" s="6"/>
      <c r="RDQ23" s="6"/>
      <c r="RDR23" s="6"/>
      <c r="RDS23" s="6"/>
      <c r="RDT23" s="6"/>
      <c r="RDU23" s="6"/>
      <c r="RDV23" s="6"/>
      <c r="RDW23" s="6"/>
      <c r="RDX23" s="6"/>
      <c r="RDY23" s="6"/>
      <c r="RDZ23" s="6"/>
      <c r="REA23" s="6"/>
      <c r="REB23" s="6"/>
      <c r="REC23" s="6"/>
      <c r="RED23" s="6"/>
      <c r="REE23" s="6"/>
      <c r="REF23" s="6"/>
      <c r="REG23" s="6"/>
      <c r="REH23" s="6"/>
      <c r="REI23" s="6"/>
      <c r="REJ23" s="6"/>
      <c r="REK23" s="6"/>
      <c r="REL23" s="6"/>
      <c r="REM23" s="6"/>
      <c r="REN23" s="6"/>
      <c r="REO23" s="6"/>
      <c r="REP23" s="6"/>
      <c r="REQ23" s="6"/>
      <c r="RER23" s="6"/>
      <c r="RES23" s="6"/>
      <c r="RET23" s="6"/>
      <c r="REU23" s="6"/>
      <c r="REV23" s="6"/>
      <c r="REW23" s="6"/>
      <c r="REX23" s="6"/>
      <c r="REY23" s="6"/>
      <c r="REZ23" s="6"/>
      <c r="RFA23" s="6"/>
      <c r="RFB23" s="6"/>
      <c r="RFC23" s="6"/>
      <c r="RFD23" s="6"/>
      <c r="RFE23" s="6"/>
      <c r="RFF23" s="6"/>
      <c r="RFG23" s="6"/>
      <c r="RFH23" s="6"/>
      <c r="RFI23" s="6"/>
      <c r="RFJ23" s="6"/>
      <c r="RFK23" s="6"/>
      <c r="RFL23" s="6"/>
      <c r="RFM23" s="6"/>
      <c r="RFN23" s="6"/>
      <c r="RFO23" s="6"/>
      <c r="RFP23" s="6"/>
      <c r="RFQ23" s="6"/>
      <c r="RFR23" s="6"/>
      <c r="RFS23" s="6"/>
      <c r="RFT23" s="6"/>
      <c r="RFU23" s="6"/>
      <c r="RFV23" s="6"/>
      <c r="RFW23" s="6"/>
      <c r="RFX23" s="6"/>
      <c r="RFY23" s="6"/>
      <c r="RFZ23" s="6"/>
      <c r="RGA23" s="6"/>
      <c r="RGB23" s="6"/>
      <c r="RGC23" s="6"/>
      <c r="RGD23" s="6"/>
      <c r="RGE23" s="6"/>
      <c r="RGF23" s="6"/>
      <c r="RGG23" s="6"/>
      <c r="RGH23" s="6"/>
      <c r="RGI23" s="6"/>
      <c r="RGJ23" s="6"/>
      <c r="RGK23" s="6"/>
      <c r="RGL23" s="6"/>
      <c r="RGM23" s="6"/>
      <c r="RGN23" s="6"/>
      <c r="RGO23" s="6"/>
      <c r="RGP23" s="6"/>
      <c r="RGQ23" s="6"/>
      <c r="RGR23" s="6"/>
      <c r="RGS23" s="6"/>
      <c r="RGT23" s="6"/>
      <c r="RGU23" s="6"/>
      <c r="RGV23" s="6"/>
      <c r="RGW23" s="6"/>
      <c r="RGX23" s="6"/>
      <c r="RGY23" s="6"/>
      <c r="RGZ23" s="6"/>
      <c r="RHA23" s="6"/>
      <c r="RHB23" s="6"/>
      <c r="RHC23" s="6"/>
      <c r="RHD23" s="6"/>
      <c r="RHE23" s="6"/>
      <c r="RHF23" s="6"/>
      <c r="RHG23" s="6"/>
      <c r="RHH23" s="6"/>
      <c r="RHI23" s="6"/>
      <c r="RHJ23" s="6"/>
      <c r="RHK23" s="6"/>
      <c r="RHL23" s="6"/>
      <c r="RHM23" s="6"/>
      <c r="RHN23" s="6"/>
      <c r="RHO23" s="6"/>
      <c r="RHP23" s="6"/>
      <c r="RHQ23" s="6"/>
      <c r="RHR23" s="6"/>
      <c r="RHS23" s="6"/>
      <c r="RHT23" s="6"/>
      <c r="RHU23" s="6"/>
      <c r="RHV23" s="6"/>
      <c r="RHW23" s="6"/>
      <c r="RHX23" s="6"/>
      <c r="RHY23" s="6"/>
      <c r="RHZ23" s="6"/>
      <c r="RIA23" s="6"/>
      <c r="RIB23" s="6"/>
      <c r="RIC23" s="6"/>
      <c r="RID23" s="6"/>
      <c r="RIE23" s="6"/>
      <c r="RIF23" s="6"/>
      <c r="RIG23" s="6"/>
      <c r="RIH23" s="6"/>
      <c r="RII23" s="6"/>
      <c r="RIJ23" s="6"/>
      <c r="RIK23" s="6"/>
      <c r="RIL23" s="6"/>
      <c r="RIM23" s="6"/>
      <c r="RIN23" s="6"/>
      <c r="RIO23" s="6"/>
      <c r="RIP23" s="6"/>
      <c r="RIQ23" s="6"/>
      <c r="RIR23" s="6"/>
      <c r="RIS23" s="6"/>
      <c r="RIT23" s="6"/>
      <c r="RIU23" s="6"/>
      <c r="RIV23" s="6"/>
      <c r="RIW23" s="6"/>
      <c r="RIX23" s="6"/>
      <c r="RIY23" s="6"/>
      <c r="RIZ23" s="6"/>
      <c r="RJA23" s="6"/>
      <c r="RJB23" s="6"/>
      <c r="RJC23" s="6"/>
      <c r="RJD23" s="6"/>
      <c r="RJE23" s="6"/>
      <c r="RJF23" s="6"/>
      <c r="RJG23" s="6"/>
      <c r="RJH23" s="6"/>
      <c r="RJI23" s="6"/>
      <c r="RJJ23" s="6"/>
      <c r="RJK23" s="6"/>
      <c r="RJL23" s="6"/>
      <c r="RJM23" s="6"/>
      <c r="RJN23" s="6"/>
      <c r="RJO23" s="6"/>
      <c r="RJP23" s="6"/>
      <c r="RJQ23" s="6"/>
      <c r="RJR23" s="6"/>
      <c r="RJS23" s="6"/>
      <c r="RJT23" s="6"/>
      <c r="RJU23" s="6"/>
      <c r="RJV23" s="6"/>
      <c r="RJW23" s="6"/>
      <c r="RJX23" s="6"/>
      <c r="RJY23" s="6"/>
      <c r="RJZ23" s="6"/>
      <c r="RKA23" s="6"/>
      <c r="RKB23" s="6"/>
      <c r="RKC23" s="6"/>
      <c r="RKD23" s="6"/>
      <c r="RKE23" s="6"/>
      <c r="RKF23" s="6"/>
      <c r="RKG23" s="6"/>
      <c r="RKH23" s="6"/>
      <c r="RKI23" s="6"/>
      <c r="RKJ23" s="6"/>
      <c r="RKK23" s="6"/>
      <c r="RKL23" s="6"/>
      <c r="RKM23" s="6"/>
      <c r="RKN23" s="6"/>
      <c r="RKO23" s="6"/>
      <c r="RKP23" s="6"/>
      <c r="RKQ23" s="6"/>
      <c r="RKR23" s="6"/>
      <c r="RKS23" s="6"/>
      <c r="RKT23" s="6"/>
      <c r="RKU23" s="6"/>
      <c r="RKV23" s="6"/>
      <c r="RKW23" s="6"/>
      <c r="RKX23" s="6"/>
      <c r="RKY23" s="6"/>
      <c r="RKZ23" s="6"/>
      <c r="RLA23" s="6"/>
      <c r="RLB23" s="6"/>
      <c r="RLC23" s="6"/>
      <c r="RLD23" s="6"/>
      <c r="RLE23" s="6"/>
      <c r="RLF23" s="6"/>
      <c r="RLG23" s="6"/>
      <c r="RLH23" s="6"/>
      <c r="RLI23" s="6"/>
      <c r="RLJ23" s="6"/>
      <c r="RLK23" s="6"/>
      <c r="RLL23" s="6"/>
      <c r="RLM23" s="6"/>
      <c r="RLN23" s="6"/>
      <c r="RLO23" s="6"/>
      <c r="RLP23" s="6"/>
      <c r="RLQ23" s="6"/>
      <c r="RLR23" s="6"/>
      <c r="RLS23" s="6"/>
      <c r="RLT23" s="6"/>
      <c r="RLU23" s="6"/>
      <c r="RLV23" s="6"/>
      <c r="RLW23" s="6"/>
      <c r="RLX23" s="6"/>
      <c r="RLY23" s="6"/>
      <c r="RLZ23" s="6"/>
      <c r="RMA23" s="6"/>
      <c r="RMB23" s="6"/>
      <c r="RMC23" s="6"/>
      <c r="RMD23" s="6"/>
      <c r="RME23" s="6"/>
      <c r="RMF23" s="6"/>
      <c r="RMG23" s="6"/>
      <c r="RMH23" s="6"/>
      <c r="RMI23" s="6"/>
      <c r="RMJ23" s="6"/>
      <c r="RMK23" s="6"/>
      <c r="RML23" s="6"/>
      <c r="RMM23" s="6"/>
      <c r="RMN23" s="6"/>
      <c r="RMO23" s="6"/>
      <c r="RMP23" s="6"/>
      <c r="RMQ23" s="6"/>
      <c r="RMR23" s="6"/>
      <c r="RMS23" s="6"/>
      <c r="RMT23" s="6"/>
      <c r="RMU23" s="6"/>
      <c r="RMV23" s="6"/>
      <c r="RMW23" s="6"/>
      <c r="RMX23" s="6"/>
      <c r="RMY23" s="6"/>
      <c r="RMZ23" s="6"/>
      <c r="RNA23" s="6"/>
      <c r="RNB23" s="6"/>
      <c r="RNC23" s="6"/>
      <c r="RND23" s="6"/>
      <c r="RNE23" s="6"/>
      <c r="RNF23" s="6"/>
      <c r="RNG23" s="6"/>
      <c r="RNH23" s="6"/>
      <c r="RNI23" s="6"/>
      <c r="RNJ23" s="6"/>
      <c r="RNK23" s="6"/>
      <c r="RNL23" s="6"/>
      <c r="RNM23" s="6"/>
      <c r="RNN23" s="6"/>
      <c r="RNO23" s="6"/>
      <c r="RNP23" s="6"/>
      <c r="RNQ23" s="6"/>
      <c r="RNR23" s="6"/>
      <c r="RNS23" s="6"/>
      <c r="RNT23" s="6"/>
      <c r="RNU23" s="6"/>
      <c r="RNV23" s="6"/>
      <c r="RNW23" s="6"/>
      <c r="RNX23" s="6"/>
      <c r="RNY23" s="6"/>
      <c r="RNZ23" s="6"/>
      <c r="ROA23" s="6"/>
      <c r="ROB23" s="6"/>
      <c r="ROC23" s="6"/>
      <c r="ROD23" s="6"/>
      <c r="ROE23" s="6"/>
      <c r="ROF23" s="6"/>
      <c r="ROG23" s="6"/>
      <c r="ROH23" s="6"/>
      <c r="ROI23" s="6"/>
      <c r="ROJ23" s="6"/>
      <c r="ROK23" s="6"/>
      <c r="ROL23" s="6"/>
      <c r="ROM23" s="6"/>
      <c r="RON23" s="6"/>
      <c r="ROO23" s="6"/>
      <c r="ROP23" s="6"/>
      <c r="ROQ23" s="6"/>
      <c r="ROR23" s="6"/>
      <c r="ROS23" s="6"/>
      <c r="ROT23" s="6"/>
      <c r="ROU23" s="6"/>
      <c r="ROV23" s="6"/>
      <c r="ROW23" s="6"/>
      <c r="ROX23" s="6"/>
      <c r="ROY23" s="6"/>
      <c r="ROZ23" s="6"/>
      <c r="RPA23" s="6"/>
      <c r="RPB23" s="6"/>
      <c r="RPC23" s="6"/>
      <c r="RPD23" s="6"/>
      <c r="RPE23" s="6"/>
      <c r="RPF23" s="6"/>
      <c r="RPG23" s="6"/>
      <c r="RPH23" s="6"/>
      <c r="RPI23" s="6"/>
      <c r="RPJ23" s="6"/>
      <c r="RPK23" s="6"/>
      <c r="RPL23" s="6"/>
      <c r="RPM23" s="6"/>
      <c r="RPN23" s="6"/>
      <c r="RPO23" s="6"/>
      <c r="RPP23" s="6"/>
      <c r="RPQ23" s="6"/>
      <c r="RPR23" s="6"/>
      <c r="RPS23" s="6"/>
      <c r="RPT23" s="6"/>
      <c r="RPU23" s="6"/>
      <c r="RPV23" s="6"/>
      <c r="RPW23" s="6"/>
      <c r="RPX23" s="6"/>
      <c r="RPY23" s="6"/>
      <c r="RPZ23" s="6"/>
      <c r="RQA23" s="6"/>
      <c r="RQB23" s="6"/>
      <c r="RQC23" s="6"/>
      <c r="RQD23" s="6"/>
      <c r="RQE23" s="6"/>
      <c r="RQF23" s="6"/>
      <c r="RQG23" s="6"/>
      <c r="RQH23" s="6"/>
      <c r="RQI23" s="6"/>
      <c r="RQJ23" s="6"/>
      <c r="RQK23" s="6"/>
      <c r="RQL23" s="6"/>
      <c r="RQM23" s="6"/>
      <c r="RQN23" s="6"/>
      <c r="RQO23" s="6"/>
      <c r="RQP23" s="6"/>
      <c r="RQQ23" s="6"/>
      <c r="RQR23" s="6"/>
      <c r="RQS23" s="6"/>
      <c r="RQT23" s="6"/>
      <c r="RQU23" s="6"/>
      <c r="RQV23" s="6"/>
      <c r="RQW23" s="6"/>
      <c r="RQX23" s="6"/>
      <c r="RQY23" s="6"/>
      <c r="RQZ23" s="6"/>
      <c r="RRA23" s="6"/>
      <c r="RRB23" s="6"/>
      <c r="RRC23" s="6"/>
      <c r="RRD23" s="6"/>
      <c r="RRE23" s="6"/>
      <c r="RRF23" s="6"/>
      <c r="RRG23" s="6"/>
      <c r="RRH23" s="6"/>
      <c r="RRI23" s="6"/>
      <c r="RRJ23" s="6"/>
      <c r="RRK23" s="6"/>
      <c r="RRL23" s="6"/>
      <c r="RRM23" s="6"/>
      <c r="RRN23" s="6"/>
      <c r="RRO23" s="6"/>
      <c r="RRP23" s="6"/>
      <c r="RRQ23" s="6"/>
      <c r="RRR23" s="6"/>
      <c r="RRS23" s="6"/>
      <c r="RRT23" s="6"/>
      <c r="RRU23" s="6"/>
      <c r="RRV23" s="6"/>
      <c r="RRW23" s="6"/>
      <c r="RRX23" s="6"/>
      <c r="RRY23" s="6"/>
      <c r="RRZ23" s="6"/>
      <c r="RSA23" s="6"/>
      <c r="RSB23" s="6"/>
      <c r="RSC23" s="6"/>
      <c r="RSD23" s="6"/>
      <c r="RSE23" s="6"/>
      <c r="RSF23" s="6"/>
      <c r="RSG23" s="6"/>
      <c r="RSH23" s="6"/>
      <c r="RSI23" s="6"/>
      <c r="RSJ23" s="6"/>
      <c r="RSK23" s="6"/>
      <c r="RSL23" s="6"/>
      <c r="RSM23" s="6"/>
      <c r="RSN23" s="6"/>
      <c r="RSO23" s="6"/>
      <c r="RSP23" s="6"/>
      <c r="RSQ23" s="6"/>
      <c r="RSR23" s="6"/>
      <c r="RSS23" s="6"/>
      <c r="RST23" s="6"/>
      <c r="RSU23" s="6"/>
      <c r="RSV23" s="6"/>
      <c r="RSW23" s="6"/>
      <c r="RSX23" s="6"/>
      <c r="RSY23" s="6"/>
      <c r="RSZ23" s="6"/>
      <c r="RTA23" s="6"/>
      <c r="RTB23" s="6"/>
      <c r="RTC23" s="6"/>
      <c r="RTD23" s="6"/>
      <c r="RTE23" s="6"/>
      <c r="RTF23" s="6"/>
      <c r="RTG23" s="6"/>
      <c r="RTH23" s="6"/>
      <c r="RTI23" s="6"/>
      <c r="RTJ23" s="6"/>
      <c r="RTK23" s="6"/>
      <c r="RTL23" s="6"/>
      <c r="RTM23" s="6"/>
      <c r="RTN23" s="6"/>
      <c r="RTO23" s="6"/>
      <c r="RTP23" s="6"/>
      <c r="RTQ23" s="6"/>
      <c r="RTR23" s="6"/>
      <c r="RTS23" s="6"/>
      <c r="RTT23" s="6"/>
      <c r="RTU23" s="6"/>
      <c r="RTV23" s="6"/>
      <c r="RTW23" s="6"/>
      <c r="RTX23" s="6"/>
      <c r="RTY23" s="6"/>
      <c r="RTZ23" s="6"/>
      <c r="RUA23" s="6"/>
      <c r="RUB23" s="6"/>
      <c r="RUC23" s="6"/>
      <c r="RUD23" s="6"/>
      <c r="RUE23" s="6"/>
      <c r="RUF23" s="6"/>
      <c r="RUG23" s="6"/>
      <c r="RUH23" s="6"/>
      <c r="RUI23" s="6"/>
      <c r="RUJ23" s="6"/>
      <c r="RUK23" s="6"/>
      <c r="RUL23" s="6"/>
      <c r="RUM23" s="6"/>
      <c r="RUN23" s="6"/>
      <c r="RUO23" s="6"/>
      <c r="RUP23" s="6"/>
      <c r="RUQ23" s="6"/>
      <c r="RUR23" s="6"/>
      <c r="RUS23" s="6"/>
      <c r="RUT23" s="6"/>
      <c r="RUU23" s="6"/>
      <c r="RUV23" s="6"/>
      <c r="RUW23" s="6"/>
      <c r="RUX23" s="6"/>
      <c r="RUY23" s="6"/>
      <c r="RUZ23" s="6"/>
      <c r="RVA23" s="6"/>
      <c r="RVB23" s="6"/>
      <c r="RVC23" s="6"/>
      <c r="RVD23" s="6"/>
      <c r="RVE23" s="6"/>
      <c r="RVF23" s="6"/>
      <c r="RVG23" s="6"/>
      <c r="RVH23" s="6"/>
      <c r="RVI23" s="6"/>
      <c r="RVJ23" s="6"/>
      <c r="RVK23" s="6"/>
      <c r="RVL23" s="6"/>
      <c r="RVM23" s="6"/>
      <c r="RVN23" s="6"/>
      <c r="RVO23" s="6"/>
      <c r="RVP23" s="6"/>
      <c r="RVQ23" s="6"/>
      <c r="RVR23" s="6"/>
      <c r="RVS23" s="6"/>
      <c r="RVT23" s="6"/>
      <c r="RVU23" s="6"/>
      <c r="RVV23" s="6"/>
      <c r="RVW23" s="6"/>
      <c r="RVX23" s="6"/>
      <c r="RVY23" s="6"/>
      <c r="RVZ23" s="6"/>
      <c r="RWA23" s="6"/>
      <c r="RWB23" s="6"/>
      <c r="RWC23" s="6"/>
      <c r="RWD23" s="6"/>
      <c r="RWE23" s="6"/>
      <c r="RWF23" s="6"/>
      <c r="RWG23" s="6"/>
      <c r="RWH23" s="6"/>
      <c r="RWI23" s="6"/>
      <c r="RWJ23" s="6"/>
      <c r="RWK23" s="6"/>
      <c r="RWL23" s="6"/>
      <c r="RWM23" s="6"/>
      <c r="RWN23" s="6"/>
      <c r="RWO23" s="6"/>
      <c r="RWP23" s="6"/>
      <c r="RWQ23" s="6"/>
      <c r="RWR23" s="6"/>
      <c r="RWS23" s="6"/>
      <c r="RWT23" s="6"/>
      <c r="RWU23" s="6"/>
      <c r="RWV23" s="6"/>
      <c r="RWW23" s="6"/>
      <c r="RWX23" s="6"/>
      <c r="RWY23" s="6"/>
      <c r="RWZ23" s="6"/>
      <c r="RXA23" s="6"/>
      <c r="RXB23" s="6"/>
      <c r="RXC23" s="6"/>
      <c r="RXD23" s="6"/>
      <c r="RXE23" s="6"/>
      <c r="RXF23" s="6"/>
      <c r="RXG23" s="6"/>
      <c r="RXH23" s="6"/>
      <c r="RXI23" s="6"/>
      <c r="RXJ23" s="6"/>
      <c r="RXK23" s="6"/>
      <c r="RXL23" s="6"/>
      <c r="RXM23" s="6"/>
      <c r="RXN23" s="6"/>
      <c r="RXO23" s="6"/>
      <c r="RXP23" s="6"/>
      <c r="RXQ23" s="6"/>
      <c r="RXR23" s="6"/>
      <c r="RXS23" s="6"/>
      <c r="RXT23" s="6"/>
      <c r="RXU23" s="6"/>
      <c r="RXV23" s="6"/>
      <c r="RXW23" s="6"/>
      <c r="RXX23" s="6"/>
      <c r="RXY23" s="6"/>
      <c r="RXZ23" s="6"/>
      <c r="RYA23" s="6"/>
      <c r="RYB23" s="6"/>
      <c r="RYC23" s="6"/>
      <c r="RYD23" s="6"/>
      <c r="RYE23" s="6"/>
      <c r="RYF23" s="6"/>
      <c r="RYG23" s="6"/>
      <c r="RYH23" s="6"/>
      <c r="RYI23" s="6"/>
      <c r="RYJ23" s="6"/>
      <c r="RYK23" s="6"/>
      <c r="RYL23" s="6"/>
      <c r="RYM23" s="6"/>
      <c r="RYN23" s="6"/>
      <c r="RYO23" s="6"/>
      <c r="RYP23" s="6"/>
      <c r="RYQ23" s="6"/>
      <c r="RYR23" s="6"/>
      <c r="RYS23" s="6"/>
      <c r="RYT23" s="6"/>
      <c r="RYU23" s="6"/>
      <c r="RYV23" s="6"/>
      <c r="RYW23" s="6"/>
      <c r="RYX23" s="6"/>
      <c r="RYY23" s="6"/>
      <c r="RYZ23" s="6"/>
      <c r="RZA23" s="6"/>
      <c r="RZB23" s="6"/>
      <c r="RZC23" s="6"/>
      <c r="RZD23" s="6"/>
      <c r="RZE23" s="6"/>
      <c r="RZF23" s="6"/>
      <c r="RZG23" s="6"/>
      <c r="RZH23" s="6"/>
      <c r="RZI23" s="6"/>
      <c r="RZJ23" s="6"/>
      <c r="RZK23" s="6"/>
      <c r="RZL23" s="6"/>
      <c r="RZM23" s="6"/>
      <c r="RZN23" s="6"/>
      <c r="RZO23" s="6"/>
      <c r="RZP23" s="6"/>
      <c r="RZQ23" s="6"/>
      <c r="RZR23" s="6"/>
      <c r="RZS23" s="6"/>
      <c r="RZT23" s="6"/>
      <c r="RZU23" s="6"/>
      <c r="RZV23" s="6"/>
      <c r="RZW23" s="6"/>
      <c r="RZX23" s="6"/>
      <c r="RZY23" s="6"/>
      <c r="RZZ23" s="6"/>
      <c r="SAA23" s="6"/>
      <c r="SAB23" s="6"/>
      <c r="SAC23" s="6"/>
      <c r="SAD23" s="6"/>
      <c r="SAE23" s="6"/>
      <c r="SAF23" s="6"/>
      <c r="SAG23" s="6"/>
      <c r="SAH23" s="6"/>
      <c r="SAI23" s="6"/>
      <c r="SAJ23" s="6"/>
      <c r="SAK23" s="6"/>
      <c r="SAL23" s="6"/>
      <c r="SAM23" s="6"/>
      <c r="SAN23" s="6"/>
      <c r="SAO23" s="6"/>
      <c r="SAP23" s="6"/>
      <c r="SAQ23" s="6"/>
      <c r="SAR23" s="6"/>
      <c r="SAS23" s="6"/>
      <c r="SAT23" s="6"/>
      <c r="SAU23" s="6"/>
      <c r="SAV23" s="6"/>
      <c r="SAW23" s="6"/>
      <c r="SAX23" s="6"/>
      <c r="SAY23" s="6"/>
      <c r="SAZ23" s="6"/>
      <c r="SBA23" s="6"/>
      <c r="SBB23" s="6"/>
      <c r="SBC23" s="6"/>
      <c r="SBD23" s="6"/>
      <c r="SBE23" s="6"/>
      <c r="SBF23" s="6"/>
      <c r="SBG23" s="6"/>
      <c r="SBH23" s="6"/>
      <c r="SBI23" s="6"/>
      <c r="SBJ23" s="6"/>
      <c r="SBK23" s="6"/>
      <c r="SBL23" s="6"/>
      <c r="SBM23" s="6"/>
      <c r="SBN23" s="6"/>
      <c r="SBO23" s="6"/>
      <c r="SBP23" s="6"/>
      <c r="SBQ23" s="6"/>
      <c r="SBR23" s="6"/>
      <c r="SBS23" s="6"/>
      <c r="SBT23" s="6"/>
      <c r="SBU23" s="6"/>
      <c r="SBV23" s="6"/>
      <c r="SBW23" s="6"/>
      <c r="SBX23" s="6"/>
      <c r="SBY23" s="6"/>
      <c r="SBZ23" s="6"/>
      <c r="SCA23" s="6"/>
      <c r="SCB23" s="6"/>
      <c r="SCC23" s="6"/>
      <c r="SCD23" s="6"/>
      <c r="SCE23" s="6"/>
      <c r="SCF23" s="6"/>
      <c r="SCG23" s="6"/>
      <c r="SCH23" s="6"/>
      <c r="SCI23" s="6"/>
      <c r="SCJ23" s="6"/>
      <c r="SCK23" s="6"/>
      <c r="SCL23" s="6"/>
      <c r="SCM23" s="6"/>
      <c r="SCN23" s="6"/>
      <c r="SCO23" s="6"/>
      <c r="SCP23" s="6"/>
      <c r="SCQ23" s="6"/>
      <c r="SCR23" s="6"/>
      <c r="SCS23" s="6"/>
      <c r="SCT23" s="6"/>
      <c r="SCU23" s="6"/>
      <c r="SCV23" s="6"/>
      <c r="SCW23" s="6"/>
      <c r="SCX23" s="6"/>
      <c r="SCY23" s="6"/>
      <c r="SCZ23" s="6"/>
      <c r="SDA23" s="6"/>
      <c r="SDB23" s="6"/>
      <c r="SDC23" s="6"/>
      <c r="SDD23" s="6"/>
      <c r="SDE23" s="6"/>
      <c r="SDF23" s="6"/>
      <c r="SDG23" s="6"/>
      <c r="SDH23" s="6"/>
      <c r="SDI23" s="6"/>
      <c r="SDJ23" s="6"/>
      <c r="SDK23" s="6"/>
      <c r="SDL23" s="6"/>
      <c r="SDM23" s="6"/>
      <c r="SDN23" s="6"/>
      <c r="SDO23" s="6"/>
      <c r="SDP23" s="6"/>
      <c r="SDQ23" s="6"/>
      <c r="SDR23" s="6"/>
      <c r="SDS23" s="6"/>
      <c r="SDT23" s="6"/>
      <c r="SDU23" s="6"/>
      <c r="SDV23" s="6"/>
      <c r="SDW23" s="6"/>
      <c r="SDX23" s="6"/>
      <c r="SDY23" s="6"/>
      <c r="SDZ23" s="6"/>
      <c r="SEA23" s="6"/>
      <c r="SEB23" s="6"/>
      <c r="SEC23" s="6"/>
      <c r="SED23" s="6"/>
      <c r="SEE23" s="6"/>
      <c r="SEF23" s="6"/>
      <c r="SEG23" s="6"/>
      <c r="SEH23" s="6"/>
      <c r="SEI23" s="6"/>
      <c r="SEJ23" s="6"/>
      <c r="SEK23" s="6"/>
      <c r="SEL23" s="6"/>
      <c r="SEM23" s="6"/>
      <c r="SEN23" s="6"/>
      <c r="SEO23" s="6"/>
      <c r="SEP23" s="6"/>
      <c r="SEQ23" s="6"/>
      <c r="SER23" s="6"/>
      <c r="SES23" s="6"/>
      <c r="SET23" s="6"/>
      <c r="SEU23" s="6"/>
      <c r="SEV23" s="6"/>
      <c r="SEW23" s="6"/>
      <c r="SEX23" s="6"/>
      <c r="SEY23" s="6"/>
      <c r="SEZ23" s="6"/>
      <c r="SFA23" s="6"/>
      <c r="SFB23" s="6"/>
      <c r="SFC23" s="6"/>
      <c r="SFD23" s="6"/>
      <c r="SFE23" s="6"/>
      <c r="SFF23" s="6"/>
      <c r="SFG23" s="6"/>
      <c r="SFH23" s="6"/>
      <c r="SFI23" s="6"/>
      <c r="SFJ23" s="6"/>
      <c r="SFK23" s="6"/>
      <c r="SFL23" s="6"/>
      <c r="SFM23" s="6"/>
      <c r="SFN23" s="6"/>
      <c r="SFO23" s="6"/>
      <c r="SFP23" s="6"/>
      <c r="SFQ23" s="6"/>
      <c r="SFR23" s="6"/>
      <c r="SFS23" s="6"/>
      <c r="SFT23" s="6"/>
      <c r="SFU23" s="6"/>
      <c r="SFV23" s="6"/>
      <c r="SFW23" s="6"/>
      <c r="SFX23" s="6"/>
      <c r="SFY23" s="6"/>
      <c r="SFZ23" s="6"/>
      <c r="SGA23" s="6"/>
      <c r="SGB23" s="6"/>
      <c r="SGC23" s="6"/>
      <c r="SGD23" s="6"/>
      <c r="SGE23" s="6"/>
      <c r="SGF23" s="6"/>
      <c r="SGG23" s="6"/>
      <c r="SGH23" s="6"/>
      <c r="SGI23" s="6"/>
      <c r="SGJ23" s="6"/>
      <c r="SGK23" s="6"/>
      <c r="SGL23" s="6"/>
      <c r="SGM23" s="6"/>
      <c r="SGN23" s="6"/>
      <c r="SGO23" s="6"/>
      <c r="SGP23" s="6"/>
      <c r="SGQ23" s="6"/>
      <c r="SGR23" s="6"/>
      <c r="SGS23" s="6"/>
      <c r="SGT23" s="6"/>
      <c r="SGU23" s="6"/>
      <c r="SGV23" s="6"/>
      <c r="SGW23" s="6"/>
      <c r="SGX23" s="6"/>
      <c r="SGY23" s="6"/>
      <c r="SGZ23" s="6"/>
      <c r="SHA23" s="6"/>
      <c r="SHB23" s="6"/>
      <c r="SHC23" s="6"/>
      <c r="SHD23" s="6"/>
      <c r="SHE23" s="6"/>
      <c r="SHF23" s="6"/>
      <c r="SHG23" s="6"/>
      <c r="SHH23" s="6"/>
      <c r="SHI23" s="6"/>
      <c r="SHJ23" s="6"/>
      <c r="SHK23" s="6"/>
      <c r="SHL23" s="6"/>
      <c r="SHM23" s="6"/>
      <c r="SHN23" s="6"/>
      <c r="SHO23" s="6"/>
      <c r="SHP23" s="6"/>
      <c r="SHQ23" s="6"/>
      <c r="SHR23" s="6"/>
      <c r="SHS23" s="6"/>
      <c r="SHT23" s="6"/>
      <c r="SHU23" s="6"/>
      <c r="SHV23" s="6"/>
      <c r="SHW23" s="6"/>
      <c r="SHX23" s="6"/>
      <c r="SHY23" s="6"/>
      <c r="SHZ23" s="6"/>
      <c r="SIA23" s="6"/>
      <c r="SIB23" s="6"/>
      <c r="SIC23" s="6"/>
      <c r="SID23" s="6"/>
      <c r="SIE23" s="6"/>
      <c r="SIF23" s="6"/>
      <c r="SIG23" s="6"/>
      <c r="SIH23" s="6"/>
      <c r="SII23" s="6"/>
      <c r="SIJ23" s="6"/>
      <c r="SIK23" s="6"/>
      <c r="SIL23" s="6"/>
      <c r="SIM23" s="6"/>
      <c r="SIN23" s="6"/>
      <c r="SIO23" s="6"/>
      <c r="SIP23" s="6"/>
      <c r="SIQ23" s="6"/>
      <c r="SIR23" s="6"/>
      <c r="SIS23" s="6"/>
      <c r="SIT23" s="6"/>
      <c r="SIU23" s="6"/>
      <c r="SIV23" s="6"/>
      <c r="SIW23" s="6"/>
      <c r="SIX23" s="6"/>
      <c r="SIY23" s="6"/>
      <c r="SIZ23" s="6"/>
      <c r="SJA23" s="6"/>
      <c r="SJB23" s="6"/>
      <c r="SJC23" s="6"/>
      <c r="SJD23" s="6"/>
      <c r="SJE23" s="6"/>
      <c r="SJF23" s="6"/>
      <c r="SJG23" s="6"/>
      <c r="SJH23" s="6"/>
      <c r="SJI23" s="6"/>
      <c r="SJJ23" s="6"/>
      <c r="SJK23" s="6"/>
      <c r="SJL23" s="6"/>
      <c r="SJM23" s="6"/>
      <c r="SJN23" s="6"/>
      <c r="SJO23" s="6"/>
      <c r="SJP23" s="6"/>
      <c r="SJQ23" s="6"/>
      <c r="SJR23" s="6"/>
      <c r="SJS23" s="6"/>
      <c r="SJT23" s="6"/>
      <c r="SJU23" s="6"/>
      <c r="SJV23" s="6"/>
      <c r="SJW23" s="6"/>
      <c r="SJX23" s="6"/>
      <c r="SJY23" s="6"/>
      <c r="SJZ23" s="6"/>
      <c r="SKA23" s="6"/>
      <c r="SKB23" s="6"/>
      <c r="SKC23" s="6"/>
      <c r="SKD23" s="6"/>
      <c r="SKE23" s="6"/>
      <c r="SKF23" s="6"/>
      <c r="SKG23" s="6"/>
      <c r="SKH23" s="6"/>
      <c r="SKI23" s="6"/>
      <c r="SKJ23" s="6"/>
      <c r="SKK23" s="6"/>
      <c r="SKL23" s="6"/>
      <c r="SKM23" s="6"/>
      <c r="SKN23" s="6"/>
      <c r="SKO23" s="6"/>
      <c r="SKP23" s="6"/>
      <c r="SKQ23" s="6"/>
      <c r="SKR23" s="6"/>
      <c r="SKS23" s="6"/>
      <c r="SKT23" s="6"/>
      <c r="SKU23" s="6"/>
      <c r="SKV23" s="6"/>
      <c r="SKW23" s="6"/>
      <c r="SKX23" s="6"/>
      <c r="SKY23" s="6"/>
      <c r="SKZ23" s="6"/>
      <c r="SLA23" s="6"/>
      <c r="SLB23" s="6"/>
      <c r="SLC23" s="6"/>
      <c r="SLD23" s="6"/>
      <c r="SLE23" s="6"/>
      <c r="SLF23" s="6"/>
      <c r="SLG23" s="6"/>
      <c r="SLH23" s="6"/>
      <c r="SLI23" s="6"/>
      <c r="SLJ23" s="6"/>
      <c r="SLK23" s="6"/>
      <c r="SLL23" s="6"/>
      <c r="SLM23" s="6"/>
      <c r="SLN23" s="6"/>
      <c r="SLO23" s="6"/>
      <c r="SLP23" s="6"/>
      <c r="SLQ23" s="6"/>
      <c r="SLR23" s="6"/>
      <c r="SLS23" s="6"/>
      <c r="SLT23" s="6"/>
      <c r="SLU23" s="6"/>
      <c r="SLV23" s="6"/>
      <c r="SLW23" s="6"/>
      <c r="SLX23" s="6"/>
      <c r="SLY23" s="6"/>
      <c r="SLZ23" s="6"/>
      <c r="SMA23" s="6"/>
      <c r="SMB23" s="6"/>
      <c r="SMC23" s="6"/>
      <c r="SMD23" s="6"/>
      <c r="SME23" s="6"/>
      <c r="SMF23" s="6"/>
      <c r="SMG23" s="6"/>
      <c r="SMH23" s="6"/>
      <c r="SMI23" s="6"/>
      <c r="SMJ23" s="6"/>
      <c r="SMK23" s="6"/>
      <c r="SML23" s="6"/>
      <c r="SMM23" s="6"/>
      <c r="SMN23" s="6"/>
      <c r="SMO23" s="6"/>
      <c r="SMP23" s="6"/>
      <c r="SMQ23" s="6"/>
      <c r="SMR23" s="6"/>
      <c r="SMS23" s="6"/>
      <c r="SMT23" s="6"/>
      <c r="SMU23" s="6"/>
      <c r="SMV23" s="6"/>
      <c r="SMW23" s="6"/>
      <c r="SMX23" s="6"/>
      <c r="SMY23" s="6"/>
      <c r="SMZ23" s="6"/>
      <c r="SNA23" s="6"/>
      <c r="SNB23" s="6"/>
      <c r="SNC23" s="6"/>
      <c r="SND23" s="6"/>
      <c r="SNE23" s="6"/>
      <c r="SNF23" s="6"/>
      <c r="SNG23" s="6"/>
      <c r="SNH23" s="6"/>
      <c r="SNI23" s="6"/>
      <c r="SNJ23" s="6"/>
      <c r="SNK23" s="6"/>
      <c r="SNL23" s="6"/>
      <c r="SNM23" s="6"/>
      <c r="SNN23" s="6"/>
      <c r="SNO23" s="6"/>
      <c r="SNP23" s="6"/>
      <c r="SNQ23" s="6"/>
      <c r="SNR23" s="6"/>
      <c r="SNS23" s="6"/>
      <c r="SNT23" s="6"/>
      <c r="SNU23" s="6"/>
      <c r="SNV23" s="6"/>
      <c r="SNW23" s="6"/>
      <c r="SNX23" s="6"/>
      <c r="SNY23" s="6"/>
      <c r="SNZ23" s="6"/>
      <c r="SOA23" s="6"/>
      <c r="SOB23" s="6"/>
      <c r="SOC23" s="6"/>
      <c r="SOD23" s="6"/>
      <c r="SOE23" s="6"/>
      <c r="SOF23" s="6"/>
      <c r="SOG23" s="6"/>
      <c r="SOH23" s="6"/>
      <c r="SOI23" s="6"/>
      <c r="SOJ23" s="6"/>
      <c r="SOK23" s="6"/>
      <c r="SOL23" s="6"/>
      <c r="SOM23" s="6"/>
      <c r="SON23" s="6"/>
      <c r="SOO23" s="6"/>
      <c r="SOP23" s="6"/>
      <c r="SOQ23" s="6"/>
      <c r="SOR23" s="6"/>
      <c r="SOS23" s="6"/>
      <c r="SOT23" s="6"/>
      <c r="SOU23" s="6"/>
      <c r="SOV23" s="6"/>
      <c r="SOW23" s="6"/>
      <c r="SOX23" s="6"/>
      <c r="SOY23" s="6"/>
      <c r="SOZ23" s="6"/>
      <c r="SPA23" s="6"/>
      <c r="SPB23" s="6"/>
      <c r="SPC23" s="6"/>
      <c r="SPD23" s="6"/>
      <c r="SPE23" s="6"/>
      <c r="SPF23" s="6"/>
      <c r="SPG23" s="6"/>
      <c r="SPH23" s="6"/>
      <c r="SPI23" s="6"/>
      <c r="SPJ23" s="6"/>
      <c r="SPK23" s="6"/>
      <c r="SPL23" s="6"/>
      <c r="SPM23" s="6"/>
      <c r="SPN23" s="6"/>
      <c r="SPO23" s="6"/>
      <c r="SPP23" s="6"/>
      <c r="SPQ23" s="6"/>
      <c r="SPR23" s="6"/>
      <c r="SPS23" s="6"/>
      <c r="SPT23" s="6"/>
      <c r="SPU23" s="6"/>
      <c r="SPV23" s="6"/>
      <c r="SPW23" s="6"/>
      <c r="SPX23" s="6"/>
      <c r="SPY23" s="6"/>
      <c r="SPZ23" s="6"/>
      <c r="SQA23" s="6"/>
      <c r="SQB23" s="6"/>
      <c r="SQC23" s="6"/>
      <c r="SQD23" s="6"/>
      <c r="SQE23" s="6"/>
      <c r="SQF23" s="6"/>
      <c r="SQG23" s="6"/>
      <c r="SQH23" s="6"/>
      <c r="SQI23" s="6"/>
      <c r="SQJ23" s="6"/>
      <c r="SQK23" s="6"/>
      <c r="SQL23" s="6"/>
      <c r="SQM23" s="6"/>
      <c r="SQN23" s="6"/>
      <c r="SQO23" s="6"/>
      <c r="SQP23" s="6"/>
      <c r="SQQ23" s="6"/>
      <c r="SQR23" s="6"/>
      <c r="SQS23" s="6"/>
      <c r="SQT23" s="6"/>
      <c r="SQU23" s="6"/>
      <c r="SQV23" s="6"/>
      <c r="SQW23" s="6"/>
      <c r="SQX23" s="6"/>
      <c r="SQY23" s="6"/>
      <c r="SQZ23" s="6"/>
      <c r="SRA23" s="6"/>
      <c r="SRB23" s="6"/>
      <c r="SRC23" s="6"/>
      <c r="SRD23" s="6"/>
      <c r="SRE23" s="6"/>
      <c r="SRF23" s="6"/>
      <c r="SRG23" s="6"/>
      <c r="SRH23" s="6"/>
      <c r="SRI23" s="6"/>
      <c r="SRJ23" s="6"/>
      <c r="SRK23" s="6"/>
      <c r="SRL23" s="6"/>
      <c r="SRM23" s="6"/>
      <c r="SRN23" s="6"/>
      <c r="SRO23" s="6"/>
      <c r="SRP23" s="6"/>
      <c r="SRQ23" s="6"/>
      <c r="SRR23" s="6"/>
      <c r="SRS23" s="6"/>
      <c r="SRT23" s="6"/>
      <c r="SRU23" s="6"/>
      <c r="SRV23" s="6"/>
      <c r="SRW23" s="6"/>
      <c r="SRX23" s="6"/>
      <c r="SRY23" s="6"/>
      <c r="SRZ23" s="6"/>
      <c r="SSA23" s="6"/>
      <c r="SSB23" s="6"/>
      <c r="SSC23" s="6"/>
      <c r="SSD23" s="6"/>
      <c r="SSE23" s="6"/>
      <c r="SSF23" s="6"/>
      <c r="SSG23" s="6"/>
      <c r="SSH23" s="6"/>
      <c r="SSI23" s="6"/>
      <c r="SSJ23" s="6"/>
      <c r="SSK23" s="6"/>
      <c r="SSL23" s="6"/>
      <c r="SSM23" s="6"/>
      <c r="SSN23" s="6"/>
      <c r="SSO23" s="6"/>
      <c r="SSP23" s="6"/>
      <c r="SSQ23" s="6"/>
      <c r="SSR23" s="6"/>
      <c r="SSS23" s="6"/>
      <c r="SST23" s="6"/>
      <c r="SSU23" s="6"/>
      <c r="SSV23" s="6"/>
      <c r="SSW23" s="6"/>
      <c r="SSX23" s="6"/>
      <c r="SSY23" s="6"/>
      <c r="SSZ23" s="6"/>
      <c r="STA23" s="6"/>
      <c r="STB23" s="6"/>
      <c r="STC23" s="6"/>
      <c r="STD23" s="6"/>
      <c r="STE23" s="6"/>
      <c r="STF23" s="6"/>
      <c r="STG23" s="6"/>
      <c r="STH23" s="6"/>
      <c r="STI23" s="6"/>
      <c r="STJ23" s="6"/>
      <c r="STK23" s="6"/>
      <c r="STL23" s="6"/>
      <c r="STM23" s="6"/>
      <c r="STN23" s="6"/>
      <c r="STO23" s="6"/>
      <c r="STP23" s="6"/>
      <c r="STQ23" s="6"/>
      <c r="STR23" s="6"/>
      <c r="STS23" s="6"/>
      <c r="STT23" s="6"/>
      <c r="STU23" s="6"/>
      <c r="STV23" s="6"/>
      <c r="STW23" s="6"/>
      <c r="STX23" s="6"/>
      <c r="STY23" s="6"/>
      <c r="STZ23" s="6"/>
      <c r="SUA23" s="6"/>
      <c r="SUB23" s="6"/>
      <c r="SUC23" s="6"/>
      <c r="SUD23" s="6"/>
      <c r="SUE23" s="6"/>
      <c r="SUF23" s="6"/>
      <c r="SUG23" s="6"/>
      <c r="SUH23" s="6"/>
      <c r="SUI23" s="6"/>
      <c r="SUJ23" s="6"/>
      <c r="SUK23" s="6"/>
      <c r="SUL23" s="6"/>
      <c r="SUM23" s="6"/>
      <c r="SUN23" s="6"/>
      <c r="SUO23" s="6"/>
      <c r="SUP23" s="6"/>
      <c r="SUQ23" s="6"/>
      <c r="SUR23" s="6"/>
      <c r="SUS23" s="6"/>
      <c r="SUT23" s="6"/>
      <c r="SUU23" s="6"/>
      <c r="SUV23" s="6"/>
      <c r="SUW23" s="6"/>
      <c r="SUX23" s="6"/>
      <c r="SUY23" s="6"/>
      <c r="SUZ23" s="6"/>
      <c r="SVA23" s="6"/>
      <c r="SVB23" s="6"/>
      <c r="SVC23" s="6"/>
      <c r="SVD23" s="6"/>
      <c r="SVE23" s="6"/>
      <c r="SVF23" s="6"/>
      <c r="SVG23" s="6"/>
      <c r="SVH23" s="6"/>
      <c r="SVI23" s="6"/>
      <c r="SVJ23" s="6"/>
      <c r="SVK23" s="6"/>
      <c r="SVL23" s="6"/>
      <c r="SVM23" s="6"/>
      <c r="SVN23" s="6"/>
      <c r="SVO23" s="6"/>
      <c r="SVP23" s="6"/>
      <c r="SVQ23" s="6"/>
      <c r="SVR23" s="6"/>
      <c r="SVS23" s="6"/>
      <c r="SVT23" s="6"/>
      <c r="SVU23" s="6"/>
      <c r="SVV23" s="6"/>
      <c r="SVW23" s="6"/>
      <c r="SVX23" s="6"/>
      <c r="SVY23" s="6"/>
      <c r="SVZ23" s="6"/>
      <c r="SWA23" s="6"/>
      <c r="SWB23" s="6"/>
      <c r="SWC23" s="6"/>
      <c r="SWD23" s="6"/>
      <c r="SWE23" s="6"/>
      <c r="SWF23" s="6"/>
      <c r="SWG23" s="6"/>
      <c r="SWH23" s="6"/>
      <c r="SWI23" s="6"/>
      <c r="SWJ23" s="6"/>
      <c r="SWK23" s="6"/>
      <c r="SWL23" s="6"/>
      <c r="SWM23" s="6"/>
      <c r="SWN23" s="6"/>
      <c r="SWO23" s="6"/>
      <c r="SWP23" s="6"/>
      <c r="SWQ23" s="6"/>
      <c r="SWR23" s="6"/>
      <c r="SWS23" s="6"/>
      <c r="SWT23" s="6"/>
      <c r="SWU23" s="6"/>
      <c r="SWV23" s="6"/>
      <c r="SWW23" s="6"/>
      <c r="SWX23" s="6"/>
      <c r="SWY23" s="6"/>
      <c r="SWZ23" s="6"/>
      <c r="SXA23" s="6"/>
      <c r="SXB23" s="6"/>
      <c r="SXC23" s="6"/>
      <c r="SXD23" s="6"/>
      <c r="SXE23" s="6"/>
      <c r="SXF23" s="6"/>
      <c r="SXG23" s="6"/>
      <c r="SXH23" s="6"/>
      <c r="SXI23" s="6"/>
      <c r="SXJ23" s="6"/>
      <c r="SXK23" s="6"/>
      <c r="SXL23" s="6"/>
      <c r="SXM23" s="6"/>
      <c r="SXN23" s="6"/>
      <c r="SXO23" s="6"/>
      <c r="SXP23" s="6"/>
      <c r="SXQ23" s="6"/>
      <c r="SXR23" s="6"/>
      <c r="SXS23" s="6"/>
      <c r="SXT23" s="6"/>
      <c r="SXU23" s="6"/>
      <c r="SXV23" s="6"/>
      <c r="SXW23" s="6"/>
      <c r="SXX23" s="6"/>
      <c r="SXY23" s="6"/>
      <c r="SXZ23" s="6"/>
      <c r="SYA23" s="6"/>
      <c r="SYB23" s="6"/>
      <c r="SYC23" s="6"/>
      <c r="SYD23" s="6"/>
      <c r="SYE23" s="6"/>
      <c r="SYF23" s="6"/>
      <c r="SYG23" s="6"/>
      <c r="SYH23" s="6"/>
      <c r="SYI23" s="6"/>
      <c r="SYJ23" s="6"/>
      <c r="SYK23" s="6"/>
      <c r="SYL23" s="6"/>
      <c r="SYM23" s="6"/>
      <c r="SYN23" s="6"/>
      <c r="SYO23" s="6"/>
      <c r="SYP23" s="6"/>
      <c r="SYQ23" s="6"/>
      <c r="SYR23" s="6"/>
      <c r="SYS23" s="6"/>
      <c r="SYT23" s="6"/>
      <c r="SYU23" s="6"/>
      <c r="SYV23" s="6"/>
      <c r="SYW23" s="6"/>
      <c r="SYX23" s="6"/>
      <c r="SYY23" s="6"/>
      <c r="SYZ23" s="6"/>
      <c r="SZA23" s="6"/>
      <c r="SZB23" s="6"/>
      <c r="SZC23" s="6"/>
      <c r="SZD23" s="6"/>
      <c r="SZE23" s="6"/>
      <c r="SZF23" s="6"/>
      <c r="SZG23" s="6"/>
      <c r="SZH23" s="6"/>
      <c r="SZI23" s="6"/>
      <c r="SZJ23" s="6"/>
      <c r="SZK23" s="6"/>
      <c r="SZL23" s="6"/>
      <c r="SZM23" s="6"/>
      <c r="SZN23" s="6"/>
      <c r="SZO23" s="6"/>
      <c r="SZP23" s="6"/>
      <c r="SZQ23" s="6"/>
      <c r="SZR23" s="6"/>
      <c r="SZS23" s="6"/>
      <c r="SZT23" s="6"/>
      <c r="SZU23" s="6"/>
      <c r="SZV23" s="6"/>
      <c r="SZW23" s="6"/>
      <c r="SZX23" s="6"/>
      <c r="SZY23" s="6"/>
      <c r="SZZ23" s="6"/>
      <c r="TAA23" s="6"/>
      <c r="TAB23" s="6"/>
      <c r="TAC23" s="6"/>
      <c r="TAD23" s="6"/>
      <c r="TAE23" s="6"/>
      <c r="TAF23" s="6"/>
      <c r="TAG23" s="6"/>
      <c r="TAH23" s="6"/>
      <c r="TAI23" s="6"/>
      <c r="TAJ23" s="6"/>
      <c r="TAK23" s="6"/>
      <c r="TAL23" s="6"/>
      <c r="TAM23" s="6"/>
      <c r="TAN23" s="6"/>
      <c r="TAO23" s="6"/>
      <c r="TAP23" s="6"/>
      <c r="TAQ23" s="6"/>
      <c r="TAR23" s="6"/>
      <c r="TAS23" s="6"/>
      <c r="TAT23" s="6"/>
      <c r="TAU23" s="6"/>
      <c r="TAV23" s="6"/>
      <c r="TAW23" s="6"/>
      <c r="TAX23" s="6"/>
      <c r="TAY23" s="6"/>
      <c r="TAZ23" s="6"/>
      <c r="TBA23" s="6"/>
      <c r="TBB23" s="6"/>
      <c r="TBC23" s="6"/>
      <c r="TBD23" s="6"/>
      <c r="TBE23" s="6"/>
      <c r="TBF23" s="6"/>
      <c r="TBG23" s="6"/>
      <c r="TBH23" s="6"/>
      <c r="TBI23" s="6"/>
      <c r="TBJ23" s="6"/>
      <c r="TBK23" s="6"/>
      <c r="TBL23" s="6"/>
      <c r="TBM23" s="6"/>
      <c r="TBN23" s="6"/>
      <c r="TBO23" s="6"/>
      <c r="TBP23" s="6"/>
      <c r="TBQ23" s="6"/>
      <c r="TBR23" s="6"/>
      <c r="TBS23" s="6"/>
      <c r="TBT23" s="6"/>
      <c r="TBU23" s="6"/>
      <c r="TBV23" s="6"/>
      <c r="TBW23" s="6"/>
      <c r="TBX23" s="6"/>
      <c r="TBY23" s="6"/>
      <c r="TBZ23" s="6"/>
      <c r="TCA23" s="6"/>
      <c r="TCB23" s="6"/>
      <c r="TCC23" s="6"/>
      <c r="TCD23" s="6"/>
      <c r="TCE23" s="6"/>
      <c r="TCF23" s="6"/>
      <c r="TCG23" s="6"/>
      <c r="TCH23" s="6"/>
      <c r="TCI23" s="6"/>
      <c r="TCJ23" s="6"/>
      <c r="TCK23" s="6"/>
      <c r="TCL23" s="6"/>
      <c r="TCM23" s="6"/>
      <c r="TCN23" s="6"/>
      <c r="TCO23" s="6"/>
      <c r="TCP23" s="6"/>
      <c r="TCQ23" s="6"/>
      <c r="TCR23" s="6"/>
      <c r="TCS23" s="6"/>
      <c r="TCT23" s="6"/>
      <c r="TCU23" s="6"/>
      <c r="TCV23" s="6"/>
      <c r="TCW23" s="6"/>
      <c r="TCX23" s="6"/>
      <c r="TCY23" s="6"/>
      <c r="TCZ23" s="6"/>
      <c r="TDA23" s="6"/>
      <c r="TDB23" s="6"/>
      <c r="TDC23" s="6"/>
      <c r="TDD23" s="6"/>
      <c r="TDE23" s="6"/>
      <c r="TDF23" s="6"/>
      <c r="TDG23" s="6"/>
      <c r="TDH23" s="6"/>
      <c r="TDI23" s="6"/>
      <c r="TDJ23" s="6"/>
      <c r="TDK23" s="6"/>
      <c r="TDL23" s="6"/>
      <c r="TDM23" s="6"/>
      <c r="TDN23" s="6"/>
      <c r="TDO23" s="6"/>
      <c r="TDP23" s="6"/>
      <c r="TDQ23" s="6"/>
      <c r="TDR23" s="6"/>
      <c r="TDS23" s="6"/>
      <c r="TDT23" s="6"/>
      <c r="TDU23" s="6"/>
      <c r="TDV23" s="6"/>
      <c r="TDW23" s="6"/>
      <c r="TDX23" s="6"/>
      <c r="TDY23" s="6"/>
      <c r="TDZ23" s="6"/>
      <c r="TEA23" s="6"/>
      <c r="TEB23" s="6"/>
      <c r="TEC23" s="6"/>
      <c r="TED23" s="6"/>
      <c r="TEE23" s="6"/>
      <c r="TEF23" s="6"/>
      <c r="TEG23" s="6"/>
      <c r="TEH23" s="6"/>
      <c r="TEI23" s="6"/>
      <c r="TEJ23" s="6"/>
      <c r="TEK23" s="6"/>
      <c r="TEL23" s="6"/>
      <c r="TEM23" s="6"/>
      <c r="TEN23" s="6"/>
      <c r="TEO23" s="6"/>
      <c r="TEP23" s="6"/>
      <c r="TEQ23" s="6"/>
      <c r="TER23" s="6"/>
      <c r="TES23" s="6"/>
      <c r="TET23" s="6"/>
      <c r="TEU23" s="6"/>
      <c r="TEV23" s="6"/>
      <c r="TEW23" s="6"/>
      <c r="TEX23" s="6"/>
      <c r="TEY23" s="6"/>
      <c r="TEZ23" s="6"/>
      <c r="TFA23" s="6"/>
      <c r="TFB23" s="6"/>
      <c r="TFC23" s="6"/>
      <c r="TFD23" s="6"/>
      <c r="TFE23" s="6"/>
      <c r="TFF23" s="6"/>
      <c r="TFG23" s="6"/>
      <c r="TFH23" s="6"/>
      <c r="TFI23" s="6"/>
      <c r="TFJ23" s="6"/>
      <c r="TFK23" s="6"/>
      <c r="TFL23" s="6"/>
      <c r="TFM23" s="6"/>
      <c r="TFN23" s="6"/>
      <c r="TFO23" s="6"/>
      <c r="TFP23" s="6"/>
      <c r="TFQ23" s="6"/>
      <c r="TFR23" s="6"/>
      <c r="TFS23" s="6"/>
      <c r="TFT23" s="6"/>
      <c r="TFU23" s="6"/>
      <c r="TFV23" s="6"/>
      <c r="TFW23" s="6"/>
      <c r="TFX23" s="6"/>
      <c r="TFY23" s="6"/>
      <c r="TFZ23" s="6"/>
      <c r="TGA23" s="6"/>
      <c r="TGB23" s="6"/>
      <c r="TGC23" s="6"/>
      <c r="TGD23" s="6"/>
      <c r="TGE23" s="6"/>
      <c r="TGF23" s="6"/>
      <c r="TGG23" s="6"/>
      <c r="TGH23" s="6"/>
      <c r="TGI23" s="6"/>
      <c r="TGJ23" s="6"/>
      <c r="TGK23" s="6"/>
      <c r="TGL23" s="6"/>
      <c r="TGM23" s="6"/>
      <c r="TGN23" s="6"/>
      <c r="TGO23" s="6"/>
      <c r="TGP23" s="6"/>
      <c r="TGQ23" s="6"/>
      <c r="TGR23" s="6"/>
      <c r="TGS23" s="6"/>
      <c r="TGT23" s="6"/>
      <c r="TGU23" s="6"/>
      <c r="TGV23" s="6"/>
      <c r="TGW23" s="6"/>
      <c r="TGX23" s="6"/>
      <c r="TGY23" s="6"/>
      <c r="TGZ23" s="6"/>
      <c r="THA23" s="6"/>
      <c r="THB23" s="6"/>
      <c r="THC23" s="6"/>
      <c r="THD23" s="6"/>
      <c r="THE23" s="6"/>
      <c r="THF23" s="6"/>
      <c r="THG23" s="6"/>
      <c r="THH23" s="6"/>
      <c r="THI23" s="6"/>
      <c r="THJ23" s="6"/>
      <c r="THK23" s="6"/>
      <c r="THL23" s="6"/>
      <c r="THM23" s="6"/>
      <c r="THN23" s="6"/>
      <c r="THO23" s="6"/>
      <c r="THP23" s="6"/>
      <c r="THQ23" s="6"/>
      <c r="THR23" s="6"/>
      <c r="THS23" s="6"/>
      <c r="THT23" s="6"/>
      <c r="THU23" s="6"/>
      <c r="THV23" s="6"/>
      <c r="THW23" s="6"/>
      <c r="THX23" s="6"/>
      <c r="THY23" s="6"/>
      <c r="THZ23" s="6"/>
      <c r="TIA23" s="6"/>
      <c r="TIB23" s="6"/>
      <c r="TIC23" s="6"/>
      <c r="TID23" s="6"/>
      <c r="TIE23" s="6"/>
      <c r="TIF23" s="6"/>
      <c r="TIG23" s="6"/>
      <c r="TIH23" s="6"/>
      <c r="TII23" s="6"/>
      <c r="TIJ23" s="6"/>
      <c r="TIK23" s="6"/>
      <c r="TIL23" s="6"/>
      <c r="TIM23" s="6"/>
      <c r="TIN23" s="6"/>
      <c r="TIO23" s="6"/>
      <c r="TIP23" s="6"/>
      <c r="TIQ23" s="6"/>
      <c r="TIR23" s="6"/>
      <c r="TIS23" s="6"/>
      <c r="TIT23" s="6"/>
      <c r="TIU23" s="6"/>
      <c r="TIV23" s="6"/>
      <c r="TIW23" s="6"/>
      <c r="TIX23" s="6"/>
      <c r="TIY23" s="6"/>
      <c r="TIZ23" s="6"/>
      <c r="TJA23" s="6"/>
      <c r="TJB23" s="6"/>
      <c r="TJC23" s="6"/>
      <c r="TJD23" s="6"/>
      <c r="TJE23" s="6"/>
      <c r="TJF23" s="6"/>
      <c r="TJG23" s="6"/>
      <c r="TJH23" s="6"/>
      <c r="TJI23" s="6"/>
      <c r="TJJ23" s="6"/>
      <c r="TJK23" s="6"/>
      <c r="TJL23" s="6"/>
      <c r="TJM23" s="6"/>
      <c r="TJN23" s="6"/>
      <c r="TJO23" s="6"/>
      <c r="TJP23" s="6"/>
      <c r="TJQ23" s="6"/>
      <c r="TJR23" s="6"/>
      <c r="TJS23" s="6"/>
      <c r="TJT23" s="6"/>
      <c r="TJU23" s="6"/>
      <c r="TJV23" s="6"/>
      <c r="TJW23" s="6"/>
      <c r="TJX23" s="6"/>
      <c r="TJY23" s="6"/>
      <c r="TJZ23" s="6"/>
      <c r="TKA23" s="6"/>
      <c r="TKB23" s="6"/>
      <c r="TKC23" s="6"/>
      <c r="TKD23" s="6"/>
      <c r="TKE23" s="6"/>
      <c r="TKF23" s="6"/>
      <c r="TKG23" s="6"/>
      <c r="TKH23" s="6"/>
      <c r="TKI23" s="6"/>
      <c r="TKJ23" s="6"/>
      <c r="TKK23" s="6"/>
      <c r="TKL23" s="6"/>
      <c r="TKM23" s="6"/>
      <c r="TKN23" s="6"/>
      <c r="TKO23" s="6"/>
      <c r="TKP23" s="6"/>
      <c r="TKQ23" s="6"/>
      <c r="TKR23" s="6"/>
      <c r="TKS23" s="6"/>
      <c r="TKT23" s="6"/>
      <c r="TKU23" s="6"/>
      <c r="TKV23" s="6"/>
      <c r="TKW23" s="6"/>
      <c r="TKX23" s="6"/>
      <c r="TKY23" s="6"/>
      <c r="TKZ23" s="6"/>
      <c r="TLA23" s="6"/>
      <c r="TLB23" s="6"/>
      <c r="TLC23" s="6"/>
      <c r="TLD23" s="6"/>
      <c r="TLE23" s="6"/>
      <c r="TLF23" s="6"/>
      <c r="TLG23" s="6"/>
      <c r="TLH23" s="6"/>
      <c r="TLI23" s="6"/>
      <c r="TLJ23" s="6"/>
      <c r="TLK23" s="6"/>
      <c r="TLL23" s="6"/>
      <c r="TLM23" s="6"/>
      <c r="TLN23" s="6"/>
      <c r="TLO23" s="6"/>
      <c r="TLP23" s="6"/>
      <c r="TLQ23" s="6"/>
      <c r="TLR23" s="6"/>
      <c r="TLS23" s="6"/>
      <c r="TLT23" s="6"/>
      <c r="TLU23" s="6"/>
      <c r="TLV23" s="6"/>
      <c r="TLW23" s="6"/>
      <c r="TLX23" s="6"/>
      <c r="TLY23" s="6"/>
      <c r="TLZ23" s="6"/>
      <c r="TMA23" s="6"/>
      <c r="TMB23" s="6"/>
      <c r="TMC23" s="6"/>
      <c r="TMD23" s="6"/>
      <c r="TME23" s="6"/>
      <c r="TMF23" s="6"/>
      <c r="TMG23" s="6"/>
      <c r="TMH23" s="6"/>
      <c r="TMI23" s="6"/>
      <c r="TMJ23" s="6"/>
      <c r="TMK23" s="6"/>
      <c r="TML23" s="6"/>
      <c r="TMM23" s="6"/>
      <c r="TMN23" s="6"/>
      <c r="TMO23" s="6"/>
      <c r="TMP23" s="6"/>
      <c r="TMQ23" s="6"/>
      <c r="TMR23" s="6"/>
      <c r="TMS23" s="6"/>
      <c r="TMT23" s="6"/>
      <c r="TMU23" s="6"/>
      <c r="TMV23" s="6"/>
      <c r="TMW23" s="6"/>
      <c r="TMX23" s="6"/>
      <c r="TMY23" s="6"/>
      <c r="TMZ23" s="6"/>
      <c r="TNA23" s="6"/>
      <c r="TNB23" s="6"/>
      <c r="TNC23" s="6"/>
      <c r="TND23" s="6"/>
      <c r="TNE23" s="6"/>
      <c r="TNF23" s="6"/>
      <c r="TNG23" s="6"/>
      <c r="TNH23" s="6"/>
      <c r="TNI23" s="6"/>
      <c r="TNJ23" s="6"/>
      <c r="TNK23" s="6"/>
      <c r="TNL23" s="6"/>
      <c r="TNM23" s="6"/>
      <c r="TNN23" s="6"/>
      <c r="TNO23" s="6"/>
      <c r="TNP23" s="6"/>
      <c r="TNQ23" s="6"/>
      <c r="TNR23" s="6"/>
      <c r="TNS23" s="6"/>
      <c r="TNT23" s="6"/>
      <c r="TNU23" s="6"/>
      <c r="TNV23" s="6"/>
      <c r="TNW23" s="6"/>
      <c r="TNX23" s="6"/>
      <c r="TNY23" s="6"/>
      <c r="TNZ23" s="6"/>
      <c r="TOA23" s="6"/>
      <c r="TOB23" s="6"/>
      <c r="TOC23" s="6"/>
      <c r="TOD23" s="6"/>
      <c r="TOE23" s="6"/>
      <c r="TOF23" s="6"/>
      <c r="TOG23" s="6"/>
      <c r="TOH23" s="6"/>
      <c r="TOI23" s="6"/>
      <c r="TOJ23" s="6"/>
      <c r="TOK23" s="6"/>
      <c r="TOL23" s="6"/>
      <c r="TOM23" s="6"/>
      <c r="TON23" s="6"/>
      <c r="TOO23" s="6"/>
      <c r="TOP23" s="6"/>
      <c r="TOQ23" s="6"/>
      <c r="TOR23" s="6"/>
      <c r="TOS23" s="6"/>
      <c r="TOT23" s="6"/>
      <c r="TOU23" s="6"/>
      <c r="TOV23" s="6"/>
      <c r="TOW23" s="6"/>
      <c r="TOX23" s="6"/>
      <c r="TOY23" s="6"/>
      <c r="TOZ23" s="6"/>
      <c r="TPA23" s="6"/>
      <c r="TPB23" s="6"/>
      <c r="TPC23" s="6"/>
      <c r="TPD23" s="6"/>
      <c r="TPE23" s="6"/>
      <c r="TPF23" s="6"/>
      <c r="TPG23" s="6"/>
      <c r="TPH23" s="6"/>
      <c r="TPI23" s="6"/>
      <c r="TPJ23" s="6"/>
      <c r="TPK23" s="6"/>
      <c r="TPL23" s="6"/>
      <c r="TPM23" s="6"/>
      <c r="TPN23" s="6"/>
      <c r="TPO23" s="6"/>
      <c r="TPP23" s="6"/>
      <c r="TPQ23" s="6"/>
      <c r="TPR23" s="6"/>
      <c r="TPS23" s="6"/>
      <c r="TPT23" s="6"/>
      <c r="TPU23" s="6"/>
      <c r="TPV23" s="6"/>
      <c r="TPW23" s="6"/>
      <c r="TPX23" s="6"/>
      <c r="TPY23" s="6"/>
      <c r="TPZ23" s="6"/>
      <c r="TQA23" s="6"/>
      <c r="TQB23" s="6"/>
      <c r="TQC23" s="6"/>
      <c r="TQD23" s="6"/>
      <c r="TQE23" s="6"/>
      <c r="TQF23" s="6"/>
      <c r="TQG23" s="6"/>
      <c r="TQH23" s="6"/>
      <c r="TQI23" s="6"/>
      <c r="TQJ23" s="6"/>
      <c r="TQK23" s="6"/>
      <c r="TQL23" s="6"/>
      <c r="TQM23" s="6"/>
      <c r="TQN23" s="6"/>
      <c r="TQO23" s="6"/>
      <c r="TQP23" s="6"/>
      <c r="TQQ23" s="6"/>
      <c r="TQR23" s="6"/>
      <c r="TQS23" s="6"/>
      <c r="TQT23" s="6"/>
      <c r="TQU23" s="6"/>
      <c r="TQV23" s="6"/>
      <c r="TQW23" s="6"/>
      <c r="TQX23" s="6"/>
      <c r="TQY23" s="6"/>
      <c r="TQZ23" s="6"/>
      <c r="TRA23" s="6"/>
      <c r="TRB23" s="6"/>
      <c r="TRC23" s="6"/>
      <c r="TRD23" s="6"/>
      <c r="TRE23" s="6"/>
      <c r="TRF23" s="6"/>
      <c r="TRG23" s="6"/>
      <c r="TRH23" s="6"/>
      <c r="TRI23" s="6"/>
      <c r="TRJ23" s="6"/>
      <c r="TRK23" s="6"/>
      <c r="TRL23" s="6"/>
      <c r="TRM23" s="6"/>
      <c r="TRN23" s="6"/>
      <c r="TRO23" s="6"/>
      <c r="TRP23" s="6"/>
      <c r="TRQ23" s="6"/>
      <c r="TRR23" s="6"/>
      <c r="TRS23" s="6"/>
      <c r="TRT23" s="6"/>
      <c r="TRU23" s="6"/>
      <c r="TRV23" s="6"/>
      <c r="TRW23" s="6"/>
      <c r="TRX23" s="6"/>
      <c r="TRY23" s="6"/>
      <c r="TRZ23" s="6"/>
      <c r="TSA23" s="6"/>
      <c r="TSB23" s="6"/>
      <c r="TSC23" s="6"/>
      <c r="TSD23" s="6"/>
      <c r="TSE23" s="6"/>
      <c r="TSF23" s="6"/>
      <c r="TSG23" s="6"/>
      <c r="TSH23" s="6"/>
      <c r="TSI23" s="6"/>
      <c r="TSJ23" s="6"/>
      <c r="TSK23" s="6"/>
      <c r="TSL23" s="6"/>
      <c r="TSM23" s="6"/>
      <c r="TSN23" s="6"/>
      <c r="TSO23" s="6"/>
      <c r="TSP23" s="6"/>
      <c r="TSQ23" s="6"/>
      <c r="TSR23" s="6"/>
      <c r="TSS23" s="6"/>
      <c r="TST23" s="6"/>
      <c r="TSU23" s="6"/>
      <c r="TSV23" s="6"/>
      <c r="TSW23" s="6"/>
      <c r="TSX23" s="6"/>
      <c r="TSY23" s="6"/>
      <c r="TSZ23" s="6"/>
      <c r="TTA23" s="6"/>
      <c r="TTB23" s="6"/>
      <c r="TTC23" s="6"/>
      <c r="TTD23" s="6"/>
      <c r="TTE23" s="6"/>
      <c r="TTF23" s="6"/>
      <c r="TTG23" s="6"/>
      <c r="TTH23" s="6"/>
      <c r="TTI23" s="6"/>
      <c r="TTJ23" s="6"/>
      <c r="TTK23" s="6"/>
      <c r="TTL23" s="6"/>
      <c r="TTM23" s="6"/>
      <c r="TTN23" s="6"/>
      <c r="TTO23" s="6"/>
      <c r="TTP23" s="6"/>
      <c r="TTQ23" s="6"/>
      <c r="TTR23" s="6"/>
      <c r="TTS23" s="6"/>
      <c r="TTT23" s="6"/>
      <c r="TTU23" s="6"/>
      <c r="TTV23" s="6"/>
      <c r="TTW23" s="6"/>
      <c r="TTX23" s="6"/>
      <c r="TTY23" s="6"/>
      <c r="TTZ23" s="6"/>
      <c r="TUA23" s="6"/>
      <c r="TUB23" s="6"/>
      <c r="TUC23" s="6"/>
      <c r="TUD23" s="6"/>
      <c r="TUE23" s="6"/>
      <c r="TUF23" s="6"/>
      <c r="TUG23" s="6"/>
      <c r="TUH23" s="6"/>
      <c r="TUI23" s="6"/>
      <c r="TUJ23" s="6"/>
      <c r="TUK23" s="6"/>
      <c r="TUL23" s="6"/>
      <c r="TUM23" s="6"/>
      <c r="TUN23" s="6"/>
      <c r="TUO23" s="6"/>
      <c r="TUP23" s="6"/>
      <c r="TUQ23" s="6"/>
      <c r="TUR23" s="6"/>
      <c r="TUS23" s="6"/>
      <c r="TUT23" s="6"/>
      <c r="TUU23" s="6"/>
      <c r="TUV23" s="6"/>
      <c r="TUW23" s="6"/>
      <c r="TUX23" s="6"/>
      <c r="TUY23" s="6"/>
      <c r="TUZ23" s="6"/>
      <c r="TVA23" s="6"/>
      <c r="TVB23" s="6"/>
      <c r="TVC23" s="6"/>
      <c r="TVD23" s="6"/>
      <c r="TVE23" s="6"/>
      <c r="TVF23" s="6"/>
      <c r="TVG23" s="6"/>
      <c r="TVH23" s="6"/>
      <c r="TVI23" s="6"/>
      <c r="TVJ23" s="6"/>
      <c r="TVK23" s="6"/>
      <c r="TVL23" s="6"/>
      <c r="TVM23" s="6"/>
      <c r="TVN23" s="6"/>
      <c r="TVO23" s="6"/>
      <c r="TVP23" s="6"/>
      <c r="TVQ23" s="6"/>
      <c r="TVR23" s="6"/>
      <c r="TVS23" s="6"/>
      <c r="TVT23" s="6"/>
      <c r="TVU23" s="6"/>
      <c r="TVV23" s="6"/>
      <c r="TVW23" s="6"/>
      <c r="TVX23" s="6"/>
      <c r="TVY23" s="6"/>
      <c r="TVZ23" s="6"/>
      <c r="TWA23" s="6"/>
      <c r="TWB23" s="6"/>
      <c r="TWC23" s="6"/>
      <c r="TWD23" s="6"/>
      <c r="TWE23" s="6"/>
      <c r="TWF23" s="6"/>
      <c r="TWG23" s="6"/>
      <c r="TWH23" s="6"/>
      <c r="TWI23" s="6"/>
      <c r="TWJ23" s="6"/>
      <c r="TWK23" s="6"/>
      <c r="TWL23" s="6"/>
      <c r="TWM23" s="6"/>
      <c r="TWN23" s="6"/>
      <c r="TWO23" s="6"/>
      <c r="TWP23" s="6"/>
      <c r="TWQ23" s="6"/>
      <c r="TWR23" s="6"/>
      <c r="TWS23" s="6"/>
      <c r="TWT23" s="6"/>
      <c r="TWU23" s="6"/>
      <c r="TWV23" s="6"/>
      <c r="TWW23" s="6"/>
      <c r="TWX23" s="6"/>
      <c r="TWY23" s="6"/>
      <c r="TWZ23" s="6"/>
      <c r="TXA23" s="6"/>
      <c r="TXB23" s="6"/>
      <c r="TXC23" s="6"/>
      <c r="TXD23" s="6"/>
      <c r="TXE23" s="6"/>
      <c r="TXF23" s="6"/>
      <c r="TXG23" s="6"/>
      <c r="TXH23" s="6"/>
      <c r="TXI23" s="6"/>
      <c r="TXJ23" s="6"/>
      <c r="TXK23" s="6"/>
      <c r="TXL23" s="6"/>
      <c r="TXM23" s="6"/>
      <c r="TXN23" s="6"/>
      <c r="TXO23" s="6"/>
      <c r="TXP23" s="6"/>
      <c r="TXQ23" s="6"/>
      <c r="TXR23" s="6"/>
      <c r="TXS23" s="6"/>
      <c r="TXT23" s="6"/>
      <c r="TXU23" s="6"/>
      <c r="TXV23" s="6"/>
      <c r="TXW23" s="6"/>
      <c r="TXX23" s="6"/>
      <c r="TXY23" s="6"/>
      <c r="TXZ23" s="6"/>
      <c r="TYA23" s="6"/>
      <c r="TYB23" s="6"/>
      <c r="TYC23" s="6"/>
      <c r="TYD23" s="6"/>
      <c r="TYE23" s="6"/>
      <c r="TYF23" s="6"/>
      <c r="TYG23" s="6"/>
      <c r="TYH23" s="6"/>
      <c r="TYI23" s="6"/>
      <c r="TYJ23" s="6"/>
      <c r="TYK23" s="6"/>
      <c r="TYL23" s="6"/>
      <c r="TYM23" s="6"/>
      <c r="TYN23" s="6"/>
      <c r="TYO23" s="6"/>
      <c r="TYP23" s="6"/>
      <c r="TYQ23" s="6"/>
      <c r="TYR23" s="6"/>
      <c r="TYS23" s="6"/>
      <c r="TYT23" s="6"/>
      <c r="TYU23" s="6"/>
      <c r="TYV23" s="6"/>
      <c r="TYW23" s="6"/>
      <c r="TYX23" s="6"/>
      <c r="TYY23" s="6"/>
      <c r="TYZ23" s="6"/>
      <c r="TZA23" s="6"/>
      <c r="TZB23" s="6"/>
      <c r="TZC23" s="6"/>
      <c r="TZD23" s="6"/>
      <c r="TZE23" s="6"/>
      <c r="TZF23" s="6"/>
      <c r="TZG23" s="6"/>
      <c r="TZH23" s="6"/>
      <c r="TZI23" s="6"/>
      <c r="TZJ23" s="6"/>
      <c r="TZK23" s="6"/>
      <c r="TZL23" s="6"/>
      <c r="TZM23" s="6"/>
      <c r="TZN23" s="6"/>
      <c r="TZO23" s="6"/>
      <c r="TZP23" s="6"/>
      <c r="TZQ23" s="6"/>
      <c r="TZR23" s="6"/>
      <c r="TZS23" s="6"/>
      <c r="TZT23" s="6"/>
      <c r="TZU23" s="6"/>
      <c r="TZV23" s="6"/>
      <c r="TZW23" s="6"/>
      <c r="TZX23" s="6"/>
      <c r="TZY23" s="6"/>
      <c r="TZZ23" s="6"/>
      <c r="UAA23" s="6"/>
      <c r="UAB23" s="6"/>
      <c r="UAC23" s="6"/>
      <c r="UAD23" s="6"/>
      <c r="UAE23" s="6"/>
      <c r="UAF23" s="6"/>
      <c r="UAG23" s="6"/>
      <c r="UAH23" s="6"/>
      <c r="UAI23" s="6"/>
      <c r="UAJ23" s="6"/>
      <c r="UAK23" s="6"/>
      <c r="UAL23" s="6"/>
      <c r="UAM23" s="6"/>
      <c r="UAN23" s="6"/>
      <c r="UAO23" s="6"/>
      <c r="UAP23" s="6"/>
      <c r="UAQ23" s="6"/>
      <c r="UAR23" s="6"/>
      <c r="UAS23" s="6"/>
      <c r="UAT23" s="6"/>
      <c r="UAU23" s="6"/>
      <c r="UAV23" s="6"/>
      <c r="UAW23" s="6"/>
      <c r="UAX23" s="6"/>
      <c r="UAY23" s="6"/>
      <c r="UAZ23" s="6"/>
      <c r="UBA23" s="6"/>
      <c r="UBB23" s="6"/>
      <c r="UBC23" s="6"/>
      <c r="UBD23" s="6"/>
      <c r="UBE23" s="6"/>
      <c r="UBF23" s="6"/>
      <c r="UBG23" s="6"/>
      <c r="UBH23" s="6"/>
      <c r="UBI23" s="6"/>
      <c r="UBJ23" s="6"/>
      <c r="UBK23" s="6"/>
      <c r="UBL23" s="6"/>
      <c r="UBM23" s="6"/>
      <c r="UBN23" s="6"/>
      <c r="UBO23" s="6"/>
      <c r="UBP23" s="6"/>
      <c r="UBQ23" s="6"/>
      <c r="UBR23" s="6"/>
      <c r="UBS23" s="6"/>
      <c r="UBT23" s="6"/>
      <c r="UBU23" s="6"/>
      <c r="UBV23" s="6"/>
      <c r="UBW23" s="6"/>
      <c r="UBX23" s="6"/>
      <c r="UBY23" s="6"/>
      <c r="UBZ23" s="6"/>
      <c r="UCA23" s="6"/>
      <c r="UCB23" s="6"/>
      <c r="UCC23" s="6"/>
      <c r="UCD23" s="6"/>
      <c r="UCE23" s="6"/>
      <c r="UCF23" s="6"/>
      <c r="UCG23" s="6"/>
      <c r="UCH23" s="6"/>
      <c r="UCI23" s="6"/>
      <c r="UCJ23" s="6"/>
      <c r="UCK23" s="6"/>
      <c r="UCL23" s="6"/>
      <c r="UCM23" s="6"/>
      <c r="UCN23" s="6"/>
      <c r="UCO23" s="6"/>
      <c r="UCP23" s="6"/>
      <c r="UCQ23" s="6"/>
      <c r="UCR23" s="6"/>
      <c r="UCS23" s="6"/>
      <c r="UCT23" s="6"/>
      <c r="UCU23" s="6"/>
      <c r="UCV23" s="6"/>
      <c r="UCW23" s="6"/>
      <c r="UCX23" s="6"/>
      <c r="UCY23" s="6"/>
      <c r="UCZ23" s="6"/>
      <c r="UDA23" s="6"/>
      <c r="UDB23" s="6"/>
      <c r="UDC23" s="6"/>
      <c r="UDD23" s="6"/>
      <c r="UDE23" s="6"/>
      <c r="UDF23" s="6"/>
      <c r="UDG23" s="6"/>
      <c r="UDH23" s="6"/>
      <c r="UDI23" s="6"/>
      <c r="UDJ23" s="6"/>
      <c r="UDK23" s="6"/>
      <c r="UDL23" s="6"/>
      <c r="UDM23" s="6"/>
      <c r="UDN23" s="6"/>
      <c r="UDO23" s="6"/>
      <c r="UDP23" s="6"/>
      <c r="UDQ23" s="6"/>
      <c r="UDR23" s="6"/>
      <c r="UDS23" s="6"/>
      <c r="UDT23" s="6"/>
      <c r="UDU23" s="6"/>
      <c r="UDV23" s="6"/>
      <c r="UDW23" s="6"/>
      <c r="UDX23" s="6"/>
      <c r="UDY23" s="6"/>
      <c r="UDZ23" s="6"/>
      <c r="UEA23" s="6"/>
      <c r="UEB23" s="6"/>
      <c r="UEC23" s="6"/>
      <c r="UED23" s="6"/>
      <c r="UEE23" s="6"/>
      <c r="UEF23" s="6"/>
      <c r="UEG23" s="6"/>
      <c r="UEH23" s="6"/>
      <c r="UEI23" s="6"/>
      <c r="UEJ23" s="6"/>
      <c r="UEK23" s="6"/>
      <c r="UEL23" s="6"/>
      <c r="UEM23" s="6"/>
      <c r="UEN23" s="6"/>
      <c r="UEO23" s="6"/>
      <c r="UEP23" s="6"/>
      <c r="UEQ23" s="6"/>
      <c r="UER23" s="6"/>
      <c r="UES23" s="6"/>
      <c r="UET23" s="6"/>
      <c r="UEU23" s="6"/>
      <c r="UEV23" s="6"/>
      <c r="UEW23" s="6"/>
      <c r="UEX23" s="6"/>
      <c r="UEY23" s="6"/>
      <c r="UEZ23" s="6"/>
      <c r="UFA23" s="6"/>
      <c r="UFB23" s="6"/>
      <c r="UFC23" s="6"/>
      <c r="UFD23" s="6"/>
      <c r="UFE23" s="6"/>
      <c r="UFF23" s="6"/>
      <c r="UFG23" s="6"/>
      <c r="UFH23" s="6"/>
      <c r="UFI23" s="6"/>
      <c r="UFJ23" s="6"/>
      <c r="UFK23" s="6"/>
      <c r="UFL23" s="6"/>
      <c r="UFM23" s="6"/>
      <c r="UFN23" s="6"/>
      <c r="UFO23" s="6"/>
      <c r="UFP23" s="6"/>
      <c r="UFQ23" s="6"/>
      <c r="UFR23" s="6"/>
      <c r="UFS23" s="6"/>
      <c r="UFT23" s="6"/>
      <c r="UFU23" s="6"/>
      <c r="UFV23" s="6"/>
      <c r="UFW23" s="6"/>
      <c r="UFX23" s="6"/>
      <c r="UFY23" s="6"/>
      <c r="UFZ23" s="6"/>
      <c r="UGA23" s="6"/>
      <c r="UGB23" s="6"/>
      <c r="UGC23" s="6"/>
      <c r="UGD23" s="6"/>
      <c r="UGE23" s="6"/>
      <c r="UGF23" s="6"/>
      <c r="UGG23" s="6"/>
      <c r="UGH23" s="6"/>
      <c r="UGI23" s="6"/>
      <c r="UGJ23" s="6"/>
      <c r="UGK23" s="6"/>
      <c r="UGL23" s="6"/>
      <c r="UGM23" s="6"/>
      <c r="UGN23" s="6"/>
      <c r="UGO23" s="6"/>
      <c r="UGP23" s="6"/>
      <c r="UGQ23" s="6"/>
      <c r="UGR23" s="6"/>
      <c r="UGS23" s="6"/>
      <c r="UGT23" s="6"/>
      <c r="UGU23" s="6"/>
      <c r="UGV23" s="6"/>
      <c r="UGW23" s="6"/>
      <c r="UGX23" s="6"/>
      <c r="UGY23" s="6"/>
      <c r="UGZ23" s="6"/>
      <c r="UHA23" s="6"/>
      <c r="UHB23" s="6"/>
      <c r="UHC23" s="6"/>
      <c r="UHD23" s="6"/>
      <c r="UHE23" s="6"/>
      <c r="UHF23" s="6"/>
      <c r="UHG23" s="6"/>
      <c r="UHH23" s="6"/>
      <c r="UHI23" s="6"/>
      <c r="UHJ23" s="6"/>
      <c r="UHK23" s="6"/>
      <c r="UHL23" s="6"/>
      <c r="UHM23" s="6"/>
      <c r="UHN23" s="6"/>
      <c r="UHO23" s="6"/>
      <c r="UHP23" s="6"/>
      <c r="UHQ23" s="6"/>
      <c r="UHR23" s="6"/>
      <c r="UHS23" s="6"/>
      <c r="UHT23" s="6"/>
      <c r="UHU23" s="6"/>
      <c r="UHV23" s="6"/>
      <c r="UHW23" s="6"/>
      <c r="UHX23" s="6"/>
      <c r="UHY23" s="6"/>
      <c r="UHZ23" s="6"/>
      <c r="UIA23" s="6"/>
      <c r="UIB23" s="6"/>
      <c r="UIC23" s="6"/>
      <c r="UID23" s="6"/>
      <c r="UIE23" s="6"/>
      <c r="UIF23" s="6"/>
      <c r="UIG23" s="6"/>
      <c r="UIH23" s="6"/>
      <c r="UII23" s="6"/>
      <c r="UIJ23" s="6"/>
      <c r="UIK23" s="6"/>
      <c r="UIL23" s="6"/>
      <c r="UIM23" s="6"/>
      <c r="UIN23" s="6"/>
      <c r="UIO23" s="6"/>
      <c r="UIP23" s="6"/>
      <c r="UIQ23" s="6"/>
      <c r="UIR23" s="6"/>
      <c r="UIS23" s="6"/>
      <c r="UIT23" s="6"/>
      <c r="UIU23" s="6"/>
      <c r="UIV23" s="6"/>
      <c r="UIW23" s="6"/>
      <c r="UIX23" s="6"/>
      <c r="UIY23" s="6"/>
      <c r="UIZ23" s="6"/>
      <c r="UJA23" s="6"/>
      <c r="UJB23" s="6"/>
      <c r="UJC23" s="6"/>
      <c r="UJD23" s="6"/>
      <c r="UJE23" s="6"/>
      <c r="UJF23" s="6"/>
      <c r="UJG23" s="6"/>
      <c r="UJH23" s="6"/>
      <c r="UJI23" s="6"/>
      <c r="UJJ23" s="6"/>
      <c r="UJK23" s="6"/>
      <c r="UJL23" s="6"/>
      <c r="UJM23" s="6"/>
      <c r="UJN23" s="6"/>
      <c r="UJO23" s="6"/>
      <c r="UJP23" s="6"/>
      <c r="UJQ23" s="6"/>
      <c r="UJR23" s="6"/>
      <c r="UJS23" s="6"/>
      <c r="UJT23" s="6"/>
      <c r="UJU23" s="6"/>
      <c r="UJV23" s="6"/>
      <c r="UJW23" s="6"/>
      <c r="UJX23" s="6"/>
      <c r="UJY23" s="6"/>
      <c r="UJZ23" s="6"/>
      <c r="UKA23" s="6"/>
      <c r="UKB23" s="6"/>
      <c r="UKC23" s="6"/>
      <c r="UKD23" s="6"/>
      <c r="UKE23" s="6"/>
      <c r="UKF23" s="6"/>
      <c r="UKG23" s="6"/>
      <c r="UKH23" s="6"/>
      <c r="UKI23" s="6"/>
      <c r="UKJ23" s="6"/>
      <c r="UKK23" s="6"/>
      <c r="UKL23" s="6"/>
      <c r="UKM23" s="6"/>
      <c r="UKN23" s="6"/>
      <c r="UKO23" s="6"/>
      <c r="UKP23" s="6"/>
      <c r="UKQ23" s="6"/>
      <c r="UKR23" s="6"/>
      <c r="UKS23" s="6"/>
      <c r="UKT23" s="6"/>
      <c r="UKU23" s="6"/>
      <c r="UKV23" s="6"/>
      <c r="UKW23" s="6"/>
      <c r="UKX23" s="6"/>
      <c r="UKY23" s="6"/>
      <c r="UKZ23" s="6"/>
      <c r="ULA23" s="6"/>
      <c r="ULB23" s="6"/>
      <c r="ULC23" s="6"/>
      <c r="ULD23" s="6"/>
      <c r="ULE23" s="6"/>
      <c r="ULF23" s="6"/>
      <c r="ULG23" s="6"/>
      <c r="ULH23" s="6"/>
      <c r="ULI23" s="6"/>
      <c r="ULJ23" s="6"/>
      <c r="ULK23" s="6"/>
      <c r="ULL23" s="6"/>
      <c r="ULM23" s="6"/>
      <c r="ULN23" s="6"/>
      <c r="ULO23" s="6"/>
      <c r="ULP23" s="6"/>
      <c r="ULQ23" s="6"/>
      <c r="ULR23" s="6"/>
      <c r="ULS23" s="6"/>
      <c r="ULT23" s="6"/>
      <c r="ULU23" s="6"/>
      <c r="ULV23" s="6"/>
      <c r="ULW23" s="6"/>
      <c r="ULX23" s="6"/>
      <c r="ULY23" s="6"/>
      <c r="ULZ23" s="6"/>
      <c r="UMA23" s="6"/>
      <c r="UMB23" s="6"/>
      <c r="UMC23" s="6"/>
      <c r="UMD23" s="6"/>
      <c r="UME23" s="6"/>
      <c r="UMF23" s="6"/>
      <c r="UMG23" s="6"/>
      <c r="UMH23" s="6"/>
      <c r="UMI23" s="6"/>
      <c r="UMJ23" s="6"/>
      <c r="UMK23" s="6"/>
      <c r="UML23" s="6"/>
      <c r="UMM23" s="6"/>
      <c r="UMN23" s="6"/>
      <c r="UMO23" s="6"/>
      <c r="UMP23" s="6"/>
      <c r="UMQ23" s="6"/>
      <c r="UMR23" s="6"/>
      <c r="UMS23" s="6"/>
      <c r="UMT23" s="6"/>
      <c r="UMU23" s="6"/>
      <c r="UMV23" s="6"/>
      <c r="UMW23" s="6"/>
      <c r="UMX23" s="6"/>
      <c r="UMY23" s="6"/>
      <c r="UMZ23" s="6"/>
      <c r="UNA23" s="6"/>
      <c r="UNB23" s="6"/>
      <c r="UNC23" s="6"/>
      <c r="UND23" s="6"/>
      <c r="UNE23" s="6"/>
      <c r="UNF23" s="6"/>
      <c r="UNG23" s="6"/>
      <c r="UNH23" s="6"/>
      <c r="UNI23" s="6"/>
      <c r="UNJ23" s="6"/>
      <c r="UNK23" s="6"/>
      <c r="UNL23" s="6"/>
      <c r="UNM23" s="6"/>
      <c r="UNN23" s="6"/>
      <c r="UNO23" s="6"/>
      <c r="UNP23" s="6"/>
      <c r="UNQ23" s="6"/>
      <c r="UNR23" s="6"/>
      <c r="UNS23" s="6"/>
      <c r="UNT23" s="6"/>
      <c r="UNU23" s="6"/>
      <c r="UNV23" s="6"/>
      <c r="UNW23" s="6"/>
      <c r="UNX23" s="6"/>
      <c r="UNY23" s="6"/>
      <c r="UNZ23" s="6"/>
      <c r="UOA23" s="6"/>
      <c r="UOB23" s="6"/>
      <c r="UOC23" s="6"/>
      <c r="UOD23" s="6"/>
      <c r="UOE23" s="6"/>
      <c r="UOF23" s="6"/>
      <c r="UOG23" s="6"/>
      <c r="UOH23" s="6"/>
      <c r="UOI23" s="6"/>
      <c r="UOJ23" s="6"/>
      <c r="UOK23" s="6"/>
      <c r="UOL23" s="6"/>
      <c r="UOM23" s="6"/>
      <c r="UON23" s="6"/>
      <c r="UOO23" s="6"/>
      <c r="UOP23" s="6"/>
      <c r="UOQ23" s="6"/>
      <c r="UOR23" s="6"/>
      <c r="UOS23" s="6"/>
      <c r="UOT23" s="6"/>
      <c r="UOU23" s="6"/>
      <c r="UOV23" s="6"/>
      <c r="UOW23" s="6"/>
      <c r="UOX23" s="6"/>
      <c r="UOY23" s="6"/>
      <c r="UOZ23" s="6"/>
      <c r="UPA23" s="6"/>
      <c r="UPB23" s="6"/>
      <c r="UPC23" s="6"/>
      <c r="UPD23" s="6"/>
      <c r="UPE23" s="6"/>
      <c r="UPF23" s="6"/>
      <c r="UPG23" s="6"/>
      <c r="UPH23" s="6"/>
      <c r="UPI23" s="6"/>
      <c r="UPJ23" s="6"/>
      <c r="UPK23" s="6"/>
      <c r="UPL23" s="6"/>
      <c r="UPM23" s="6"/>
      <c r="UPN23" s="6"/>
      <c r="UPO23" s="6"/>
      <c r="UPP23" s="6"/>
      <c r="UPQ23" s="6"/>
      <c r="UPR23" s="6"/>
      <c r="UPS23" s="6"/>
      <c r="UPT23" s="6"/>
      <c r="UPU23" s="6"/>
      <c r="UPV23" s="6"/>
      <c r="UPW23" s="6"/>
      <c r="UPX23" s="6"/>
      <c r="UPY23" s="6"/>
      <c r="UPZ23" s="6"/>
      <c r="UQA23" s="6"/>
      <c r="UQB23" s="6"/>
      <c r="UQC23" s="6"/>
      <c r="UQD23" s="6"/>
      <c r="UQE23" s="6"/>
      <c r="UQF23" s="6"/>
      <c r="UQG23" s="6"/>
      <c r="UQH23" s="6"/>
      <c r="UQI23" s="6"/>
      <c r="UQJ23" s="6"/>
      <c r="UQK23" s="6"/>
      <c r="UQL23" s="6"/>
      <c r="UQM23" s="6"/>
      <c r="UQN23" s="6"/>
      <c r="UQO23" s="6"/>
      <c r="UQP23" s="6"/>
      <c r="UQQ23" s="6"/>
      <c r="UQR23" s="6"/>
      <c r="UQS23" s="6"/>
      <c r="UQT23" s="6"/>
      <c r="UQU23" s="6"/>
      <c r="UQV23" s="6"/>
      <c r="UQW23" s="6"/>
      <c r="UQX23" s="6"/>
      <c r="UQY23" s="6"/>
      <c r="UQZ23" s="6"/>
      <c r="URA23" s="6"/>
      <c r="URB23" s="6"/>
      <c r="URC23" s="6"/>
      <c r="URD23" s="6"/>
      <c r="URE23" s="6"/>
      <c r="URF23" s="6"/>
      <c r="URG23" s="6"/>
      <c r="URH23" s="6"/>
      <c r="URI23" s="6"/>
      <c r="URJ23" s="6"/>
      <c r="URK23" s="6"/>
      <c r="URL23" s="6"/>
      <c r="URM23" s="6"/>
      <c r="URN23" s="6"/>
      <c r="URO23" s="6"/>
      <c r="URP23" s="6"/>
      <c r="URQ23" s="6"/>
      <c r="URR23" s="6"/>
      <c r="URS23" s="6"/>
      <c r="URT23" s="6"/>
      <c r="URU23" s="6"/>
      <c r="URV23" s="6"/>
      <c r="URW23" s="6"/>
      <c r="URX23" s="6"/>
      <c r="URY23" s="6"/>
      <c r="URZ23" s="6"/>
      <c r="USA23" s="6"/>
      <c r="USB23" s="6"/>
      <c r="USC23" s="6"/>
      <c r="USD23" s="6"/>
      <c r="USE23" s="6"/>
      <c r="USF23" s="6"/>
      <c r="USG23" s="6"/>
      <c r="USH23" s="6"/>
      <c r="USI23" s="6"/>
      <c r="USJ23" s="6"/>
      <c r="USK23" s="6"/>
      <c r="USL23" s="6"/>
      <c r="USM23" s="6"/>
      <c r="USN23" s="6"/>
      <c r="USO23" s="6"/>
      <c r="USP23" s="6"/>
      <c r="USQ23" s="6"/>
      <c r="USR23" s="6"/>
      <c r="USS23" s="6"/>
      <c r="UST23" s="6"/>
      <c r="USU23" s="6"/>
      <c r="USV23" s="6"/>
      <c r="USW23" s="6"/>
      <c r="USX23" s="6"/>
      <c r="USY23" s="6"/>
      <c r="USZ23" s="6"/>
      <c r="UTA23" s="6"/>
      <c r="UTB23" s="6"/>
      <c r="UTC23" s="6"/>
      <c r="UTD23" s="6"/>
      <c r="UTE23" s="6"/>
      <c r="UTF23" s="6"/>
      <c r="UTG23" s="6"/>
      <c r="UTH23" s="6"/>
      <c r="UTI23" s="6"/>
      <c r="UTJ23" s="6"/>
      <c r="UTK23" s="6"/>
      <c r="UTL23" s="6"/>
      <c r="UTM23" s="6"/>
      <c r="UTN23" s="6"/>
      <c r="UTO23" s="6"/>
      <c r="UTP23" s="6"/>
      <c r="UTQ23" s="6"/>
      <c r="UTR23" s="6"/>
      <c r="UTS23" s="6"/>
      <c r="UTT23" s="6"/>
      <c r="UTU23" s="6"/>
      <c r="UTV23" s="6"/>
      <c r="UTW23" s="6"/>
      <c r="UTX23" s="6"/>
      <c r="UTY23" s="6"/>
      <c r="UTZ23" s="6"/>
      <c r="UUA23" s="6"/>
      <c r="UUB23" s="6"/>
      <c r="UUC23" s="6"/>
      <c r="UUD23" s="6"/>
      <c r="UUE23" s="6"/>
      <c r="UUF23" s="6"/>
      <c r="UUG23" s="6"/>
      <c r="UUH23" s="6"/>
      <c r="UUI23" s="6"/>
      <c r="UUJ23" s="6"/>
      <c r="UUK23" s="6"/>
      <c r="UUL23" s="6"/>
      <c r="UUM23" s="6"/>
      <c r="UUN23" s="6"/>
      <c r="UUO23" s="6"/>
      <c r="UUP23" s="6"/>
      <c r="UUQ23" s="6"/>
      <c r="UUR23" s="6"/>
      <c r="UUS23" s="6"/>
      <c r="UUT23" s="6"/>
      <c r="UUU23" s="6"/>
      <c r="UUV23" s="6"/>
      <c r="UUW23" s="6"/>
      <c r="UUX23" s="6"/>
      <c r="UUY23" s="6"/>
      <c r="UUZ23" s="6"/>
      <c r="UVA23" s="6"/>
      <c r="UVB23" s="6"/>
      <c r="UVC23" s="6"/>
      <c r="UVD23" s="6"/>
      <c r="UVE23" s="6"/>
      <c r="UVF23" s="6"/>
      <c r="UVG23" s="6"/>
      <c r="UVH23" s="6"/>
      <c r="UVI23" s="6"/>
      <c r="UVJ23" s="6"/>
      <c r="UVK23" s="6"/>
      <c r="UVL23" s="6"/>
      <c r="UVM23" s="6"/>
      <c r="UVN23" s="6"/>
      <c r="UVO23" s="6"/>
      <c r="UVP23" s="6"/>
      <c r="UVQ23" s="6"/>
      <c r="UVR23" s="6"/>
      <c r="UVS23" s="6"/>
      <c r="UVT23" s="6"/>
      <c r="UVU23" s="6"/>
      <c r="UVV23" s="6"/>
      <c r="UVW23" s="6"/>
      <c r="UVX23" s="6"/>
      <c r="UVY23" s="6"/>
      <c r="UVZ23" s="6"/>
      <c r="UWA23" s="6"/>
      <c r="UWB23" s="6"/>
      <c r="UWC23" s="6"/>
      <c r="UWD23" s="6"/>
      <c r="UWE23" s="6"/>
      <c r="UWF23" s="6"/>
      <c r="UWG23" s="6"/>
      <c r="UWH23" s="6"/>
      <c r="UWI23" s="6"/>
      <c r="UWJ23" s="6"/>
      <c r="UWK23" s="6"/>
      <c r="UWL23" s="6"/>
      <c r="UWM23" s="6"/>
      <c r="UWN23" s="6"/>
      <c r="UWO23" s="6"/>
      <c r="UWP23" s="6"/>
      <c r="UWQ23" s="6"/>
      <c r="UWR23" s="6"/>
      <c r="UWS23" s="6"/>
      <c r="UWT23" s="6"/>
      <c r="UWU23" s="6"/>
      <c r="UWV23" s="6"/>
      <c r="UWW23" s="6"/>
      <c r="UWX23" s="6"/>
      <c r="UWY23" s="6"/>
      <c r="UWZ23" s="6"/>
      <c r="UXA23" s="6"/>
      <c r="UXB23" s="6"/>
      <c r="UXC23" s="6"/>
      <c r="UXD23" s="6"/>
      <c r="UXE23" s="6"/>
      <c r="UXF23" s="6"/>
      <c r="UXG23" s="6"/>
      <c r="UXH23" s="6"/>
      <c r="UXI23" s="6"/>
      <c r="UXJ23" s="6"/>
      <c r="UXK23" s="6"/>
      <c r="UXL23" s="6"/>
      <c r="UXM23" s="6"/>
      <c r="UXN23" s="6"/>
      <c r="UXO23" s="6"/>
      <c r="UXP23" s="6"/>
      <c r="UXQ23" s="6"/>
      <c r="UXR23" s="6"/>
      <c r="UXS23" s="6"/>
      <c r="UXT23" s="6"/>
      <c r="UXU23" s="6"/>
      <c r="UXV23" s="6"/>
      <c r="UXW23" s="6"/>
      <c r="UXX23" s="6"/>
      <c r="UXY23" s="6"/>
      <c r="UXZ23" s="6"/>
      <c r="UYA23" s="6"/>
      <c r="UYB23" s="6"/>
      <c r="UYC23" s="6"/>
      <c r="UYD23" s="6"/>
      <c r="UYE23" s="6"/>
      <c r="UYF23" s="6"/>
      <c r="UYG23" s="6"/>
      <c r="UYH23" s="6"/>
      <c r="UYI23" s="6"/>
      <c r="UYJ23" s="6"/>
      <c r="UYK23" s="6"/>
      <c r="UYL23" s="6"/>
      <c r="UYM23" s="6"/>
      <c r="UYN23" s="6"/>
      <c r="UYO23" s="6"/>
      <c r="UYP23" s="6"/>
      <c r="UYQ23" s="6"/>
      <c r="UYR23" s="6"/>
      <c r="UYS23" s="6"/>
      <c r="UYT23" s="6"/>
      <c r="UYU23" s="6"/>
      <c r="UYV23" s="6"/>
      <c r="UYW23" s="6"/>
      <c r="UYX23" s="6"/>
      <c r="UYY23" s="6"/>
      <c r="UYZ23" s="6"/>
      <c r="UZA23" s="6"/>
      <c r="UZB23" s="6"/>
      <c r="UZC23" s="6"/>
      <c r="UZD23" s="6"/>
      <c r="UZE23" s="6"/>
      <c r="UZF23" s="6"/>
      <c r="UZG23" s="6"/>
      <c r="UZH23" s="6"/>
      <c r="UZI23" s="6"/>
      <c r="UZJ23" s="6"/>
      <c r="UZK23" s="6"/>
      <c r="UZL23" s="6"/>
      <c r="UZM23" s="6"/>
      <c r="UZN23" s="6"/>
      <c r="UZO23" s="6"/>
      <c r="UZP23" s="6"/>
      <c r="UZQ23" s="6"/>
      <c r="UZR23" s="6"/>
      <c r="UZS23" s="6"/>
      <c r="UZT23" s="6"/>
      <c r="UZU23" s="6"/>
      <c r="UZV23" s="6"/>
      <c r="UZW23" s="6"/>
      <c r="UZX23" s="6"/>
      <c r="UZY23" s="6"/>
      <c r="UZZ23" s="6"/>
      <c r="VAA23" s="6"/>
      <c r="VAB23" s="6"/>
      <c r="VAC23" s="6"/>
      <c r="VAD23" s="6"/>
      <c r="VAE23" s="6"/>
      <c r="VAF23" s="6"/>
      <c r="VAG23" s="6"/>
      <c r="VAH23" s="6"/>
      <c r="VAI23" s="6"/>
      <c r="VAJ23" s="6"/>
      <c r="VAK23" s="6"/>
      <c r="VAL23" s="6"/>
      <c r="VAM23" s="6"/>
      <c r="VAN23" s="6"/>
      <c r="VAO23" s="6"/>
      <c r="VAP23" s="6"/>
      <c r="VAQ23" s="6"/>
      <c r="VAR23" s="6"/>
      <c r="VAS23" s="6"/>
      <c r="VAT23" s="6"/>
      <c r="VAU23" s="6"/>
      <c r="VAV23" s="6"/>
      <c r="VAW23" s="6"/>
      <c r="VAX23" s="6"/>
      <c r="VAY23" s="6"/>
      <c r="VAZ23" s="6"/>
      <c r="VBA23" s="6"/>
      <c r="VBB23" s="6"/>
      <c r="VBC23" s="6"/>
      <c r="VBD23" s="6"/>
      <c r="VBE23" s="6"/>
      <c r="VBF23" s="6"/>
      <c r="VBG23" s="6"/>
      <c r="VBH23" s="6"/>
      <c r="VBI23" s="6"/>
      <c r="VBJ23" s="6"/>
      <c r="VBK23" s="6"/>
      <c r="VBL23" s="6"/>
      <c r="VBM23" s="6"/>
      <c r="VBN23" s="6"/>
      <c r="VBO23" s="6"/>
      <c r="VBP23" s="6"/>
      <c r="VBQ23" s="6"/>
      <c r="VBR23" s="6"/>
      <c r="VBS23" s="6"/>
      <c r="VBT23" s="6"/>
      <c r="VBU23" s="6"/>
      <c r="VBV23" s="6"/>
      <c r="VBW23" s="6"/>
      <c r="VBX23" s="6"/>
      <c r="VBY23" s="6"/>
      <c r="VBZ23" s="6"/>
      <c r="VCA23" s="6"/>
      <c r="VCB23" s="6"/>
      <c r="VCC23" s="6"/>
      <c r="VCD23" s="6"/>
      <c r="VCE23" s="6"/>
      <c r="VCF23" s="6"/>
      <c r="VCG23" s="6"/>
      <c r="VCH23" s="6"/>
      <c r="VCI23" s="6"/>
      <c r="VCJ23" s="6"/>
      <c r="VCK23" s="6"/>
      <c r="VCL23" s="6"/>
      <c r="VCM23" s="6"/>
      <c r="VCN23" s="6"/>
      <c r="VCO23" s="6"/>
      <c r="VCP23" s="6"/>
      <c r="VCQ23" s="6"/>
      <c r="VCR23" s="6"/>
      <c r="VCS23" s="6"/>
      <c r="VCT23" s="6"/>
      <c r="VCU23" s="6"/>
      <c r="VCV23" s="6"/>
      <c r="VCW23" s="6"/>
      <c r="VCX23" s="6"/>
      <c r="VCY23" s="6"/>
      <c r="VCZ23" s="6"/>
      <c r="VDA23" s="6"/>
      <c r="VDB23" s="6"/>
      <c r="VDC23" s="6"/>
      <c r="VDD23" s="6"/>
      <c r="VDE23" s="6"/>
      <c r="VDF23" s="6"/>
      <c r="VDG23" s="6"/>
      <c r="VDH23" s="6"/>
      <c r="VDI23" s="6"/>
      <c r="VDJ23" s="6"/>
      <c r="VDK23" s="6"/>
      <c r="VDL23" s="6"/>
      <c r="VDM23" s="6"/>
      <c r="VDN23" s="6"/>
      <c r="VDO23" s="6"/>
      <c r="VDP23" s="6"/>
      <c r="VDQ23" s="6"/>
      <c r="VDR23" s="6"/>
      <c r="VDS23" s="6"/>
      <c r="VDT23" s="6"/>
      <c r="VDU23" s="6"/>
      <c r="VDV23" s="6"/>
      <c r="VDW23" s="6"/>
      <c r="VDX23" s="6"/>
      <c r="VDY23" s="6"/>
      <c r="VDZ23" s="6"/>
      <c r="VEA23" s="6"/>
      <c r="VEB23" s="6"/>
      <c r="VEC23" s="6"/>
      <c r="VED23" s="6"/>
      <c r="VEE23" s="6"/>
      <c r="VEF23" s="6"/>
      <c r="VEG23" s="6"/>
      <c r="VEH23" s="6"/>
      <c r="VEI23" s="6"/>
      <c r="VEJ23" s="6"/>
      <c r="VEK23" s="6"/>
      <c r="VEL23" s="6"/>
      <c r="VEM23" s="6"/>
      <c r="VEN23" s="6"/>
      <c r="VEO23" s="6"/>
      <c r="VEP23" s="6"/>
      <c r="VEQ23" s="6"/>
      <c r="VER23" s="6"/>
      <c r="VES23" s="6"/>
      <c r="VET23" s="6"/>
      <c r="VEU23" s="6"/>
      <c r="VEV23" s="6"/>
      <c r="VEW23" s="6"/>
      <c r="VEX23" s="6"/>
      <c r="VEY23" s="6"/>
      <c r="VEZ23" s="6"/>
      <c r="VFA23" s="6"/>
      <c r="VFB23" s="6"/>
      <c r="VFC23" s="6"/>
      <c r="VFD23" s="6"/>
      <c r="VFE23" s="6"/>
      <c r="VFF23" s="6"/>
      <c r="VFG23" s="6"/>
      <c r="VFH23" s="6"/>
      <c r="VFI23" s="6"/>
      <c r="VFJ23" s="6"/>
      <c r="VFK23" s="6"/>
      <c r="VFL23" s="6"/>
      <c r="VFM23" s="6"/>
      <c r="VFN23" s="6"/>
      <c r="VFO23" s="6"/>
      <c r="VFP23" s="6"/>
      <c r="VFQ23" s="6"/>
      <c r="VFR23" s="6"/>
      <c r="VFS23" s="6"/>
      <c r="VFT23" s="6"/>
      <c r="VFU23" s="6"/>
      <c r="VFV23" s="6"/>
      <c r="VFW23" s="6"/>
      <c r="VFX23" s="6"/>
      <c r="VFY23" s="6"/>
      <c r="VFZ23" s="6"/>
      <c r="VGA23" s="6"/>
      <c r="VGB23" s="6"/>
      <c r="VGC23" s="6"/>
      <c r="VGD23" s="6"/>
      <c r="VGE23" s="6"/>
      <c r="VGF23" s="6"/>
      <c r="VGG23" s="6"/>
      <c r="VGH23" s="6"/>
      <c r="VGI23" s="6"/>
      <c r="VGJ23" s="6"/>
      <c r="VGK23" s="6"/>
      <c r="VGL23" s="6"/>
      <c r="VGM23" s="6"/>
      <c r="VGN23" s="6"/>
      <c r="VGO23" s="6"/>
      <c r="VGP23" s="6"/>
      <c r="VGQ23" s="6"/>
      <c r="VGR23" s="6"/>
      <c r="VGS23" s="6"/>
      <c r="VGT23" s="6"/>
      <c r="VGU23" s="6"/>
      <c r="VGV23" s="6"/>
      <c r="VGW23" s="6"/>
      <c r="VGX23" s="6"/>
      <c r="VGY23" s="6"/>
      <c r="VGZ23" s="6"/>
      <c r="VHA23" s="6"/>
      <c r="VHB23" s="6"/>
      <c r="VHC23" s="6"/>
      <c r="VHD23" s="6"/>
      <c r="VHE23" s="6"/>
      <c r="VHF23" s="6"/>
      <c r="VHG23" s="6"/>
      <c r="VHH23" s="6"/>
      <c r="VHI23" s="6"/>
      <c r="VHJ23" s="6"/>
      <c r="VHK23" s="6"/>
      <c r="VHL23" s="6"/>
      <c r="VHM23" s="6"/>
      <c r="VHN23" s="6"/>
      <c r="VHO23" s="6"/>
      <c r="VHP23" s="6"/>
      <c r="VHQ23" s="6"/>
      <c r="VHR23" s="6"/>
      <c r="VHS23" s="6"/>
      <c r="VHT23" s="6"/>
      <c r="VHU23" s="6"/>
      <c r="VHV23" s="6"/>
      <c r="VHW23" s="6"/>
      <c r="VHX23" s="6"/>
      <c r="VHY23" s="6"/>
      <c r="VHZ23" s="6"/>
      <c r="VIA23" s="6"/>
      <c r="VIB23" s="6"/>
      <c r="VIC23" s="6"/>
      <c r="VID23" s="6"/>
      <c r="VIE23" s="6"/>
      <c r="VIF23" s="6"/>
      <c r="VIG23" s="6"/>
      <c r="VIH23" s="6"/>
      <c r="VII23" s="6"/>
      <c r="VIJ23" s="6"/>
      <c r="VIK23" s="6"/>
      <c r="VIL23" s="6"/>
      <c r="VIM23" s="6"/>
      <c r="VIN23" s="6"/>
      <c r="VIO23" s="6"/>
      <c r="VIP23" s="6"/>
      <c r="VIQ23" s="6"/>
      <c r="VIR23" s="6"/>
      <c r="VIS23" s="6"/>
      <c r="VIT23" s="6"/>
      <c r="VIU23" s="6"/>
      <c r="VIV23" s="6"/>
      <c r="VIW23" s="6"/>
      <c r="VIX23" s="6"/>
      <c r="VIY23" s="6"/>
      <c r="VIZ23" s="6"/>
      <c r="VJA23" s="6"/>
      <c r="VJB23" s="6"/>
      <c r="VJC23" s="6"/>
      <c r="VJD23" s="6"/>
      <c r="VJE23" s="6"/>
      <c r="VJF23" s="6"/>
      <c r="VJG23" s="6"/>
      <c r="VJH23" s="6"/>
      <c r="VJI23" s="6"/>
      <c r="VJJ23" s="6"/>
      <c r="VJK23" s="6"/>
      <c r="VJL23" s="6"/>
      <c r="VJM23" s="6"/>
      <c r="VJN23" s="6"/>
      <c r="VJO23" s="6"/>
      <c r="VJP23" s="6"/>
      <c r="VJQ23" s="6"/>
      <c r="VJR23" s="6"/>
      <c r="VJS23" s="6"/>
      <c r="VJT23" s="6"/>
      <c r="VJU23" s="6"/>
      <c r="VJV23" s="6"/>
      <c r="VJW23" s="6"/>
      <c r="VJX23" s="6"/>
      <c r="VJY23" s="6"/>
      <c r="VJZ23" s="6"/>
      <c r="VKA23" s="6"/>
      <c r="VKB23" s="6"/>
      <c r="VKC23" s="6"/>
      <c r="VKD23" s="6"/>
      <c r="VKE23" s="6"/>
      <c r="VKF23" s="6"/>
      <c r="VKG23" s="6"/>
      <c r="VKH23" s="6"/>
      <c r="VKI23" s="6"/>
      <c r="VKJ23" s="6"/>
      <c r="VKK23" s="6"/>
      <c r="VKL23" s="6"/>
      <c r="VKM23" s="6"/>
      <c r="VKN23" s="6"/>
      <c r="VKO23" s="6"/>
      <c r="VKP23" s="6"/>
      <c r="VKQ23" s="6"/>
      <c r="VKR23" s="6"/>
      <c r="VKS23" s="6"/>
      <c r="VKT23" s="6"/>
      <c r="VKU23" s="6"/>
      <c r="VKV23" s="6"/>
      <c r="VKW23" s="6"/>
      <c r="VKX23" s="6"/>
      <c r="VKY23" s="6"/>
      <c r="VKZ23" s="6"/>
      <c r="VLA23" s="6"/>
      <c r="VLB23" s="6"/>
      <c r="VLC23" s="6"/>
      <c r="VLD23" s="6"/>
      <c r="VLE23" s="6"/>
      <c r="VLF23" s="6"/>
      <c r="VLG23" s="6"/>
      <c r="VLH23" s="6"/>
      <c r="VLI23" s="6"/>
      <c r="VLJ23" s="6"/>
      <c r="VLK23" s="6"/>
      <c r="VLL23" s="6"/>
      <c r="VLM23" s="6"/>
      <c r="VLN23" s="6"/>
      <c r="VLO23" s="6"/>
      <c r="VLP23" s="6"/>
      <c r="VLQ23" s="6"/>
      <c r="VLR23" s="6"/>
      <c r="VLS23" s="6"/>
      <c r="VLT23" s="6"/>
      <c r="VLU23" s="6"/>
      <c r="VLV23" s="6"/>
      <c r="VLW23" s="6"/>
      <c r="VLX23" s="6"/>
      <c r="VLY23" s="6"/>
      <c r="VLZ23" s="6"/>
      <c r="VMA23" s="6"/>
      <c r="VMB23" s="6"/>
      <c r="VMC23" s="6"/>
      <c r="VMD23" s="6"/>
      <c r="VME23" s="6"/>
      <c r="VMF23" s="6"/>
      <c r="VMG23" s="6"/>
      <c r="VMH23" s="6"/>
      <c r="VMI23" s="6"/>
      <c r="VMJ23" s="6"/>
      <c r="VMK23" s="6"/>
      <c r="VML23" s="6"/>
      <c r="VMM23" s="6"/>
      <c r="VMN23" s="6"/>
      <c r="VMO23" s="6"/>
      <c r="VMP23" s="6"/>
      <c r="VMQ23" s="6"/>
      <c r="VMR23" s="6"/>
      <c r="VMS23" s="6"/>
      <c r="VMT23" s="6"/>
      <c r="VMU23" s="6"/>
      <c r="VMV23" s="6"/>
      <c r="VMW23" s="6"/>
      <c r="VMX23" s="6"/>
      <c r="VMY23" s="6"/>
      <c r="VMZ23" s="6"/>
      <c r="VNA23" s="6"/>
      <c r="VNB23" s="6"/>
      <c r="VNC23" s="6"/>
      <c r="VND23" s="6"/>
      <c r="VNE23" s="6"/>
      <c r="VNF23" s="6"/>
      <c r="VNG23" s="6"/>
      <c r="VNH23" s="6"/>
      <c r="VNI23" s="6"/>
      <c r="VNJ23" s="6"/>
      <c r="VNK23" s="6"/>
      <c r="VNL23" s="6"/>
      <c r="VNM23" s="6"/>
      <c r="VNN23" s="6"/>
      <c r="VNO23" s="6"/>
      <c r="VNP23" s="6"/>
      <c r="VNQ23" s="6"/>
      <c r="VNR23" s="6"/>
      <c r="VNS23" s="6"/>
      <c r="VNT23" s="6"/>
      <c r="VNU23" s="6"/>
      <c r="VNV23" s="6"/>
      <c r="VNW23" s="6"/>
      <c r="VNX23" s="6"/>
      <c r="VNY23" s="6"/>
      <c r="VNZ23" s="6"/>
      <c r="VOA23" s="6"/>
      <c r="VOB23" s="6"/>
      <c r="VOC23" s="6"/>
      <c r="VOD23" s="6"/>
      <c r="VOE23" s="6"/>
      <c r="VOF23" s="6"/>
      <c r="VOG23" s="6"/>
      <c r="VOH23" s="6"/>
      <c r="VOI23" s="6"/>
      <c r="VOJ23" s="6"/>
      <c r="VOK23" s="6"/>
      <c r="VOL23" s="6"/>
      <c r="VOM23" s="6"/>
      <c r="VON23" s="6"/>
      <c r="VOO23" s="6"/>
      <c r="VOP23" s="6"/>
      <c r="VOQ23" s="6"/>
      <c r="VOR23" s="6"/>
      <c r="VOS23" s="6"/>
      <c r="VOT23" s="6"/>
      <c r="VOU23" s="6"/>
      <c r="VOV23" s="6"/>
      <c r="VOW23" s="6"/>
      <c r="VOX23" s="6"/>
      <c r="VOY23" s="6"/>
      <c r="VOZ23" s="6"/>
      <c r="VPA23" s="6"/>
      <c r="VPB23" s="6"/>
      <c r="VPC23" s="6"/>
      <c r="VPD23" s="6"/>
      <c r="VPE23" s="6"/>
      <c r="VPF23" s="6"/>
      <c r="VPG23" s="6"/>
      <c r="VPH23" s="6"/>
      <c r="VPI23" s="6"/>
      <c r="VPJ23" s="6"/>
      <c r="VPK23" s="6"/>
      <c r="VPL23" s="6"/>
      <c r="VPM23" s="6"/>
      <c r="VPN23" s="6"/>
      <c r="VPO23" s="6"/>
      <c r="VPP23" s="6"/>
      <c r="VPQ23" s="6"/>
      <c r="VPR23" s="6"/>
      <c r="VPS23" s="6"/>
      <c r="VPT23" s="6"/>
      <c r="VPU23" s="6"/>
      <c r="VPV23" s="6"/>
      <c r="VPW23" s="6"/>
      <c r="VPX23" s="6"/>
      <c r="VPY23" s="6"/>
      <c r="VPZ23" s="6"/>
      <c r="VQA23" s="6"/>
      <c r="VQB23" s="6"/>
      <c r="VQC23" s="6"/>
      <c r="VQD23" s="6"/>
      <c r="VQE23" s="6"/>
      <c r="VQF23" s="6"/>
      <c r="VQG23" s="6"/>
      <c r="VQH23" s="6"/>
      <c r="VQI23" s="6"/>
      <c r="VQJ23" s="6"/>
      <c r="VQK23" s="6"/>
      <c r="VQL23" s="6"/>
      <c r="VQM23" s="6"/>
      <c r="VQN23" s="6"/>
      <c r="VQO23" s="6"/>
      <c r="VQP23" s="6"/>
      <c r="VQQ23" s="6"/>
      <c r="VQR23" s="6"/>
      <c r="VQS23" s="6"/>
      <c r="VQT23" s="6"/>
      <c r="VQU23" s="6"/>
      <c r="VQV23" s="6"/>
      <c r="VQW23" s="6"/>
      <c r="VQX23" s="6"/>
      <c r="VQY23" s="6"/>
      <c r="VQZ23" s="6"/>
      <c r="VRA23" s="6"/>
      <c r="VRB23" s="6"/>
      <c r="VRC23" s="6"/>
      <c r="VRD23" s="6"/>
      <c r="VRE23" s="6"/>
      <c r="VRF23" s="6"/>
      <c r="VRG23" s="6"/>
      <c r="VRH23" s="6"/>
      <c r="VRI23" s="6"/>
      <c r="VRJ23" s="6"/>
      <c r="VRK23" s="6"/>
      <c r="VRL23" s="6"/>
      <c r="VRM23" s="6"/>
      <c r="VRN23" s="6"/>
      <c r="VRO23" s="6"/>
      <c r="VRP23" s="6"/>
      <c r="VRQ23" s="6"/>
      <c r="VRR23" s="6"/>
      <c r="VRS23" s="6"/>
      <c r="VRT23" s="6"/>
      <c r="VRU23" s="6"/>
      <c r="VRV23" s="6"/>
      <c r="VRW23" s="6"/>
      <c r="VRX23" s="6"/>
      <c r="VRY23" s="6"/>
      <c r="VRZ23" s="6"/>
      <c r="VSA23" s="6"/>
      <c r="VSB23" s="6"/>
      <c r="VSC23" s="6"/>
      <c r="VSD23" s="6"/>
      <c r="VSE23" s="6"/>
      <c r="VSF23" s="6"/>
      <c r="VSG23" s="6"/>
      <c r="VSH23" s="6"/>
      <c r="VSI23" s="6"/>
      <c r="VSJ23" s="6"/>
      <c r="VSK23" s="6"/>
      <c r="VSL23" s="6"/>
      <c r="VSM23" s="6"/>
      <c r="VSN23" s="6"/>
      <c r="VSO23" s="6"/>
      <c r="VSP23" s="6"/>
      <c r="VSQ23" s="6"/>
      <c r="VSR23" s="6"/>
      <c r="VSS23" s="6"/>
      <c r="VST23" s="6"/>
      <c r="VSU23" s="6"/>
      <c r="VSV23" s="6"/>
      <c r="VSW23" s="6"/>
      <c r="VSX23" s="6"/>
      <c r="VSY23" s="6"/>
      <c r="VSZ23" s="6"/>
      <c r="VTA23" s="6"/>
      <c r="VTB23" s="6"/>
      <c r="VTC23" s="6"/>
      <c r="VTD23" s="6"/>
      <c r="VTE23" s="6"/>
      <c r="VTF23" s="6"/>
      <c r="VTG23" s="6"/>
      <c r="VTH23" s="6"/>
      <c r="VTI23" s="6"/>
      <c r="VTJ23" s="6"/>
      <c r="VTK23" s="6"/>
      <c r="VTL23" s="6"/>
      <c r="VTM23" s="6"/>
      <c r="VTN23" s="6"/>
      <c r="VTO23" s="6"/>
      <c r="VTP23" s="6"/>
      <c r="VTQ23" s="6"/>
      <c r="VTR23" s="6"/>
      <c r="VTS23" s="6"/>
      <c r="VTT23" s="6"/>
      <c r="VTU23" s="6"/>
      <c r="VTV23" s="6"/>
      <c r="VTW23" s="6"/>
      <c r="VTX23" s="6"/>
      <c r="VTY23" s="6"/>
      <c r="VTZ23" s="6"/>
      <c r="VUA23" s="6"/>
      <c r="VUB23" s="6"/>
      <c r="VUC23" s="6"/>
      <c r="VUD23" s="6"/>
      <c r="VUE23" s="6"/>
      <c r="VUF23" s="6"/>
      <c r="VUG23" s="6"/>
      <c r="VUH23" s="6"/>
      <c r="VUI23" s="6"/>
      <c r="VUJ23" s="6"/>
      <c r="VUK23" s="6"/>
      <c r="VUL23" s="6"/>
      <c r="VUM23" s="6"/>
      <c r="VUN23" s="6"/>
      <c r="VUO23" s="6"/>
      <c r="VUP23" s="6"/>
      <c r="VUQ23" s="6"/>
      <c r="VUR23" s="6"/>
      <c r="VUS23" s="6"/>
      <c r="VUT23" s="6"/>
      <c r="VUU23" s="6"/>
      <c r="VUV23" s="6"/>
      <c r="VUW23" s="6"/>
      <c r="VUX23" s="6"/>
      <c r="VUY23" s="6"/>
      <c r="VUZ23" s="6"/>
      <c r="VVA23" s="6"/>
      <c r="VVB23" s="6"/>
      <c r="VVC23" s="6"/>
      <c r="VVD23" s="6"/>
      <c r="VVE23" s="6"/>
      <c r="VVF23" s="6"/>
      <c r="VVG23" s="6"/>
      <c r="VVH23" s="6"/>
      <c r="VVI23" s="6"/>
      <c r="VVJ23" s="6"/>
      <c r="VVK23" s="6"/>
      <c r="VVL23" s="6"/>
      <c r="VVM23" s="6"/>
      <c r="VVN23" s="6"/>
      <c r="VVO23" s="6"/>
      <c r="VVP23" s="6"/>
      <c r="VVQ23" s="6"/>
      <c r="VVR23" s="6"/>
      <c r="VVS23" s="6"/>
      <c r="VVT23" s="6"/>
      <c r="VVU23" s="6"/>
      <c r="VVV23" s="6"/>
      <c r="VVW23" s="6"/>
      <c r="VVX23" s="6"/>
      <c r="VVY23" s="6"/>
      <c r="VVZ23" s="6"/>
      <c r="VWA23" s="6"/>
      <c r="VWB23" s="6"/>
      <c r="VWC23" s="6"/>
      <c r="VWD23" s="6"/>
      <c r="VWE23" s="6"/>
      <c r="VWF23" s="6"/>
      <c r="VWG23" s="6"/>
      <c r="VWH23" s="6"/>
      <c r="VWI23" s="6"/>
      <c r="VWJ23" s="6"/>
      <c r="VWK23" s="6"/>
      <c r="VWL23" s="6"/>
      <c r="VWM23" s="6"/>
      <c r="VWN23" s="6"/>
      <c r="VWO23" s="6"/>
      <c r="VWP23" s="6"/>
      <c r="VWQ23" s="6"/>
      <c r="VWR23" s="6"/>
      <c r="VWS23" s="6"/>
      <c r="VWT23" s="6"/>
      <c r="VWU23" s="6"/>
      <c r="VWV23" s="6"/>
      <c r="VWW23" s="6"/>
      <c r="VWX23" s="6"/>
      <c r="VWY23" s="6"/>
      <c r="VWZ23" s="6"/>
      <c r="VXA23" s="6"/>
      <c r="VXB23" s="6"/>
      <c r="VXC23" s="6"/>
      <c r="VXD23" s="6"/>
      <c r="VXE23" s="6"/>
      <c r="VXF23" s="6"/>
      <c r="VXG23" s="6"/>
      <c r="VXH23" s="6"/>
      <c r="VXI23" s="6"/>
      <c r="VXJ23" s="6"/>
      <c r="VXK23" s="6"/>
      <c r="VXL23" s="6"/>
      <c r="VXM23" s="6"/>
      <c r="VXN23" s="6"/>
      <c r="VXO23" s="6"/>
      <c r="VXP23" s="6"/>
      <c r="VXQ23" s="6"/>
      <c r="VXR23" s="6"/>
      <c r="VXS23" s="6"/>
      <c r="VXT23" s="6"/>
      <c r="VXU23" s="6"/>
      <c r="VXV23" s="6"/>
      <c r="VXW23" s="6"/>
      <c r="VXX23" s="6"/>
      <c r="VXY23" s="6"/>
      <c r="VXZ23" s="6"/>
      <c r="VYA23" s="6"/>
      <c r="VYB23" s="6"/>
      <c r="VYC23" s="6"/>
      <c r="VYD23" s="6"/>
      <c r="VYE23" s="6"/>
      <c r="VYF23" s="6"/>
      <c r="VYG23" s="6"/>
      <c r="VYH23" s="6"/>
      <c r="VYI23" s="6"/>
      <c r="VYJ23" s="6"/>
      <c r="VYK23" s="6"/>
      <c r="VYL23" s="6"/>
      <c r="VYM23" s="6"/>
      <c r="VYN23" s="6"/>
      <c r="VYO23" s="6"/>
      <c r="VYP23" s="6"/>
      <c r="VYQ23" s="6"/>
      <c r="VYR23" s="6"/>
      <c r="VYS23" s="6"/>
      <c r="VYT23" s="6"/>
      <c r="VYU23" s="6"/>
      <c r="VYV23" s="6"/>
      <c r="VYW23" s="6"/>
      <c r="VYX23" s="6"/>
      <c r="VYY23" s="6"/>
      <c r="VYZ23" s="6"/>
      <c r="VZA23" s="6"/>
      <c r="VZB23" s="6"/>
      <c r="VZC23" s="6"/>
      <c r="VZD23" s="6"/>
      <c r="VZE23" s="6"/>
      <c r="VZF23" s="6"/>
      <c r="VZG23" s="6"/>
      <c r="VZH23" s="6"/>
      <c r="VZI23" s="6"/>
      <c r="VZJ23" s="6"/>
      <c r="VZK23" s="6"/>
      <c r="VZL23" s="6"/>
      <c r="VZM23" s="6"/>
      <c r="VZN23" s="6"/>
      <c r="VZO23" s="6"/>
      <c r="VZP23" s="6"/>
      <c r="VZQ23" s="6"/>
      <c r="VZR23" s="6"/>
      <c r="VZS23" s="6"/>
      <c r="VZT23" s="6"/>
      <c r="VZU23" s="6"/>
      <c r="VZV23" s="6"/>
      <c r="VZW23" s="6"/>
      <c r="VZX23" s="6"/>
      <c r="VZY23" s="6"/>
      <c r="VZZ23" s="6"/>
      <c r="WAA23" s="6"/>
      <c r="WAB23" s="6"/>
      <c r="WAC23" s="6"/>
      <c r="WAD23" s="6"/>
      <c r="WAE23" s="6"/>
      <c r="WAF23" s="6"/>
      <c r="WAG23" s="6"/>
      <c r="WAH23" s="6"/>
      <c r="WAI23" s="6"/>
      <c r="WAJ23" s="6"/>
      <c r="WAK23" s="6"/>
      <c r="WAL23" s="6"/>
      <c r="WAM23" s="6"/>
      <c r="WAN23" s="6"/>
      <c r="WAO23" s="6"/>
      <c r="WAP23" s="6"/>
      <c r="WAQ23" s="6"/>
      <c r="WAR23" s="6"/>
      <c r="WAS23" s="6"/>
      <c r="WAT23" s="6"/>
      <c r="WAU23" s="6"/>
      <c r="WAV23" s="6"/>
      <c r="WAW23" s="6"/>
      <c r="WAX23" s="6"/>
      <c r="WAY23" s="6"/>
      <c r="WAZ23" s="6"/>
      <c r="WBA23" s="6"/>
      <c r="WBB23" s="6"/>
      <c r="WBC23" s="6"/>
      <c r="WBD23" s="6"/>
      <c r="WBE23" s="6"/>
      <c r="WBF23" s="6"/>
      <c r="WBG23" s="6"/>
      <c r="WBH23" s="6"/>
      <c r="WBI23" s="6"/>
      <c r="WBJ23" s="6"/>
      <c r="WBK23" s="6"/>
      <c r="WBL23" s="6"/>
      <c r="WBM23" s="6"/>
      <c r="WBN23" s="6"/>
      <c r="WBO23" s="6"/>
      <c r="WBP23" s="6"/>
      <c r="WBQ23" s="6"/>
      <c r="WBR23" s="6"/>
      <c r="WBS23" s="6"/>
      <c r="WBT23" s="6"/>
      <c r="WBU23" s="6"/>
      <c r="WBV23" s="6"/>
      <c r="WBW23" s="6"/>
      <c r="WBX23" s="6"/>
      <c r="WBY23" s="6"/>
      <c r="WBZ23" s="6"/>
      <c r="WCA23" s="6"/>
      <c r="WCB23" s="6"/>
      <c r="WCC23" s="6"/>
      <c r="WCD23" s="6"/>
      <c r="WCE23" s="6"/>
      <c r="WCF23" s="6"/>
      <c r="WCG23" s="6"/>
      <c r="WCH23" s="6"/>
      <c r="WCI23" s="6"/>
      <c r="WCJ23" s="6"/>
      <c r="WCK23" s="6"/>
      <c r="WCL23" s="6"/>
      <c r="WCM23" s="6"/>
      <c r="WCN23" s="6"/>
      <c r="WCO23" s="6"/>
      <c r="WCP23" s="6"/>
      <c r="WCQ23" s="6"/>
      <c r="WCR23" s="6"/>
      <c r="WCS23" s="6"/>
      <c r="WCT23" s="6"/>
      <c r="WCU23" s="6"/>
      <c r="WCV23" s="6"/>
      <c r="WCW23" s="6"/>
      <c r="WCX23" s="6"/>
      <c r="WCY23" s="6"/>
      <c r="WCZ23" s="6"/>
      <c r="WDA23" s="6"/>
      <c r="WDB23" s="6"/>
      <c r="WDC23" s="6"/>
      <c r="WDD23" s="6"/>
      <c r="WDE23" s="6"/>
      <c r="WDF23" s="6"/>
      <c r="WDG23" s="6"/>
      <c r="WDH23" s="6"/>
      <c r="WDI23" s="6"/>
      <c r="WDJ23" s="6"/>
      <c r="WDK23" s="6"/>
      <c r="WDL23" s="6"/>
      <c r="WDM23" s="6"/>
      <c r="WDN23" s="6"/>
      <c r="WDO23" s="6"/>
      <c r="WDP23" s="6"/>
      <c r="WDQ23" s="6"/>
      <c r="WDR23" s="6"/>
      <c r="WDS23" s="6"/>
      <c r="WDT23" s="6"/>
      <c r="WDU23" s="6"/>
      <c r="WDV23" s="6"/>
      <c r="WDW23" s="6"/>
      <c r="WDX23" s="6"/>
      <c r="WDY23" s="6"/>
      <c r="WDZ23" s="6"/>
      <c r="WEA23" s="6"/>
      <c r="WEB23" s="6"/>
      <c r="WEC23" s="6"/>
      <c r="WED23" s="6"/>
      <c r="WEE23" s="6"/>
      <c r="WEF23" s="6"/>
      <c r="WEG23" s="6"/>
      <c r="WEH23" s="6"/>
      <c r="WEI23" s="6"/>
      <c r="WEJ23" s="6"/>
      <c r="WEK23" s="6"/>
      <c r="WEL23" s="6"/>
      <c r="WEM23" s="6"/>
      <c r="WEN23" s="6"/>
      <c r="WEO23" s="6"/>
      <c r="WEP23" s="6"/>
      <c r="WEQ23" s="6"/>
      <c r="WER23" s="6"/>
      <c r="WES23" s="6"/>
      <c r="WET23" s="6"/>
      <c r="WEU23" s="6"/>
      <c r="WEV23" s="6"/>
      <c r="WEW23" s="6"/>
      <c r="WEX23" s="6"/>
      <c r="WEY23" s="6"/>
      <c r="WEZ23" s="6"/>
      <c r="WFA23" s="6"/>
      <c r="WFB23" s="6"/>
      <c r="WFC23" s="6"/>
      <c r="WFD23" s="6"/>
      <c r="WFE23" s="6"/>
      <c r="WFF23" s="6"/>
      <c r="WFG23" s="6"/>
      <c r="WFH23" s="6"/>
      <c r="WFI23" s="6"/>
      <c r="WFJ23" s="6"/>
      <c r="WFK23" s="6"/>
      <c r="WFL23" s="6"/>
      <c r="WFM23" s="6"/>
      <c r="WFN23" s="6"/>
      <c r="WFO23" s="6"/>
      <c r="WFP23" s="6"/>
      <c r="WFQ23" s="6"/>
      <c r="WFR23" s="6"/>
      <c r="WFS23" s="6"/>
      <c r="WFT23" s="6"/>
      <c r="WFU23" s="6"/>
      <c r="WFV23" s="6"/>
      <c r="WFW23" s="6"/>
      <c r="WFX23" s="6"/>
      <c r="WFY23" s="6"/>
      <c r="WFZ23" s="6"/>
      <c r="WGA23" s="6"/>
      <c r="WGB23" s="6"/>
      <c r="WGC23" s="6"/>
      <c r="WGD23" s="6"/>
      <c r="WGE23" s="6"/>
      <c r="WGF23" s="6"/>
      <c r="WGG23" s="6"/>
      <c r="WGH23" s="6"/>
      <c r="WGI23" s="6"/>
      <c r="WGJ23" s="6"/>
      <c r="WGK23" s="6"/>
      <c r="WGL23" s="6"/>
      <c r="WGM23" s="6"/>
      <c r="WGN23" s="6"/>
      <c r="WGO23" s="6"/>
      <c r="WGP23" s="6"/>
      <c r="WGQ23" s="6"/>
      <c r="WGR23" s="6"/>
      <c r="WGS23" s="6"/>
      <c r="WGT23" s="6"/>
      <c r="WGU23" s="6"/>
      <c r="WGV23" s="6"/>
      <c r="WGW23" s="6"/>
      <c r="WGX23" s="6"/>
      <c r="WGY23" s="6"/>
      <c r="WGZ23" s="6"/>
      <c r="WHA23" s="6"/>
      <c r="WHB23" s="6"/>
      <c r="WHC23" s="6"/>
      <c r="WHD23" s="6"/>
      <c r="WHE23" s="6"/>
      <c r="WHF23" s="6"/>
      <c r="WHG23" s="6"/>
      <c r="WHH23" s="6"/>
      <c r="WHI23" s="6"/>
      <c r="WHJ23" s="6"/>
      <c r="WHK23" s="6"/>
      <c r="WHL23" s="6"/>
      <c r="WHM23" s="6"/>
      <c r="WHN23" s="6"/>
      <c r="WHO23" s="6"/>
      <c r="WHP23" s="6"/>
      <c r="WHQ23" s="6"/>
      <c r="WHR23" s="6"/>
      <c r="WHS23" s="6"/>
      <c r="WHT23" s="6"/>
      <c r="WHU23" s="6"/>
      <c r="WHV23" s="6"/>
      <c r="WHW23" s="6"/>
      <c r="WHX23" s="6"/>
      <c r="WHY23" s="6"/>
      <c r="WHZ23" s="6"/>
      <c r="WIA23" s="6"/>
      <c r="WIB23" s="6"/>
      <c r="WIC23" s="6"/>
      <c r="WID23" s="6"/>
      <c r="WIE23" s="6"/>
      <c r="WIF23" s="6"/>
      <c r="WIG23" s="6"/>
      <c r="WIH23" s="6"/>
      <c r="WII23" s="6"/>
      <c r="WIJ23" s="6"/>
      <c r="WIK23" s="6"/>
      <c r="WIL23" s="6"/>
      <c r="WIM23" s="6"/>
      <c r="WIN23" s="6"/>
      <c r="WIO23" s="6"/>
      <c r="WIP23" s="6"/>
      <c r="WIQ23" s="6"/>
      <c r="WIR23" s="6"/>
      <c r="WIS23" s="6"/>
      <c r="WIT23" s="6"/>
      <c r="WIU23" s="6"/>
      <c r="WIV23" s="6"/>
      <c r="WIW23" s="6"/>
      <c r="WIX23" s="6"/>
      <c r="WIY23" s="6"/>
      <c r="WIZ23" s="6"/>
      <c r="WJA23" s="6"/>
      <c r="WJB23" s="6"/>
      <c r="WJC23" s="6"/>
      <c r="WJD23" s="6"/>
      <c r="WJE23" s="6"/>
      <c r="WJF23" s="6"/>
      <c r="WJG23" s="6"/>
      <c r="WJH23" s="6"/>
      <c r="WJI23" s="6"/>
      <c r="WJJ23" s="6"/>
      <c r="WJK23" s="6"/>
      <c r="WJL23" s="6"/>
      <c r="WJM23" s="6"/>
      <c r="WJN23" s="6"/>
      <c r="WJO23" s="6"/>
      <c r="WJP23" s="6"/>
      <c r="WJQ23" s="6"/>
      <c r="WJR23" s="6"/>
      <c r="WJS23" s="6"/>
      <c r="WJT23" s="6"/>
      <c r="WJU23" s="6"/>
      <c r="WJV23" s="6"/>
      <c r="WJW23" s="6"/>
      <c r="WJX23" s="6"/>
      <c r="WJY23" s="6"/>
      <c r="WJZ23" s="6"/>
      <c r="WKA23" s="6"/>
      <c r="WKB23" s="6"/>
      <c r="WKC23" s="6"/>
      <c r="WKD23" s="6"/>
      <c r="WKE23" s="6"/>
      <c r="WKF23" s="6"/>
      <c r="WKG23" s="6"/>
      <c r="WKH23" s="6"/>
      <c r="WKI23" s="6"/>
      <c r="WKJ23" s="6"/>
      <c r="WKK23" s="6"/>
      <c r="WKL23" s="6"/>
      <c r="WKM23" s="6"/>
      <c r="WKN23" s="6"/>
      <c r="WKO23" s="6"/>
      <c r="WKP23" s="6"/>
      <c r="WKQ23" s="6"/>
      <c r="WKR23" s="6"/>
      <c r="WKS23" s="6"/>
      <c r="WKT23" s="6"/>
      <c r="WKU23" s="6"/>
      <c r="WKV23" s="6"/>
      <c r="WKW23" s="6"/>
      <c r="WKX23" s="6"/>
      <c r="WKY23" s="6"/>
      <c r="WKZ23" s="6"/>
      <c r="WLA23" s="6"/>
      <c r="WLB23" s="6"/>
      <c r="WLC23" s="6"/>
      <c r="WLD23" s="6"/>
      <c r="WLE23" s="6"/>
      <c r="WLF23" s="6"/>
      <c r="WLG23" s="6"/>
      <c r="WLH23" s="6"/>
      <c r="WLI23" s="6"/>
      <c r="WLJ23" s="6"/>
      <c r="WLK23" s="6"/>
      <c r="WLL23" s="6"/>
      <c r="WLM23" s="6"/>
      <c r="WLN23" s="6"/>
      <c r="WLO23" s="6"/>
      <c r="WLP23" s="6"/>
      <c r="WLQ23" s="6"/>
      <c r="WLR23" s="6"/>
      <c r="WLS23" s="6"/>
      <c r="WLT23" s="6"/>
      <c r="WLU23" s="6"/>
      <c r="WLV23" s="6"/>
      <c r="WLW23" s="6"/>
      <c r="WLX23" s="6"/>
      <c r="WLY23" s="6"/>
      <c r="WLZ23" s="6"/>
      <c r="WMA23" s="6"/>
      <c r="WMB23" s="6"/>
      <c r="WMC23" s="6"/>
      <c r="WMD23" s="6"/>
      <c r="WME23" s="6"/>
      <c r="WMF23" s="6"/>
      <c r="WMG23" s="6"/>
      <c r="WMH23" s="6"/>
      <c r="WMI23" s="6"/>
      <c r="WMJ23" s="6"/>
      <c r="WMK23" s="6"/>
      <c r="WML23" s="6"/>
      <c r="WMM23" s="6"/>
      <c r="WMN23" s="6"/>
      <c r="WMO23" s="6"/>
      <c r="WMP23" s="6"/>
      <c r="WMQ23" s="6"/>
      <c r="WMR23" s="6"/>
      <c r="WMS23" s="6"/>
      <c r="WMT23" s="6"/>
      <c r="WMU23" s="6"/>
      <c r="WMV23" s="6"/>
      <c r="WMW23" s="6"/>
      <c r="WMX23" s="6"/>
      <c r="WMY23" s="6"/>
      <c r="WMZ23" s="6"/>
      <c r="WNA23" s="6"/>
      <c r="WNB23" s="6"/>
      <c r="WNC23" s="6"/>
      <c r="WND23" s="6"/>
      <c r="WNE23" s="6"/>
      <c r="WNF23" s="6"/>
      <c r="WNG23" s="6"/>
      <c r="WNH23" s="6"/>
      <c r="WNI23" s="6"/>
      <c r="WNJ23" s="6"/>
      <c r="WNK23" s="6"/>
      <c r="WNL23" s="6"/>
      <c r="WNM23" s="6"/>
      <c r="WNN23" s="6"/>
      <c r="WNO23" s="6"/>
      <c r="WNP23" s="6"/>
      <c r="WNQ23" s="6"/>
      <c r="WNR23" s="6"/>
      <c r="WNS23" s="6"/>
      <c r="WNT23" s="6"/>
      <c r="WNU23" s="6"/>
      <c r="WNV23" s="6"/>
      <c r="WNW23" s="6"/>
      <c r="WNX23" s="6"/>
      <c r="WNY23" s="6"/>
      <c r="WNZ23" s="6"/>
      <c r="WOA23" s="6"/>
      <c r="WOB23" s="6"/>
      <c r="WOC23" s="6"/>
      <c r="WOD23" s="6"/>
      <c r="WOE23" s="6"/>
      <c r="WOF23" s="6"/>
      <c r="WOG23" s="6"/>
      <c r="WOH23" s="6"/>
      <c r="WOI23" s="6"/>
      <c r="WOJ23" s="6"/>
      <c r="WOK23" s="6"/>
      <c r="WOL23" s="6"/>
      <c r="WOM23" s="6"/>
      <c r="WON23" s="6"/>
      <c r="WOO23" s="6"/>
      <c r="WOP23" s="6"/>
      <c r="WOQ23" s="6"/>
      <c r="WOR23" s="6"/>
      <c r="WOS23" s="6"/>
      <c r="WOT23" s="6"/>
      <c r="WOU23" s="6"/>
      <c r="WOV23" s="6"/>
      <c r="WOW23" s="6"/>
      <c r="WOX23" s="6"/>
      <c r="WOY23" s="6"/>
      <c r="WOZ23" s="6"/>
      <c r="WPA23" s="6"/>
      <c r="WPB23" s="6"/>
      <c r="WPC23" s="6"/>
      <c r="WPD23" s="6"/>
      <c r="WPE23" s="6"/>
      <c r="WPF23" s="6"/>
      <c r="WPG23" s="6"/>
      <c r="WPH23" s="6"/>
      <c r="WPI23" s="6"/>
      <c r="WPJ23" s="6"/>
      <c r="WPK23" s="6"/>
      <c r="WPL23" s="6"/>
      <c r="WPM23" s="6"/>
      <c r="WPN23" s="6"/>
      <c r="WPO23" s="6"/>
      <c r="WPP23" s="6"/>
      <c r="WPQ23" s="6"/>
      <c r="WPR23" s="6"/>
      <c r="WPS23" s="6"/>
      <c r="WPT23" s="6"/>
      <c r="WPU23" s="6"/>
      <c r="WPV23" s="6"/>
      <c r="WPW23" s="6"/>
      <c r="WPX23" s="6"/>
      <c r="WPY23" s="6"/>
      <c r="WPZ23" s="6"/>
      <c r="WQA23" s="6"/>
      <c r="WQB23" s="6"/>
      <c r="WQC23" s="6"/>
      <c r="WQD23" s="6"/>
      <c r="WQE23" s="6"/>
      <c r="WQF23" s="6"/>
      <c r="WQG23" s="6"/>
      <c r="WQH23" s="6"/>
      <c r="WQI23" s="6"/>
      <c r="WQJ23" s="6"/>
      <c r="WQK23" s="6"/>
      <c r="WQL23" s="6"/>
      <c r="WQM23" s="6"/>
      <c r="WQN23" s="6"/>
      <c r="WQO23" s="6"/>
      <c r="WQP23" s="6"/>
      <c r="WQQ23" s="6"/>
      <c r="WQR23" s="6"/>
      <c r="WQS23" s="6"/>
      <c r="WQT23" s="6"/>
      <c r="WQU23" s="6"/>
      <c r="WQV23" s="6"/>
      <c r="WQW23" s="6"/>
      <c r="WQX23" s="6"/>
      <c r="WQY23" s="6"/>
      <c r="WQZ23" s="6"/>
      <c r="WRA23" s="6"/>
      <c r="WRB23" s="6"/>
      <c r="WRC23" s="6"/>
      <c r="WRD23" s="6"/>
      <c r="WRE23" s="6"/>
      <c r="WRF23" s="6"/>
      <c r="WRG23" s="6"/>
      <c r="WRH23" s="6"/>
      <c r="WRI23" s="6"/>
      <c r="WRJ23" s="6"/>
      <c r="WRK23" s="6"/>
      <c r="WRL23" s="6"/>
      <c r="WRM23" s="6"/>
      <c r="WRN23" s="6"/>
      <c r="WRO23" s="6"/>
      <c r="WRP23" s="6"/>
      <c r="WRQ23" s="6"/>
      <c r="WRR23" s="6"/>
      <c r="WRS23" s="6"/>
      <c r="WRT23" s="6"/>
      <c r="WRU23" s="6"/>
      <c r="WRV23" s="6"/>
      <c r="WRW23" s="6"/>
      <c r="WRX23" s="6"/>
      <c r="WRY23" s="6"/>
      <c r="WRZ23" s="6"/>
      <c r="WSA23" s="6"/>
      <c r="WSB23" s="6"/>
      <c r="WSC23" s="6"/>
      <c r="WSD23" s="6"/>
      <c r="WSE23" s="6"/>
      <c r="WSF23" s="6"/>
      <c r="WSG23" s="6"/>
      <c r="WSH23" s="6"/>
      <c r="WSI23" s="6"/>
      <c r="WSJ23" s="6"/>
      <c r="WSK23" s="6"/>
      <c r="WSL23" s="6"/>
      <c r="WSM23" s="6"/>
      <c r="WSN23" s="6"/>
      <c r="WSO23" s="6"/>
      <c r="WSP23" s="6"/>
      <c r="WSQ23" s="6"/>
      <c r="WSR23" s="6"/>
      <c r="WSS23" s="6"/>
      <c r="WST23" s="6"/>
      <c r="WSU23" s="6"/>
      <c r="WSV23" s="6"/>
      <c r="WSW23" s="6"/>
      <c r="WSX23" s="6"/>
      <c r="WSY23" s="6"/>
      <c r="WSZ23" s="6"/>
      <c r="WTA23" s="6"/>
      <c r="WTB23" s="6"/>
      <c r="WTC23" s="6"/>
      <c r="WTD23" s="6"/>
      <c r="WTE23" s="6"/>
      <c r="WTF23" s="6"/>
      <c r="WTG23" s="6"/>
      <c r="WTH23" s="6"/>
      <c r="WTI23" s="6"/>
      <c r="WTJ23" s="6"/>
      <c r="WTK23" s="6"/>
      <c r="WTL23" s="6"/>
      <c r="WTM23" s="6"/>
      <c r="WTN23" s="6"/>
      <c r="WTO23" s="6"/>
      <c r="WTP23" s="6"/>
      <c r="WTQ23" s="6"/>
      <c r="WTR23" s="6"/>
      <c r="WTS23" s="6"/>
      <c r="WTT23" s="6"/>
      <c r="WTU23" s="6"/>
      <c r="WTV23" s="6"/>
      <c r="WTW23" s="6"/>
      <c r="WTX23" s="6"/>
      <c r="WTY23" s="6"/>
      <c r="WTZ23" s="6"/>
      <c r="WUA23" s="6"/>
      <c r="WUB23" s="6"/>
      <c r="WUC23" s="6"/>
      <c r="WUD23" s="6"/>
      <c r="WUE23" s="6"/>
      <c r="WUF23" s="6"/>
      <c r="WUG23" s="6"/>
      <c r="WUH23" s="6"/>
      <c r="WUI23" s="6"/>
      <c r="WUJ23" s="6"/>
      <c r="WUK23" s="6"/>
      <c r="WUL23" s="6"/>
      <c r="WUM23" s="6"/>
      <c r="WUN23" s="6"/>
      <c r="WUO23" s="6"/>
      <c r="WUP23" s="6"/>
      <c r="WUQ23" s="6"/>
      <c r="WUR23" s="6"/>
      <c r="WUS23" s="6"/>
      <c r="WUT23" s="6"/>
      <c r="WUU23" s="6"/>
      <c r="WUV23" s="6"/>
      <c r="WUW23" s="6"/>
      <c r="WUX23" s="6"/>
      <c r="WUY23" s="6"/>
      <c r="WUZ23" s="6"/>
      <c r="WVA23" s="6"/>
      <c r="WVB23" s="6"/>
      <c r="WVC23" s="6"/>
      <c r="WVD23" s="6"/>
      <c r="WVE23" s="6"/>
      <c r="WVF23" s="6"/>
      <c r="WVG23" s="6"/>
      <c r="WVH23" s="6"/>
      <c r="WVI23" s="6"/>
      <c r="WVJ23" s="6"/>
      <c r="WVK23" s="6"/>
      <c r="WVL23" s="6"/>
      <c r="WVM23" s="6"/>
      <c r="WVN23" s="6"/>
      <c r="WVO23" s="6"/>
      <c r="WVP23" s="6"/>
      <c r="WVQ23" s="6"/>
      <c r="WVR23" s="6"/>
      <c r="WVS23" s="6"/>
      <c r="WVT23" s="6"/>
      <c r="WVU23" s="6"/>
      <c r="WVV23" s="6"/>
      <c r="WVW23" s="6"/>
      <c r="WVX23" s="6"/>
      <c r="WVY23" s="6"/>
      <c r="WVZ23" s="6"/>
      <c r="WWA23" s="6"/>
      <c r="WWB23" s="6"/>
      <c r="WWC23" s="6"/>
      <c r="WWD23" s="6"/>
      <c r="WWE23" s="6"/>
      <c r="WWF23" s="6"/>
      <c r="WWG23" s="6"/>
      <c r="WWH23" s="6"/>
      <c r="WWI23" s="6"/>
      <c r="WWJ23" s="6"/>
      <c r="WWK23" s="6"/>
      <c r="WWL23" s="6"/>
      <c r="WWM23" s="6"/>
      <c r="WWN23" s="6"/>
      <c r="WWO23" s="6"/>
      <c r="WWP23" s="6"/>
      <c r="WWQ23" s="6"/>
      <c r="WWR23" s="6"/>
      <c r="WWS23" s="6"/>
      <c r="WWT23" s="6"/>
      <c r="WWU23" s="6"/>
      <c r="WWV23" s="6"/>
      <c r="WWW23" s="6"/>
      <c r="WWX23" s="6"/>
      <c r="WWY23" s="6"/>
      <c r="WWZ23" s="6"/>
      <c r="WXA23" s="6"/>
      <c r="WXB23" s="6"/>
      <c r="WXC23" s="6"/>
      <c r="WXD23" s="6"/>
      <c r="WXE23" s="6"/>
      <c r="WXF23" s="6"/>
      <c r="WXG23" s="6"/>
      <c r="WXH23" s="6"/>
      <c r="WXI23" s="6"/>
      <c r="WXJ23" s="6"/>
      <c r="WXK23" s="6"/>
      <c r="WXL23" s="6"/>
      <c r="WXM23" s="6"/>
      <c r="WXN23" s="6"/>
      <c r="WXO23" s="6"/>
      <c r="WXP23" s="6"/>
      <c r="WXQ23" s="6"/>
      <c r="WXR23" s="6"/>
      <c r="WXS23" s="6"/>
      <c r="WXT23" s="6"/>
      <c r="WXU23" s="6"/>
      <c r="WXV23" s="6"/>
      <c r="WXW23" s="6"/>
      <c r="WXX23" s="6"/>
      <c r="WXY23" s="6"/>
      <c r="WXZ23" s="6"/>
      <c r="WYA23" s="6"/>
      <c r="WYB23" s="6"/>
      <c r="WYC23" s="6"/>
      <c r="WYD23" s="6"/>
      <c r="WYE23" s="6"/>
      <c r="WYF23" s="6"/>
      <c r="WYG23" s="6"/>
      <c r="WYH23" s="6"/>
      <c r="WYI23" s="6"/>
      <c r="WYJ23" s="6"/>
      <c r="WYK23" s="6"/>
      <c r="WYL23" s="6"/>
      <c r="WYM23" s="6"/>
      <c r="WYN23" s="6"/>
      <c r="WYO23" s="6"/>
      <c r="WYP23" s="6"/>
      <c r="WYQ23" s="6"/>
      <c r="WYR23" s="6"/>
      <c r="WYS23" s="6"/>
      <c r="WYT23" s="6"/>
      <c r="WYU23" s="6"/>
      <c r="WYV23" s="6"/>
      <c r="WYW23" s="6"/>
      <c r="WYX23" s="6"/>
      <c r="WYY23" s="6"/>
      <c r="WYZ23" s="6"/>
      <c r="WZA23" s="6"/>
      <c r="WZB23" s="6"/>
      <c r="WZC23" s="6"/>
      <c r="WZD23" s="6"/>
      <c r="WZE23" s="6"/>
      <c r="WZF23" s="6"/>
      <c r="WZG23" s="6"/>
      <c r="WZH23" s="6"/>
      <c r="WZI23" s="6"/>
      <c r="WZJ23" s="6"/>
      <c r="WZK23" s="6"/>
      <c r="WZL23" s="6"/>
      <c r="WZM23" s="6"/>
      <c r="WZN23" s="6"/>
      <c r="WZO23" s="6"/>
      <c r="WZP23" s="6"/>
      <c r="WZQ23" s="6"/>
      <c r="WZR23" s="6"/>
      <c r="WZS23" s="6"/>
      <c r="WZT23" s="6"/>
      <c r="WZU23" s="6"/>
      <c r="WZV23" s="6"/>
      <c r="WZW23" s="6"/>
      <c r="WZX23" s="6"/>
      <c r="WZY23" s="6"/>
      <c r="WZZ23" s="6"/>
      <c r="XAA23" s="6"/>
      <c r="XAB23" s="6"/>
      <c r="XAC23" s="6"/>
      <c r="XAD23" s="6"/>
      <c r="XAE23" s="6"/>
      <c r="XAF23" s="6"/>
      <c r="XAG23" s="6"/>
      <c r="XAH23" s="6"/>
      <c r="XAI23" s="6"/>
      <c r="XAJ23" s="6"/>
      <c r="XAK23" s="6"/>
      <c r="XAL23" s="6"/>
      <c r="XAM23" s="6"/>
      <c r="XAN23" s="6"/>
      <c r="XAO23" s="6"/>
      <c r="XAP23" s="6"/>
      <c r="XAQ23" s="6"/>
      <c r="XAR23" s="6"/>
      <c r="XAS23" s="6"/>
      <c r="XAT23" s="6"/>
      <c r="XAU23" s="6"/>
      <c r="XAV23" s="6"/>
      <c r="XAW23" s="6"/>
      <c r="XAX23" s="6"/>
      <c r="XAY23" s="6"/>
      <c r="XAZ23" s="6"/>
      <c r="XBA23" s="6"/>
      <c r="XBB23" s="6"/>
      <c r="XBC23" s="6"/>
      <c r="XBD23" s="6"/>
      <c r="XBE23" s="6"/>
      <c r="XBF23" s="6"/>
      <c r="XBG23" s="6"/>
      <c r="XBH23" s="6"/>
      <c r="XBI23" s="6"/>
      <c r="XBJ23" s="6"/>
      <c r="XBK23" s="6"/>
      <c r="XBL23" s="6"/>
      <c r="XBM23" s="6"/>
      <c r="XBN23" s="6"/>
      <c r="XBO23" s="6"/>
      <c r="XBP23" s="6"/>
      <c r="XBQ23" s="6"/>
      <c r="XBR23" s="6"/>
      <c r="XBS23" s="6"/>
      <c r="XBT23" s="6"/>
      <c r="XBU23" s="6"/>
      <c r="XBV23" s="6"/>
      <c r="XBW23" s="6"/>
      <c r="XBX23" s="6"/>
      <c r="XBY23" s="6"/>
      <c r="XBZ23" s="6"/>
      <c r="XCA23" s="6"/>
      <c r="XCB23" s="6"/>
      <c r="XCC23" s="6"/>
      <c r="XCD23" s="6"/>
      <c r="XCE23" s="6"/>
      <c r="XCF23" s="6"/>
      <c r="XCG23" s="6"/>
      <c r="XCH23" s="6"/>
      <c r="XCI23" s="6"/>
      <c r="XCJ23" s="6"/>
      <c r="XCK23" s="6"/>
      <c r="XCL23" s="6"/>
      <c r="XCM23" s="6"/>
      <c r="XCN23" s="6"/>
      <c r="XCO23" s="6"/>
      <c r="XCP23" s="6"/>
      <c r="XCQ23" s="6"/>
      <c r="XCR23" s="6"/>
      <c r="XCS23" s="6"/>
      <c r="XCT23" s="6"/>
      <c r="XCU23" s="6"/>
      <c r="XCV23" s="6"/>
      <c r="XCW23" s="6"/>
      <c r="XCX23" s="6"/>
      <c r="XCY23" s="6"/>
      <c r="XCZ23" s="6"/>
      <c r="XDA23" s="6"/>
      <c r="XDB23" s="6"/>
      <c r="XDC23" s="6"/>
      <c r="XDD23" s="6"/>
      <c r="XDE23" s="6"/>
      <c r="XDF23" s="6"/>
      <c r="XDG23" s="6"/>
      <c r="XDH23" s="6"/>
      <c r="XDI23" s="6"/>
      <c r="XDJ23" s="6"/>
      <c r="XDK23" s="6"/>
      <c r="XDL23" s="6"/>
      <c r="XDM23" s="6"/>
      <c r="XDN23" s="6"/>
      <c r="XDO23" s="6"/>
      <c r="XDP23" s="6"/>
      <c r="XDQ23" s="6"/>
      <c r="XDR23" s="6"/>
      <c r="XDS23" s="6"/>
      <c r="XDT23" s="6"/>
      <c r="XDU23" s="6"/>
      <c r="XDV23" s="6"/>
      <c r="XDW23" s="6"/>
      <c r="XDX23" s="6"/>
      <c r="XDY23" s="6"/>
      <c r="XDZ23" s="6"/>
      <c r="XEA23" s="6"/>
      <c r="XEB23" s="6"/>
      <c r="XEC23" s="6"/>
      <c r="XED23" s="6"/>
      <c r="XEE23" s="6"/>
      <c r="XEF23" s="6"/>
      <c r="XEG23" s="6"/>
      <c r="XEH23" s="6"/>
      <c r="XEI23" s="6"/>
      <c r="XEJ23" s="6"/>
      <c r="XEK23" s="6"/>
      <c r="XEL23" s="6"/>
      <c r="XEM23" s="6"/>
      <c r="XEN23" s="6"/>
      <c r="XEO23" s="6"/>
      <c r="XEP23" s="6"/>
      <c r="XEQ23" s="6"/>
      <c r="XER23" s="6"/>
      <c r="XES23" s="6"/>
      <c r="XET23" s="6"/>
      <c r="XEU23" s="6"/>
      <c r="XEV23" s="6"/>
      <c r="XEW23" s="6"/>
      <c r="XEX23" s="6"/>
      <c r="XEY23" s="6"/>
      <c r="XEZ23" s="6"/>
      <c r="XFA23" s="6"/>
      <c r="XFB23" s="6"/>
      <c r="XFC23" s="6"/>
      <c r="XFD23" s="6"/>
    </row>
    <row r="24" spans="1:16384" x14ac:dyDescent="0.25">
      <c r="A24" s="22" t="s">
        <v>887</v>
      </c>
      <c r="B24" s="18" t="s">
        <v>639</v>
      </c>
      <c r="C24" s="19" t="s">
        <v>621</v>
      </c>
      <c r="D24" s="18" t="s">
        <v>638</v>
      </c>
      <c r="E24" s="20">
        <v>512</v>
      </c>
      <c r="F24" s="20">
        <v>32</v>
      </c>
      <c r="G24" s="20">
        <v>16</v>
      </c>
      <c r="H24" s="20">
        <v>1020</v>
      </c>
      <c r="I24" s="20">
        <v>1085</v>
      </c>
      <c r="J24" s="20">
        <v>1253</v>
      </c>
      <c r="K24" s="20">
        <v>128</v>
      </c>
      <c r="L24" s="21" t="s">
        <v>745</v>
      </c>
      <c r="M24" s="18"/>
      <c r="N24" s="18"/>
      <c r="O24" s="22">
        <f t="shared" si="13"/>
        <v>5012</v>
      </c>
      <c r="P24" s="22">
        <f t="shared" si="4"/>
        <v>555520</v>
      </c>
      <c r="Q24" s="22">
        <f t="shared" si="5"/>
        <v>34720</v>
      </c>
      <c r="R24" s="22">
        <f t="shared" si="6"/>
        <v>17360</v>
      </c>
      <c r="S24" s="22">
        <f t="shared" si="7"/>
        <v>1020</v>
      </c>
      <c r="T24" s="22">
        <f t="shared" si="14"/>
        <v>641536</v>
      </c>
      <c r="U24" s="22"/>
      <c r="V24" s="22">
        <f t="shared" si="11"/>
        <v>0.91292397504341383</v>
      </c>
      <c r="W24" s="22">
        <f>W23</f>
        <v>1.01</v>
      </c>
      <c r="X24" s="385">
        <f t="shared" si="9"/>
        <v>1</v>
      </c>
      <c r="Y24" s="22"/>
      <c r="Z24" s="22">
        <f t="shared" si="12"/>
        <v>0.91290000000000004</v>
      </c>
      <c r="AA24" s="22"/>
      <c r="AB24" s="25">
        <f t="shared" si="10"/>
        <v>95.54</v>
      </c>
    </row>
    <row r="25" spans="1:16384" x14ac:dyDescent="0.25">
      <c r="A25" s="22" t="s">
        <v>887</v>
      </c>
      <c r="B25" s="18" t="s">
        <v>650</v>
      </c>
      <c r="C25" s="19" t="s">
        <v>618</v>
      </c>
      <c r="D25" s="18" t="s">
        <v>649</v>
      </c>
      <c r="E25" s="20">
        <v>384</v>
      </c>
      <c r="F25" s="20">
        <v>32</v>
      </c>
      <c r="G25" s="20">
        <v>16</v>
      </c>
      <c r="H25" s="20">
        <v>993</v>
      </c>
      <c r="I25" s="20">
        <v>993</v>
      </c>
      <c r="J25" s="20">
        <v>1250</v>
      </c>
      <c r="K25" s="20">
        <v>128</v>
      </c>
      <c r="L25" s="21" t="s">
        <v>745</v>
      </c>
      <c r="M25" s="22"/>
      <c r="N25" s="22"/>
      <c r="O25" s="22">
        <f t="shared" si="13"/>
        <v>5000</v>
      </c>
      <c r="P25" s="22">
        <f t="shared" si="4"/>
        <v>381312</v>
      </c>
      <c r="Q25" s="22">
        <f t="shared" si="5"/>
        <v>31776</v>
      </c>
      <c r="R25" s="22">
        <f t="shared" si="6"/>
        <v>15888</v>
      </c>
      <c r="S25" s="22">
        <f t="shared" si="7"/>
        <v>993</v>
      </c>
      <c r="T25" s="22">
        <f t="shared" si="14"/>
        <v>640000</v>
      </c>
      <c r="U25" s="22"/>
      <c r="V25" s="22">
        <f t="shared" si="11"/>
        <v>0.83315540748078531</v>
      </c>
      <c r="W25" s="22">
        <f>W22</f>
        <v>1</v>
      </c>
      <c r="X25" s="385">
        <f t="shared" si="9"/>
        <v>1</v>
      </c>
      <c r="Y25" s="22"/>
      <c r="Z25" s="22">
        <f t="shared" si="12"/>
        <v>0.82490000000000008</v>
      </c>
      <c r="AA25" s="22"/>
      <c r="AB25" s="25">
        <f t="shared" si="10"/>
        <v>90.820000000000007</v>
      </c>
    </row>
    <row r="26" spans="1:16384" x14ac:dyDescent="0.25">
      <c r="A26" s="22" t="s">
        <v>887</v>
      </c>
      <c r="B26" s="18" t="s">
        <v>650</v>
      </c>
      <c r="C26" s="19" t="s">
        <v>618</v>
      </c>
      <c r="D26" s="18" t="s">
        <v>649</v>
      </c>
      <c r="E26" s="20">
        <v>384</v>
      </c>
      <c r="F26" s="20">
        <v>32</v>
      </c>
      <c r="G26" s="20">
        <v>16</v>
      </c>
      <c r="H26" s="20">
        <v>993</v>
      </c>
      <c r="I26" s="20">
        <v>993</v>
      </c>
      <c r="J26" s="20">
        <v>1250</v>
      </c>
      <c r="K26" s="20">
        <v>128</v>
      </c>
      <c r="L26" s="21" t="s">
        <v>783</v>
      </c>
      <c r="M26" s="22"/>
      <c r="N26" s="22"/>
      <c r="O26" s="22">
        <f>IF(LEFT(L26,1)="G",4*J26,2*J26)</f>
        <v>2500</v>
      </c>
      <c r="P26" s="22">
        <f t="shared" si="4"/>
        <v>381312</v>
      </c>
      <c r="Q26" s="22">
        <f t="shared" si="5"/>
        <v>31776</v>
      </c>
      <c r="R26" s="22">
        <f t="shared" si="6"/>
        <v>15888</v>
      </c>
      <c r="S26" s="22">
        <f t="shared" si="7"/>
        <v>993</v>
      </c>
      <c r="T26" s="22">
        <f>O26*K26</f>
        <v>320000</v>
      </c>
      <c r="U26" s="22"/>
      <c r="V26" s="22">
        <f t="shared" si="11"/>
        <v>0.7174146667400445</v>
      </c>
      <c r="W26" s="22">
        <f t="shared" ref="W26:W39" si="16">W25</f>
        <v>1</v>
      </c>
      <c r="X26" s="385">
        <f t="shared" si="9"/>
        <v>1</v>
      </c>
      <c r="Y26" s="22"/>
      <c r="Z26" s="22">
        <f t="shared" si="12"/>
        <v>0.71030000000000004</v>
      </c>
      <c r="AA26" s="22"/>
      <c r="AB26" s="25">
        <f t="shared" si="10"/>
        <v>84.27</v>
      </c>
    </row>
    <row r="27" spans="1:16384" x14ac:dyDescent="0.25">
      <c r="A27" s="22" t="s">
        <v>887</v>
      </c>
      <c r="B27" s="18" t="s">
        <v>651</v>
      </c>
      <c r="C27" s="19" t="s">
        <v>618</v>
      </c>
      <c r="D27" s="18" t="s">
        <v>652</v>
      </c>
      <c r="E27" s="20">
        <v>384</v>
      </c>
      <c r="F27" s="20">
        <v>16</v>
      </c>
      <c r="G27" s="20">
        <v>8</v>
      </c>
      <c r="H27" s="20">
        <v>902</v>
      </c>
      <c r="I27" s="20">
        <v>902</v>
      </c>
      <c r="J27" s="20">
        <v>1253</v>
      </c>
      <c r="K27" s="20">
        <v>64</v>
      </c>
      <c r="L27" s="21" t="s">
        <v>745</v>
      </c>
      <c r="M27" s="22"/>
      <c r="N27" s="22"/>
      <c r="O27" s="22">
        <f>IF(LEFT(L27,1)="G",4*J27,2*J27)</f>
        <v>5012</v>
      </c>
      <c r="P27" s="22">
        <f t="shared" si="4"/>
        <v>346368</v>
      </c>
      <c r="Q27" s="22">
        <f t="shared" si="5"/>
        <v>14432</v>
      </c>
      <c r="R27" s="22">
        <f t="shared" si="6"/>
        <v>7216</v>
      </c>
      <c r="S27" s="22">
        <f t="shared" si="7"/>
        <v>902</v>
      </c>
      <c r="T27" s="22">
        <f>O27*K27</f>
        <v>320768</v>
      </c>
      <c r="U27" s="22"/>
      <c r="V27" s="22">
        <f t="shared" si="11"/>
        <v>0.54212213800591402</v>
      </c>
      <c r="W27" s="22">
        <f t="shared" si="16"/>
        <v>1</v>
      </c>
      <c r="X27" s="385">
        <f t="shared" si="9"/>
        <v>1</v>
      </c>
      <c r="Y27" s="22"/>
      <c r="Z27" s="22">
        <f t="shared" si="12"/>
        <v>0.53670000000000007</v>
      </c>
      <c r="AA27" s="22"/>
      <c r="AB27" s="25">
        <f>FLOOR(POWER(Z27,0.5)*100,0.01)</f>
        <v>73.25</v>
      </c>
    </row>
    <row r="28" spans="1:16384" x14ac:dyDescent="0.25">
      <c r="A28" s="22" t="s">
        <v>887</v>
      </c>
      <c r="B28" s="18" t="s">
        <v>651</v>
      </c>
      <c r="C28" s="19" t="s">
        <v>618</v>
      </c>
      <c r="D28" s="18" t="s">
        <v>652</v>
      </c>
      <c r="E28" s="20">
        <v>384</v>
      </c>
      <c r="F28" s="20">
        <v>16</v>
      </c>
      <c r="G28" s="20">
        <v>8</v>
      </c>
      <c r="H28" s="20">
        <v>902</v>
      </c>
      <c r="I28" s="20">
        <v>902</v>
      </c>
      <c r="J28" s="20">
        <v>900</v>
      </c>
      <c r="K28" s="20">
        <v>64</v>
      </c>
      <c r="L28" s="21" t="s">
        <v>783</v>
      </c>
      <c r="M28" s="22"/>
      <c r="N28" s="22"/>
      <c r="O28" s="22">
        <f t="shared" si="13"/>
        <v>1800</v>
      </c>
      <c r="P28" s="22">
        <f t="shared" si="4"/>
        <v>346368</v>
      </c>
      <c r="Q28" s="22">
        <f t="shared" si="5"/>
        <v>14432</v>
      </c>
      <c r="R28" s="22">
        <f t="shared" si="6"/>
        <v>7216</v>
      </c>
      <c r="S28" s="22">
        <f t="shared" si="7"/>
        <v>902</v>
      </c>
      <c r="T28" s="22">
        <f t="shared" si="14"/>
        <v>115200</v>
      </c>
      <c r="U28" s="22"/>
      <c r="V28" s="22">
        <f t="shared" si="11"/>
        <v>0.46777028615406219</v>
      </c>
      <c r="W28" s="22">
        <f t="shared" si="16"/>
        <v>1</v>
      </c>
      <c r="X28" s="385">
        <f t="shared" si="9"/>
        <v>1</v>
      </c>
      <c r="Y28" s="22"/>
      <c r="Z28" s="22">
        <f t="shared" si="12"/>
        <v>0.46310000000000001</v>
      </c>
      <c r="AA28" s="22"/>
      <c r="AB28" s="25">
        <f t="shared" si="10"/>
        <v>68.05</v>
      </c>
    </row>
    <row r="29" spans="1:16384" x14ac:dyDescent="0.25">
      <c r="A29" s="22" t="s">
        <v>887</v>
      </c>
      <c r="B29" s="18" t="s">
        <v>651</v>
      </c>
      <c r="C29" s="19" t="s">
        <v>856</v>
      </c>
      <c r="D29" s="18" t="s">
        <v>653</v>
      </c>
      <c r="E29" s="20">
        <v>96</v>
      </c>
      <c r="F29" s="20">
        <v>16</v>
      </c>
      <c r="G29" s="20">
        <v>4</v>
      </c>
      <c r="H29" s="20">
        <v>700</v>
      </c>
      <c r="I29" s="20">
        <v>700</v>
      </c>
      <c r="J29" s="20">
        <v>900</v>
      </c>
      <c r="K29" s="20">
        <v>128</v>
      </c>
      <c r="L29" s="21" t="s">
        <v>783</v>
      </c>
      <c r="M29" s="22"/>
      <c r="N29" s="22"/>
      <c r="O29" s="22">
        <f t="shared" si="13"/>
        <v>1800</v>
      </c>
      <c r="P29" s="22">
        <f t="shared" si="4"/>
        <v>67200</v>
      </c>
      <c r="Q29" s="22">
        <f t="shared" si="5"/>
        <v>11200</v>
      </c>
      <c r="R29" s="22">
        <f t="shared" si="6"/>
        <v>2800</v>
      </c>
      <c r="S29" s="22">
        <f t="shared" si="7"/>
        <v>700</v>
      </c>
      <c r="T29" s="22">
        <f t="shared" si="14"/>
        <v>230400</v>
      </c>
      <c r="U29" s="22"/>
      <c r="V29" s="22">
        <f t="shared" si="11"/>
        <v>0.33445718898852245</v>
      </c>
      <c r="W29" s="22">
        <v>0.94</v>
      </c>
      <c r="X29" s="385">
        <f t="shared" si="9"/>
        <v>1</v>
      </c>
      <c r="Y29" s="22"/>
      <c r="Z29" s="22">
        <f t="shared" si="12"/>
        <v>0.31120000000000003</v>
      </c>
      <c r="AA29" s="22"/>
      <c r="AB29" s="25">
        <f t="shared" si="10"/>
        <v>55.78</v>
      </c>
    </row>
    <row r="30" spans="1:16384" x14ac:dyDescent="0.25">
      <c r="A30" s="22" t="s">
        <v>887</v>
      </c>
      <c r="B30" s="18" t="s">
        <v>624</v>
      </c>
      <c r="C30" s="19" t="s">
        <v>618</v>
      </c>
      <c r="D30" s="18" t="s">
        <v>625</v>
      </c>
      <c r="E30" s="20">
        <v>2688</v>
      </c>
      <c r="F30" s="20">
        <v>224</v>
      </c>
      <c r="G30" s="20">
        <v>48</v>
      </c>
      <c r="H30" s="20">
        <v>837</v>
      </c>
      <c r="I30" s="20">
        <v>876</v>
      </c>
      <c r="J30" s="20">
        <v>1502</v>
      </c>
      <c r="K30" s="20">
        <v>384</v>
      </c>
      <c r="L30" s="21" t="s">
        <v>745</v>
      </c>
      <c r="M30" s="18"/>
      <c r="N30" s="18"/>
      <c r="O30" s="22">
        <f>IF(LEFT(L30,1)="G",4*J30,2*J30)</f>
        <v>6008</v>
      </c>
      <c r="P30" s="22">
        <f t="shared" si="4"/>
        <v>2354688</v>
      </c>
      <c r="Q30" s="22">
        <f t="shared" si="5"/>
        <v>196224</v>
      </c>
      <c r="R30" s="22">
        <f t="shared" si="6"/>
        <v>42048</v>
      </c>
      <c r="S30" s="22">
        <f t="shared" si="7"/>
        <v>837</v>
      </c>
      <c r="T30" s="22">
        <f>O30*K30</f>
        <v>2307072</v>
      </c>
      <c r="U30" s="22"/>
      <c r="V30" s="22">
        <f t="shared" si="11"/>
        <v>2.707724077336803</v>
      </c>
      <c r="W30" s="22">
        <f>W28</f>
        <v>1</v>
      </c>
      <c r="X30" s="385">
        <f t="shared" si="9"/>
        <v>1</v>
      </c>
      <c r="Y30" s="22"/>
      <c r="Z30" s="22">
        <f t="shared" si="12"/>
        <v>2.6809000000000003</v>
      </c>
      <c r="AA30" s="22"/>
      <c r="AB30" s="25">
        <f t="shared" si="10"/>
        <v>163.72999999999999</v>
      </c>
    </row>
    <row r="31" spans="1:16384" x14ac:dyDescent="0.25">
      <c r="A31" s="22" t="s">
        <v>887</v>
      </c>
      <c r="B31" s="18" t="s">
        <v>640</v>
      </c>
      <c r="C31" s="19" t="s">
        <v>618</v>
      </c>
      <c r="D31" s="18" t="s">
        <v>635</v>
      </c>
      <c r="E31" s="21">
        <v>3072</v>
      </c>
      <c r="F31" s="20">
        <v>256</v>
      </c>
      <c r="G31" s="20">
        <v>64</v>
      </c>
      <c r="H31" s="20">
        <v>915</v>
      </c>
      <c r="I31" s="20">
        <v>1019</v>
      </c>
      <c r="J31" s="20">
        <v>1502</v>
      </c>
      <c r="K31" s="20">
        <v>256</v>
      </c>
      <c r="L31" s="21" t="s">
        <v>745</v>
      </c>
      <c r="M31" s="22"/>
      <c r="N31" s="22"/>
      <c r="O31" s="22">
        <f t="shared" si="13"/>
        <v>6008</v>
      </c>
      <c r="P31" s="22">
        <f t="shared" si="4"/>
        <v>3130368</v>
      </c>
      <c r="Q31" s="22">
        <f t="shared" si="5"/>
        <v>260864</v>
      </c>
      <c r="R31" s="22">
        <f t="shared" si="6"/>
        <v>65216</v>
      </c>
      <c r="S31" s="22">
        <f t="shared" si="7"/>
        <v>915</v>
      </c>
      <c r="T31" s="22">
        <f t="shared" si="14"/>
        <v>1538048</v>
      </c>
      <c r="U31" s="22"/>
      <c r="V31" s="22">
        <f t="shared" si="11"/>
        <v>3.1151379043478515</v>
      </c>
      <c r="W31" s="22">
        <f t="shared" si="16"/>
        <v>1</v>
      </c>
      <c r="X31" s="385">
        <f t="shared" si="9"/>
        <v>1</v>
      </c>
      <c r="Y31" s="22"/>
      <c r="Z31" s="22">
        <f t="shared" si="12"/>
        <v>3.0842000000000001</v>
      </c>
      <c r="AA31" s="22"/>
      <c r="AB31" s="25">
        <f t="shared" si="10"/>
        <v>175.61</v>
      </c>
    </row>
    <row r="32" spans="1:16384" x14ac:dyDescent="0.25">
      <c r="A32" s="22" t="s">
        <v>887</v>
      </c>
      <c r="B32" s="18" t="s">
        <v>641</v>
      </c>
      <c r="C32" s="19" t="s">
        <v>618</v>
      </c>
      <c r="D32" s="18" t="s">
        <v>635</v>
      </c>
      <c r="E32" s="20">
        <v>1536</v>
      </c>
      <c r="F32" s="20">
        <v>128</v>
      </c>
      <c r="G32" s="20">
        <v>32</v>
      </c>
      <c r="H32" s="20">
        <v>1006</v>
      </c>
      <c r="I32" s="20">
        <v>1058</v>
      </c>
      <c r="J32" s="20">
        <v>1502</v>
      </c>
      <c r="K32" s="20">
        <v>256</v>
      </c>
      <c r="L32" s="21" t="s">
        <v>745</v>
      </c>
      <c r="M32" s="18"/>
      <c r="N32" s="18"/>
      <c r="O32" s="22">
        <f t="shared" si="13"/>
        <v>6008</v>
      </c>
      <c r="P32" s="22">
        <f t="shared" si="4"/>
        <v>1625088</v>
      </c>
      <c r="Q32" s="22">
        <f t="shared" si="5"/>
        <v>135424</v>
      </c>
      <c r="R32" s="22">
        <f t="shared" si="6"/>
        <v>33856</v>
      </c>
      <c r="S32" s="22">
        <f t="shared" si="7"/>
        <v>1006</v>
      </c>
      <c r="T32" s="22">
        <f t="shared" si="14"/>
        <v>1538048</v>
      </c>
      <c r="U32" s="22"/>
      <c r="V32" s="22">
        <f t="shared" si="11"/>
        <v>2.0148287915073437</v>
      </c>
      <c r="W32" s="22">
        <f t="shared" si="16"/>
        <v>1</v>
      </c>
      <c r="X32" s="385">
        <f t="shared" si="9"/>
        <v>1</v>
      </c>
      <c r="Y32" s="22"/>
      <c r="Z32" s="22">
        <f t="shared" si="12"/>
        <v>1.9948000000000001</v>
      </c>
      <c r="AA32" s="22"/>
      <c r="AB32" s="25">
        <f t="shared" si="10"/>
        <v>141.22999999999999</v>
      </c>
    </row>
    <row r="33" spans="1:28" x14ac:dyDescent="0.25">
      <c r="A33" s="22" t="s">
        <v>887</v>
      </c>
      <c r="B33" s="18" t="s">
        <v>642</v>
      </c>
      <c r="C33" s="19" t="s">
        <v>618</v>
      </c>
      <c r="D33" s="18" t="s">
        <v>635</v>
      </c>
      <c r="E33" s="20">
        <v>1344</v>
      </c>
      <c r="F33" s="20">
        <v>112</v>
      </c>
      <c r="G33" s="20">
        <v>32</v>
      </c>
      <c r="H33" s="20">
        <v>915</v>
      </c>
      <c r="I33" s="20">
        <v>980</v>
      </c>
      <c r="J33" s="20">
        <v>1502</v>
      </c>
      <c r="K33" s="20">
        <v>256</v>
      </c>
      <c r="L33" s="21" t="s">
        <v>745</v>
      </c>
      <c r="M33" s="18"/>
      <c r="N33" s="18"/>
      <c r="O33" s="22">
        <f t="shared" si="13"/>
        <v>6008</v>
      </c>
      <c r="P33" s="22">
        <f t="shared" si="4"/>
        <v>1317120</v>
      </c>
      <c r="Q33" s="22">
        <f t="shared" si="5"/>
        <v>109760</v>
      </c>
      <c r="R33" s="22">
        <f t="shared" si="6"/>
        <v>31360</v>
      </c>
      <c r="S33" s="22">
        <f t="shared" si="7"/>
        <v>915</v>
      </c>
      <c r="T33" s="22">
        <f t="shared" si="14"/>
        <v>1538048</v>
      </c>
      <c r="U33" s="22"/>
      <c r="V33" s="22">
        <f t="shared" si="11"/>
        <v>1.8075570739185409</v>
      </c>
      <c r="W33" s="22">
        <f t="shared" si="16"/>
        <v>1</v>
      </c>
      <c r="X33" s="385">
        <f t="shared" si="9"/>
        <v>1</v>
      </c>
      <c r="Y33" s="22"/>
      <c r="Z33" s="22">
        <f t="shared" si="12"/>
        <v>1.7896000000000001</v>
      </c>
      <c r="AA33" s="22"/>
      <c r="AB33" s="25">
        <f t="shared" si="10"/>
        <v>133.77000000000001</v>
      </c>
    </row>
    <row r="34" spans="1:28" x14ac:dyDescent="0.25">
      <c r="A34" s="22" t="s">
        <v>887</v>
      </c>
      <c r="B34" s="18" t="s">
        <v>643</v>
      </c>
      <c r="C34" s="19" t="s">
        <v>618</v>
      </c>
      <c r="D34" s="18" t="s">
        <v>635</v>
      </c>
      <c r="E34" s="20">
        <v>1344</v>
      </c>
      <c r="F34" s="20">
        <v>112</v>
      </c>
      <c r="G34" s="20">
        <v>24</v>
      </c>
      <c r="H34" s="20">
        <v>915</v>
      </c>
      <c r="I34" s="20">
        <v>980</v>
      </c>
      <c r="J34" s="20">
        <v>1502</v>
      </c>
      <c r="K34" s="20">
        <v>192</v>
      </c>
      <c r="L34" s="21" t="s">
        <v>745</v>
      </c>
      <c r="M34" s="18"/>
      <c r="N34" s="18"/>
      <c r="O34" s="22">
        <f t="shared" si="13"/>
        <v>6008</v>
      </c>
      <c r="P34" s="22">
        <f t="shared" si="4"/>
        <v>1317120</v>
      </c>
      <c r="Q34" s="22">
        <f t="shared" si="5"/>
        <v>109760</v>
      </c>
      <c r="R34" s="22">
        <f t="shared" si="6"/>
        <v>23520</v>
      </c>
      <c r="S34" s="22">
        <f t="shared" si="7"/>
        <v>915</v>
      </c>
      <c r="T34" s="22">
        <f t="shared" si="14"/>
        <v>1153536</v>
      </c>
      <c r="U34" s="22"/>
      <c r="V34" s="22">
        <f t="shared" si="11"/>
        <v>1.5745747834627102</v>
      </c>
      <c r="W34" s="22">
        <f t="shared" si="16"/>
        <v>1</v>
      </c>
      <c r="X34" s="385">
        <f t="shared" si="9"/>
        <v>1</v>
      </c>
      <c r="Y34" s="22"/>
      <c r="Z34" s="22">
        <f t="shared" si="12"/>
        <v>1.5589000000000002</v>
      </c>
      <c r="AA34" s="22"/>
      <c r="AB34" s="25">
        <f t="shared" si="10"/>
        <v>124.85000000000001</v>
      </c>
    </row>
    <row r="35" spans="1:28" x14ac:dyDescent="0.25">
      <c r="A35" s="22" t="s">
        <v>887</v>
      </c>
      <c r="B35" s="18" t="s">
        <v>644</v>
      </c>
      <c r="C35" s="19" t="s">
        <v>618</v>
      </c>
      <c r="D35" s="18" t="s">
        <v>645</v>
      </c>
      <c r="E35" s="20">
        <v>960</v>
      </c>
      <c r="F35" s="20">
        <v>80</v>
      </c>
      <c r="G35" s="20">
        <v>24</v>
      </c>
      <c r="H35" s="20">
        <v>980</v>
      </c>
      <c r="I35" s="20">
        <v>1033</v>
      </c>
      <c r="J35" s="20">
        <v>1502</v>
      </c>
      <c r="K35" s="20">
        <v>192</v>
      </c>
      <c r="L35" s="21" t="s">
        <v>745</v>
      </c>
      <c r="M35" s="18"/>
      <c r="N35" s="18"/>
      <c r="O35" s="22">
        <f t="shared" si="13"/>
        <v>6008</v>
      </c>
      <c r="P35" s="22">
        <f t="shared" si="4"/>
        <v>991680</v>
      </c>
      <c r="Q35" s="22">
        <f t="shared" si="5"/>
        <v>82640</v>
      </c>
      <c r="R35" s="22">
        <f t="shared" si="6"/>
        <v>24792</v>
      </c>
      <c r="S35" s="22">
        <f t="shared" si="7"/>
        <v>980</v>
      </c>
      <c r="T35" s="22">
        <f t="shared" si="14"/>
        <v>1153536</v>
      </c>
      <c r="U35" s="22"/>
      <c r="V35" s="22">
        <f t="shared" si="11"/>
        <v>1.4433378509089285</v>
      </c>
      <c r="W35" s="22">
        <f t="shared" si="16"/>
        <v>1</v>
      </c>
      <c r="X35" s="385">
        <f t="shared" si="9"/>
        <v>1</v>
      </c>
      <c r="Y35" s="22"/>
      <c r="Z35" s="22">
        <f t="shared" si="12"/>
        <v>1.429</v>
      </c>
      <c r="AA35" s="22"/>
      <c r="AB35" s="25">
        <f t="shared" si="10"/>
        <v>119.54</v>
      </c>
    </row>
    <row r="36" spans="1:28" x14ac:dyDescent="0.25">
      <c r="A36" s="22" t="s">
        <v>887</v>
      </c>
      <c r="B36" s="18" t="s">
        <v>646</v>
      </c>
      <c r="C36" s="19" t="s">
        <v>618</v>
      </c>
      <c r="D36" s="18" t="s">
        <v>645</v>
      </c>
      <c r="E36" s="20">
        <v>768</v>
      </c>
      <c r="F36" s="20">
        <v>64</v>
      </c>
      <c r="G36" s="20">
        <v>24</v>
      </c>
      <c r="H36" s="20">
        <v>980</v>
      </c>
      <c r="I36" s="20">
        <v>1033</v>
      </c>
      <c r="J36" s="20">
        <v>1502</v>
      </c>
      <c r="K36" s="20">
        <v>192</v>
      </c>
      <c r="L36" s="21" t="s">
        <v>745</v>
      </c>
      <c r="M36" s="18"/>
      <c r="N36" s="18"/>
      <c r="O36" s="22">
        <f t="shared" si="13"/>
        <v>6008</v>
      </c>
      <c r="P36" s="22">
        <f t="shared" si="4"/>
        <v>793344</v>
      </c>
      <c r="Q36" s="22">
        <f t="shared" si="5"/>
        <v>66112</v>
      </c>
      <c r="R36" s="22">
        <f t="shared" si="6"/>
        <v>24792</v>
      </c>
      <c r="S36" s="22">
        <f t="shared" si="7"/>
        <v>980</v>
      </c>
      <c r="T36" s="22">
        <f t="shared" si="14"/>
        <v>1153536</v>
      </c>
      <c r="U36" s="22"/>
      <c r="V36" s="22">
        <f t="shared" si="11"/>
        <v>1.3347032377113339</v>
      </c>
      <c r="W36" s="22">
        <f t="shared" si="16"/>
        <v>1</v>
      </c>
      <c r="X36" s="385">
        <f t="shared" si="9"/>
        <v>1</v>
      </c>
      <c r="Y36" s="22"/>
      <c r="Z36" s="22">
        <f t="shared" si="12"/>
        <v>1.3214000000000001</v>
      </c>
      <c r="AA36" s="22"/>
      <c r="AB36" s="25">
        <f t="shared" si="10"/>
        <v>114.95</v>
      </c>
    </row>
    <row r="37" spans="1:28" x14ac:dyDescent="0.25">
      <c r="A37" s="22" t="s">
        <v>887</v>
      </c>
      <c r="B37" s="18" t="s">
        <v>647</v>
      </c>
      <c r="C37" s="19" t="s">
        <v>618</v>
      </c>
      <c r="D37" s="18" t="s">
        <v>645</v>
      </c>
      <c r="E37" s="20">
        <v>768</v>
      </c>
      <c r="F37" s="20">
        <v>64</v>
      </c>
      <c r="G37" s="20">
        <v>16</v>
      </c>
      <c r="H37" s="20">
        <v>928</v>
      </c>
      <c r="I37" s="20">
        <v>928</v>
      </c>
      <c r="J37" s="20">
        <v>1350</v>
      </c>
      <c r="K37" s="20">
        <v>128</v>
      </c>
      <c r="L37" s="21" t="s">
        <v>745</v>
      </c>
      <c r="M37" s="18"/>
      <c r="N37" s="18"/>
      <c r="O37" s="22">
        <f t="shared" si="13"/>
        <v>5400</v>
      </c>
      <c r="P37" s="22">
        <f t="shared" si="4"/>
        <v>712704</v>
      </c>
      <c r="Q37" s="22">
        <f t="shared" si="5"/>
        <v>59392</v>
      </c>
      <c r="R37" s="22">
        <f t="shared" si="6"/>
        <v>14848</v>
      </c>
      <c r="S37" s="22">
        <f t="shared" si="7"/>
        <v>928</v>
      </c>
      <c r="T37" s="22">
        <f t="shared" si="14"/>
        <v>691200</v>
      </c>
      <c r="U37" s="22"/>
      <c r="V37" s="22">
        <f t="shared" si="11"/>
        <v>1.008973886479748</v>
      </c>
      <c r="W37" s="22">
        <f t="shared" si="16"/>
        <v>1</v>
      </c>
      <c r="X37" s="385">
        <f t="shared" si="9"/>
        <v>1</v>
      </c>
      <c r="Y37" s="22"/>
      <c r="Z37" s="22">
        <f t="shared" si="12"/>
        <v>0.99890000000000001</v>
      </c>
      <c r="AA37" s="22"/>
      <c r="AB37" s="25">
        <f t="shared" si="10"/>
        <v>99.94</v>
      </c>
    </row>
    <row r="38" spans="1:28" x14ac:dyDescent="0.25">
      <c r="A38" s="22" t="s">
        <v>887</v>
      </c>
      <c r="B38" s="18" t="s">
        <v>648</v>
      </c>
      <c r="C38" s="19" t="s">
        <v>618</v>
      </c>
      <c r="D38" s="18" t="s">
        <v>649</v>
      </c>
      <c r="E38" s="20">
        <v>384</v>
      </c>
      <c r="F38" s="20">
        <v>32</v>
      </c>
      <c r="G38" s="20">
        <v>16</v>
      </c>
      <c r="H38" s="20">
        <v>1058</v>
      </c>
      <c r="I38" s="20">
        <v>1058</v>
      </c>
      <c r="J38" s="20">
        <v>1250</v>
      </c>
      <c r="K38" s="20">
        <v>128</v>
      </c>
      <c r="L38" s="21" t="s">
        <v>745</v>
      </c>
      <c r="M38" s="18"/>
      <c r="N38" s="18"/>
      <c r="O38" s="22">
        <f t="shared" si="13"/>
        <v>5000</v>
      </c>
      <c r="P38" s="22">
        <f t="shared" si="4"/>
        <v>406272</v>
      </c>
      <c r="Q38" s="22">
        <f t="shared" si="5"/>
        <v>33856</v>
      </c>
      <c r="R38" s="22">
        <f t="shared" si="6"/>
        <v>16928</v>
      </c>
      <c r="S38" s="22">
        <f t="shared" si="7"/>
        <v>1058</v>
      </c>
      <c r="T38" s="22">
        <f t="shared" si="14"/>
        <v>640000</v>
      </c>
      <c r="U38" s="22"/>
      <c r="V38" s="22">
        <f t="shared" si="11"/>
        <v>0.87253990414740645</v>
      </c>
      <c r="W38" s="22">
        <f t="shared" si="16"/>
        <v>1</v>
      </c>
      <c r="X38" s="385">
        <f t="shared" si="9"/>
        <v>1</v>
      </c>
      <c r="Y38" s="22"/>
      <c r="Z38" s="22">
        <f t="shared" si="12"/>
        <v>0.8639</v>
      </c>
      <c r="AA38" s="22"/>
      <c r="AB38" s="25">
        <f t="shared" si="10"/>
        <v>92.94</v>
      </c>
    </row>
    <row r="39" spans="1:28" x14ac:dyDescent="0.25">
      <c r="A39" s="22" t="s">
        <v>887</v>
      </c>
      <c r="B39" s="18" t="s">
        <v>654</v>
      </c>
      <c r="C39" s="19" t="s">
        <v>618</v>
      </c>
      <c r="D39" s="18" t="s">
        <v>649</v>
      </c>
      <c r="E39" s="20">
        <v>384</v>
      </c>
      <c r="F39" s="20">
        <v>32</v>
      </c>
      <c r="G39" s="20">
        <v>16</v>
      </c>
      <c r="H39" s="20">
        <v>902</v>
      </c>
      <c r="I39" s="20">
        <v>902</v>
      </c>
      <c r="J39" s="20">
        <v>891</v>
      </c>
      <c r="K39" s="20">
        <v>128</v>
      </c>
      <c r="L39" s="21" t="s">
        <v>783</v>
      </c>
      <c r="M39" s="18"/>
      <c r="N39" s="18"/>
      <c r="O39" s="22">
        <f t="shared" si="13"/>
        <v>1782</v>
      </c>
      <c r="P39" s="22">
        <f t="shared" si="4"/>
        <v>346368</v>
      </c>
      <c r="Q39" s="22">
        <f t="shared" si="5"/>
        <v>28864</v>
      </c>
      <c r="R39" s="22">
        <f t="shared" si="6"/>
        <v>14432</v>
      </c>
      <c r="S39" s="22">
        <f t="shared" si="7"/>
        <v>902</v>
      </c>
      <c r="T39" s="22">
        <f t="shared" si="14"/>
        <v>228096</v>
      </c>
      <c r="U39" s="22"/>
      <c r="V39" s="22">
        <f t="shared" si="11"/>
        <v>0.6290356306660343</v>
      </c>
      <c r="W39" s="22">
        <f t="shared" si="16"/>
        <v>1</v>
      </c>
      <c r="X39" s="385">
        <f t="shared" si="9"/>
        <v>1</v>
      </c>
      <c r="Y39" s="22"/>
      <c r="Z39" s="22">
        <f t="shared" si="12"/>
        <v>0.62280000000000002</v>
      </c>
      <c r="AA39" s="22"/>
      <c r="AB39" s="25">
        <f t="shared" si="10"/>
        <v>78.91</v>
      </c>
    </row>
    <row r="40" spans="1:28" x14ac:dyDescent="0.25">
      <c r="A40" s="22" t="s">
        <v>887</v>
      </c>
      <c r="B40" s="18" t="s">
        <v>655</v>
      </c>
      <c r="C40" s="19" t="s">
        <v>856</v>
      </c>
      <c r="D40" s="18" t="s">
        <v>653</v>
      </c>
      <c r="E40" s="20">
        <v>96</v>
      </c>
      <c r="F40" s="20">
        <v>16</v>
      </c>
      <c r="G40" s="20">
        <v>4</v>
      </c>
      <c r="H40" s="20">
        <v>810</v>
      </c>
      <c r="I40" s="20">
        <v>810</v>
      </c>
      <c r="J40" s="20">
        <v>900</v>
      </c>
      <c r="K40" s="20">
        <v>128</v>
      </c>
      <c r="L40" s="21" t="s">
        <v>783</v>
      </c>
      <c r="M40" s="18"/>
      <c r="N40" s="18"/>
      <c r="O40" s="22">
        <f t="shared" si="13"/>
        <v>1800</v>
      </c>
      <c r="P40" s="22">
        <f t="shared" si="4"/>
        <v>77760</v>
      </c>
      <c r="Q40" s="22">
        <f t="shared" si="5"/>
        <v>12960</v>
      </c>
      <c r="R40" s="22">
        <f t="shared" si="6"/>
        <v>3240</v>
      </c>
      <c r="S40" s="22">
        <f t="shared" si="7"/>
        <v>810</v>
      </c>
      <c r="T40" s="22">
        <f t="shared" si="14"/>
        <v>230400</v>
      </c>
      <c r="U40" s="22"/>
      <c r="V40" s="22">
        <f t="shared" si="11"/>
        <v>0.37391950916290928</v>
      </c>
      <c r="W40" s="22">
        <f>W29</f>
        <v>0.94</v>
      </c>
      <c r="X40" s="385">
        <f t="shared" si="9"/>
        <v>1</v>
      </c>
      <c r="Y40" s="22"/>
      <c r="Z40" s="22">
        <f t="shared" si="12"/>
        <v>0.34800000000000003</v>
      </c>
      <c r="AA40" s="22"/>
      <c r="AB40" s="25">
        <f t="shared" si="10"/>
        <v>58.99</v>
      </c>
    </row>
    <row r="41" spans="1:28" x14ac:dyDescent="0.25">
      <c r="A41" s="22" t="s">
        <v>887</v>
      </c>
      <c r="B41" s="18" t="s">
        <v>843</v>
      </c>
      <c r="C41" s="19" t="s">
        <v>856</v>
      </c>
      <c r="D41" s="18" t="s">
        <v>865</v>
      </c>
      <c r="E41" s="20">
        <v>1024</v>
      </c>
      <c r="F41" s="20">
        <v>128</v>
      </c>
      <c r="G41" s="20">
        <v>96</v>
      </c>
      <c r="H41" s="20">
        <v>608</v>
      </c>
      <c r="I41" s="20">
        <v>608</v>
      </c>
      <c r="J41" s="20">
        <v>854</v>
      </c>
      <c r="K41" s="20">
        <v>384</v>
      </c>
      <c r="L41" s="21" t="s">
        <v>860</v>
      </c>
      <c r="M41" s="18" t="s">
        <v>866</v>
      </c>
      <c r="N41" s="18"/>
      <c r="O41" s="22">
        <f t="shared" ref="O41:O56" si="17">IF(LEFT(L41,1)="G",4*J41,2*J41)</f>
        <v>3416</v>
      </c>
      <c r="P41" s="22">
        <f t="shared" si="4"/>
        <v>622592</v>
      </c>
      <c r="Q41" s="22">
        <f t="shared" si="5"/>
        <v>77824</v>
      </c>
      <c r="R41" s="22">
        <f t="shared" si="6"/>
        <v>58368</v>
      </c>
      <c r="S41" s="22">
        <f t="shared" si="7"/>
        <v>608</v>
      </c>
      <c r="T41" s="22">
        <f t="shared" ref="T41:T56" si="18">O41*K41</f>
        <v>1311744</v>
      </c>
      <c r="U41" s="22"/>
      <c r="V41" s="22">
        <f t="shared" ref="V41:V69" si="19">0.5*(POWER((P41*Q41*R41)/($P$23*$Q$23*$R$23),1/3)+0.5*(S41/$S$23)+0.5*(T41/$T$23))</f>
        <v>1.5009717115799941</v>
      </c>
      <c r="W41" s="22">
        <f>W40</f>
        <v>0.94</v>
      </c>
      <c r="X41" s="385">
        <f t="shared" si="9"/>
        <v>0.9</v>
      </c>
      <c r="Y41" s="22"/>
      <c r="Z41" s="22">
        <f t="shared" ref="Z41:Z69" si="20">FLOOR(V41*X41*W41/$W$23,0.0001)</f>
        <v>1.2572000000000001</v>
      </c>
      <c r="AA41" s="22"/>
      <c r="AB41" s="25">
        <f t="shared" ref="AB41:AB56" si="21">FLOOR(POWER(Z41,0.5)*100,0.01)</f>
        <v>112.12</v>
      </c>
    </row>
    <row r="42" spans="1:28" x14ac:dyDescent="0.25">
      <c r="A42" s="22" t="s">
        <v>887</v>
      </c>
      <c r="B42" s="18" t="s">
        <v>842</v>
      </c>
      <c r="C42" s="19" t="s">
        <v>856</v>
      </c>
      <c r="D42" s="18" t="s">
        <v>865</v>
      </c>
      <c r="E42" s="20">
        <v>512</v>
      </c>
      <c r="F42" s="20">
        <v>64</v>
      </c>
      <c r="G42" s="20">
        <v>48</v>
      </c>
      <c r="H42" s="20">
        <v>772</v>
      </c>
      <c r="I42" s="20">
        <v>772</v>
      </c>
      <c r="J42" s="20">
        <v>1002</v>
      </c>
      <c r="K42" s="20">
        <v>384</v>
      </c>
      <c r="L42" s="21" t="s">
        <v>860</v>
      </c>
      <c r="M42" s="18"/>
      <c r="N42" s="18"/>
      <c r="O42" s="22">
        <f t="shared" si="17"/>
        <v>4008</v>
      </c>
      <c r="P42" s="22">
        <f t="shared" si="4"/>
        <v>395264</v>
      </c>
      <c r="Q42" s="22">
        <f t="shared" si="5"/>
        <v>49408</v>
      </c>
      <c r="R42" s="22">
        <f t="shared" si="6"/>
        <v>37056</v>
      </c>
      <c r="S42" s="22">
        <f t="shared" si="7"/>
        <v>772</v>
      </c>
      <c r="T42" s="22">
        <f t="shared" si="18"/>
        <v>1539072</v>
      </c>
      <c r="U42" s="22"/>
      <c r="V42" s="22">
        <f t="shared" si="19"/>
        <v>1.3029842550577411</v>
      </c>
      <c r="W42" s="22">
        <f t="shared" ref="W42:W47" si="22">W41</f>
        <v>0.94</v>
      </c>
      <c r="X42" s="385">
        <f t="shared" si="9"/>
        <v>1</v>
      </c>
      <c r="Y42" s="22"/>
      <c r="Z42" s="22">
        <f t="shared" si="20"/>
        <v>1.2126000000000001</v>
      </c>
      <c r="AA42" s="22"/>
      <c r="AB42" s="25">
        <f t="shared" si="21"/>
        <v>110.11</v>
      </c>
    </row>
    <row r="43" spans="1:28" x14ac:dyDescent="0.25">
      <c r="A43" s="22" t="s">
        <v>887</v>
      </c>
      <c r="B43" s="18" t="s">
        <v>844</v>
      </c>
      <c r="C43" s="19" t="s">
        <v>856</v>
      </c>
      <c r="D43" s="18" t="s">
        <v>865</v>
      </c>
      <c r="E43" s="20">
        <v>480</v>
      </c>
      <c r="F43" s="20">
        <v>60</v>
      </c>
      <c r="G43" s="20">
        <v>40</v>
      </c>
      <c r="H43" s="20">
        <v>732</v>
      </c>
      <c r="I43" s="20">
        <v>732</v>
      </c>
      <c r="J43" s="20">
        <v>950</v>
      </c>
      <c r="K43" s="20">
        <v>320</v>
      </c>
      <c r="L43" s="21" t="s">
        <v>860</v>
      </c>
      <c r="M43" s="18"/>
      <c r="N43" s="18"/>
      <c r="O43" s="22">
        <f t="shared" si="17"/>
        <v>3800</v>
      </c>
      <c r="P43" s="22">
        <f t="shared" si="4"/>
        <v>351360</v>
      </c>
      <c r="Q43" s="22">
        <f t="shared" si="5"/>
        <v>43920</v>
      </c>
      <c r="R43" s="22">
        <f t="shared" si="6"/>
        <v>29280</v>
      </c>
      <c r="S43" s="22">
        <f t="shared" si="7"/>
        <v>732</v>
      </c>
      <c r="T43" s="22">
        <f t="shared" si="18"/>
        <v>1216000</v>
      </c>
      <c r="U43" s="22"/>
      <c r="V43" s="22">
        <f t="shared" si="19"/>
        <v>1.0953821369913743</v>
      </c>
      <c r="W43" s="22">
        <f t="shared" si="22"/>
        <v>0.94</v>
      </c>
      <c r="X43" s="385">
        <f t="shared" si="9"/>
        <v>1</v>
      </c>
      <c r="Y43" s="22"/>
      <c r="Z43" s="22">
        <f t="shared" si="20"/>
        <v>1.0194000000000001</v>
      </c>
      <c r="AA43" s="22"/>
      <c r="AB43" s="25">
        <f t="shared" si="21"/>
        <v>100.96000000000001</v>
      </c>
    </row>
    <row r="44" spans="1:28" x14ac:dyDescent="0.25">
      <c r="A44" s="22" t="s">
        <v>887</v>
      </c>
      <c r="B44" s="18" t="s">
        <v>845</v>
      </c>
      <c r="C44" s="19" t="s">
        <v>856</v>
      </c>
      <c r="D44" s="18" t="s">
        <v>864</v>
      </c>
      <c r="E44" s="20">
        <v>384</v>
      </c>
      <c r="F44" s="20">
        <v>64</v>
      </c>
      <c r="G44" s="20">
        <v>32</v>
      </c>
      <c r="H44" s="20">
        <v>823</v>
      </c>
      <c r="I44" s="20">
        <v>823</v>
      </c>
      <c r="J44" s="20">
        <v>1002</v>
      </c>
      <c r="K44" s="20">
        <v>256</v>
      </c>
      <c r="L44" s="21" t="s">
        <v>860</v>
      </c>
      <c r="M44" s="18"/>
      <c r="N44" s="18"/>
      <c r="O44" s="22">
        <f t="shared" si="17"/>
        <v>4008</v>
      </c>
      <c r="P44" s="22">
        <f t="shared" si="4"/>
        <v>316032</v>
      </c>
      <c r="Q44" s="22">
        <f t="shared" si="5"/>
        <v>52672</v>
      </c>
      <c r="R44" s="22">
        <f t="shared" si="6"/>
        <v>26336</v>
      </c>
      <c r="S44" s="22">
        <f t="shared" si="7"/>
        <v>823</v>
      </c>
      <c r="T44" s="22">
        <f t="shared" si="18"/>
        <v>1026048</v>
      </c>
      <c r="U44" s="22"/>
      <c r="V44" s="22">
        <f t="shared" si="19"/>
        <v>1.0442097194870081</v>
      </c>
      <c r="W44" s="22">
        <f t="shared" si="22"/>
        <v>0.94</v>
      </c>
      <c r="X44" s="385">
        <f t="shared" si="9"/>
        <v>1</v>
      </c>
      <c r="Y44" s="22"/>
      <c r="Z44" s="22">
        <f t="shared" si="20"/>
        <v>0.9718</v>
      </c>
      <c r="AA44" s="22"/>
      <c r="AB44" s="25">
        <f t="shared" si="21"/>
        <v>98.570000000000007</v>
      </c>
    </row>
    <row r="45" spans="1:28" x14ac:dyDescent="0.25">
      <c r="A45" s="22" t="s">
        <v>887</v>
      </c>
      <c r="B45" s="18" t="s">
        <v>846</v>
      </c>
      <c r="C45" s="19" t="s">
        <v>856</v>
      </c>
      <c r="D45" s="18" t="s">
        <v>864</v>
      </c>
      <c r="E45" s="20">
        <v>336</v>
      </c>
      <c r="F45" s="20">
        <v>56</v>
      </c>
      <c r="G45" s="20">
        <v>32</v>
      </c>
      <c r="H45" s="20">
        <v>810</v>
      </c>
      <c r="I45" s="20">
        <v>810</v>
      </c>
      <c r="J45" s="20">
        <v>1000</v>
      </c>
      <c r="K45" s="20">
        <v>256</v>
      </c>
      <c r="L45" s="21" t="s">
        <v>860</v>
      </c>
      <c r="M45" s="18"/>
      <c r="N45" s="18"/>
      <c r="O45" s="22">
        <f t="shared" si="17"/>
        <v>4000</v>
      </c>
      <c r="P45" s="22">
        <f t="shared" si="4"/>
        <v>272160</v>
      </c>
      <c r="Q45" s="22">
        <f t="shared" si="5"/>
        <v>45360</v>
      </c>
      <c r="R45" s="22">
        <f t="shared" si="6"/>
        <v>25920</v>
      </c>
      <c r="S45" s="22">
        <f t="shared" si="7"/>
        <v>810</v>
      </c>
      <c r="T45" s="22">
        <f t="shared" si="18"/>
        <v>1024000</v>
      </c>
      <c r="U45" s="22"/>
      <c r="V45" s="22">
        <f t="shared" si="19"/>
        <v>0.99332162810921509</v>
      </c>
      <c r="W45" s="22">
        <f t="shared" si="22"/>
        <v>0.94</v>
      </c>
      <c r="X45" s="385">
        <f t="shared" si="9"/>
        <v>1</v>
      </c>
      <c r="Y45" s="22"/>
      <c r="Z45" s="22">
        <f t="shared" si="20"/>
        <v>0.9244</v>
      </c>
      <c r="AA45" s="22"/>
      <c r="AB45" s="25">
        <f t="shared" si="21"/>
        <v>96.14</v>
      </c>
    </row>
    <row r="46" spans="1:28" x14ac:dyDescent="0.25">
      <c r="A46" s="22" t="s">
        <v>887</v>
      </c>
      <c r="B46" s="18" t="s">
        <v>847</v>
      </c>
      <c r="C46" s="19" t="s">
        <v>856</v>
      </c>
      <c r="D46" s="18" t="s">
        <v>864</v>
      </c>
      <c r="E46" s="20">
        <v>228</v>
      </c>
      <c r="F46" s="20">
        <v>48</v>
      </c>
      <c r="G46" s="20">
        <v>24</v>
      </c>
      <c r="H46" s="20">
        <v>736</v>
      </c>
      <c r="I46" s="20">
        <v>736</v>
      </c>
      <c r="J46" s="20">
        <v>957</v>
      </c>
      <c r="K46" s="20">
        <v>192</v>
      </c>
      <c r="L46" s="21" t="s">
        <v>860</v>
      </c>
      <c r="M46" s="18"/>
      <c r="N46" s="18"/>
      <c r="O46" s="22">
        <f t="shared" si="17"/>
        <v>3828</v>
      </c>
      <c r="P46" s="22">
        <f t="shared" si="4"/>
        <v>167808</v>
      </c>
      <c r="Q46" s="22">
        <f t="shared" si="5"/>
        <v>35328</v>
      </c>
      <c r="R46" s="22">
        <f t="shared" si="6"/>
        <v>17664</v>
      </c>
      <c r="S46" s="22">
        <f t="shared" si="7"/>
        <v>736</v>
      </c>
      <c r="T46" s="22">
        <f t="shared" si="18"/>
        <v>734976</v>
      </c>
      <c r="U46" s="22"/>
      <c r="V46" s="22">
        <f t="shared" si="19"/>
        <v>0.73870394066405498</v>
      </c>
      <c r="W46" s="22">
        <f t="shared" si="22"/>
        <v>0.94</v>
      </c>
      <c r="X46" s="385">
        <f t="shared" si="9"/>
        <v>1</v>
      </c>
      <c r="Y46" s="22"/>
      <c r="Z46" s="22">
        <f t="shared" si="20"/>
        <v>0.6875</v>
      </c>
      <c r="AA46" s="22"/>
      <c r="AB46" s="25">
        <f t="shared" si="21"/>
        <v>82.91</v>
      </c>
    </row>
    <row r="47" spans="1:28" x14ac:dyDescent="0.25">
      <c r="A47" s="22" t="s">
        <v>887</v>
      </c>
      <c r="B47" s="18" t="s">
        <v>3010</v>
      </c>
      <c r="C47" s="19" t="s">
        <v>856</v>
      </c>
      <c r="D47" s="18" t="s">
        <v>863</v>
      </c>
      <c r="E47" s="20">
        <v>192</v>
      </c>
      <c r="F47" s="20">
        <v>32</v>
      </c>
      <c r="G47" s="20">
        <v>24</v>
      </c>
      <c r="H47" s="20">
        <v>900</v>
      </c>
      <c r="I47" s="20">
        <v>900</v>
      </c>
      <c r="J47" s="20">
        <v>1026</v>
      </c>
      <c r="K47" s="20">
        <v>192</v>
      </c>
      <c r="L47" s="21" t="s">
        <v>745</v>
      </c>
      <c r="M47" s="18"/>
      <c r="N47" s="18"/>
      <c r="O47" s="22">
        <f t="shared" si="17"/>
        <v>4104</v>
      </c>
      <c r="P47" s="22">
        <f t="shared" si="4"/>
        <v>172800</v>
      </c>
      <c r="Q47" s="22">
        <f t="shared" si="5"/>
        <v>28800</v>
      </c>
      <c r="R47" s="22">
        <f t="shared" si="6"/>
        <v>21600</v>
      </c>
      <c r="S47" s="22">
        <f t="shared" si="7"/>
        <v>900</v>
      </c>
      <c r="T47" s="22">
        <f t="shared" si="18"/>
        <v>787968</v>
      </c>
      <c r="U47" s="22"/>
      <c r="V47" s="22">
        <f t="shared" si="19"/>
        <v>0.80063007621956062</v>
      </c>
      <c r="W47" s="22">
        <f t="shared" si="22"/>
        <v>0.94</v>
      </c>
      <c r="X47" s="385">
        <f t="shared" si="9"/>
        <v>1</v>
      </c>
      <c r="Y47" s="22"/>
      <c r="Z47" s="22">
        <f t="shared" si="20"/>
        <v>0.74509999999999998</v>
      </c>
      <c r="AA47" s="22"/>
      <c r="AB47" s="25">
        <f t="shared" si="21"/>
        <v>86.31</v>
      </c>
    </row>
    <row r="48" spans="1:28" x14ac:dyDescent="0.25">
      <c r="A48" s="22" t="s">
        <v>887</v>
      </c>
      <c r="B48" s="18" t="s">
        <v>849</v>
      </c>
      <c r="C48" s="19" t="s">
        <v>856</v>
      </c>
      <c r="D48" s="18" t="s">
        <v>857</v>
      </c>
      <c r="E48" s="20">
        <v>480</v>
      </c>
      <c r="F48" s="20">
        <v>60</v>
      </c>
      <c r="G48" s="20">
        <v>48</v>
      </c>
      <c r="H48" s="20">
        <v>701</v>
      </c>
      <c r="I48" s="20">
        <v>701</v>
      </c>
      <c r="J48" s="20">
        <v>924</v>
      </c>
      <c r="K48" s="20">
        <v>384</v>
      </c>
      <c r="L48" s="21" t="s">
        <v>745</v>
      </c>
      <c r="M48" s="18"/>
      <c r="N48" s="18"/>
      <c r="O48" s="22">
        <f t="shared" si="17"/>
        <v>3696</v>
      </c>
      <c r="P48" s="22">
        <f t="shared" si="4"/>
        <v>336480</v>
      </c>
      <c r="Q48" s="22">
        <f t="shared" si="5"/>
        <v>42060</v>
      </c>
      <c r="R48" s="22">
        <f t="shared" si="6"/>
        <v>33648</v>
      </c>
      <c r="S48" s="22">
        <f t="shared" si="7"/>
        <v>701</v>
      </c>
      <c r="T48" s="22">
        <f t="shared" si="18"/>
        <v>1419264</v>
      </c>
      <c r="U48" s="22"/>
      <c r="V48" s="22">
        <f t="shared" si="19"/>
        <v>1.1697092708050962</v>
      </c>
      <c r="W48" s="22">
        <v>0.88100000000000001</v>
      </c>
      <c r="X48" s="385">
        <f t="shared" si="9"/>
        <v>1</v>
      </c>
      <c r="Y48" s="22"/>
      <c r="Z48" s="22">
        <f t="shared" si="20"/>
        <v>1.0203</v>
      </c>
      <c r="AA48" s="22"/>
      <c r="AB48" s="25">
        <f t="shared" si="21"/>
        <v>101</v>
      </c>
    </row>
    <row r="49" spans="1:28" x14ac:dyDescent="0.25">
      <c r="A49" s="22" t="s">
        <v>887</v>
      </c>
      <c r="B49" s="18" t="s">
        <v>848</v>
      </c>
      <c r="C49" s="19" t="s">
        <v>856</v>
      </c>
      <c r="D49" s="18" t="s">
        <v>857</v>
      </c>
      <c r="E49" s="20">
        <v>448</v>
      </c>
      <c r="F49" s="20">
        <v>56</v>
      </c>
      <c r="G49" s="20">
        <v>40</v>
      </c>
      <c r="H49" s="20">
        <v>607</v>
      </c>
      <c r="I49" s="20">
        <v>607</v>
      </c>
      <c r="J49" s="20">
        <v>837</v>
      </c>
      <c r="K49" s="20">
        <v>320</v>
      </c>
      <c r="L49" s="21" t="s">
        <v>745</v>
      </c>
      <c r="M49" s="18"/>
      <c r="N49" s="18"/>
      <c r="O49" s="22">
        <f t="shared" si="17"/>
        <v>3348</v>
      </c>
      <c r="P49" s="22">
        <f t="shared" si="4"/>
        <v>271936</v>
      </c>
      <c r="Q49" s="22">
        <f t="shared" si="5"/>
        <v>33992</v>
      </c>
      <c r="R49" s="22">
        <f t="shared" si="6"/>
        <v>24280</v>
      </c>
      <c r="S49" s="22">
        <f t="shared" si="7"/>
        <v>607</v>
      </c>
      <c r="T49" s="22">
        <f t="shared" si="18"/>
        <v>1071360</v>
      </c>
      <c r="U49" s="22"/>
      <c r="V49" s="22">
        <f t="shared" si="19"/>
        <v>0.91336969329791717</v>
      </c>
      <c r="W49" s="22">
        <f>W48</f>
        <v>0.88100000000000001</v>
      </c>
      <c r="X49" s="385">
        <f t="shared" si="9"/>
        <v>1</v>
      </c>
      <c r="Y49" s="22"/>
      <c r="Z49" s="22">
        <f t="shared" si="20"/>
        <v>0.79670000000000007</v>
      </c>
      <c r="AA49" s="22"/>
      <c r="AB49" s="25">
        <f t="shared" si="21"/>
        <v>89.25</v>
      </c>
    </row>
    <row r="50" spans="1:28" x14ac:dyDescent="0.25">
      <c r="A50" s="22" t="s">
        <v>887</v>
      </c>
      <c r="B50" s="18" t="s">
        <v>850</v>
      </c>
      <c r="C50" s="19" t="s">
        <v>856</v>
      </c>
      <c r="D50" s="18" t="s">
        <v>857</v>
      </c>
      <c r="E50" s="20">
        <v>352</v>
      </c>
      <c r="F50" s="20">
        <v>44</v>
      </c>
      <c r="G50" s="20">
        <v>32</v>
      </c>
      <c r="H50" s="20">
        <v>608</v>
      </c>
      <c r="I50" s="20">
        <v>608</v>
      </c>
      <c r="J50" s="20">
        <v>802</v>
      </c>
      <c r="K50" s="20">
        <v>256</v>
      </c>
      <c r="L50" s="21" t="s">
        <v>745</v>
      </c>
      <c r="M50" s="18"/>
      <c r="N50" s="18"/>
      <c r="O50" s="22">
        <f t="shared" si="17"/>
        <v>3208</v>
      </c>
      <c r="P50" s="22">
        <f t="shared" si="4"/>
        <v>214016</v>
      </c>
      <c r="Q50" s="22">
        <f t="shared" si="5"/>
        <v>26752</v>
      </c>
      <c r="R50" s="22">
        <f t="shared" si="6"/>
        <v>19456</v>
      </c>
      <c r="S50" s="22">
        <f t="shared" si="7"/>
        <v>608</v>
      </c>
      <c r="T50" s="22">
        <f t="shared" si="18"/>
        <v>821248</v>
      </c>
      <c r="U50" s="22"/>
      <c r="V50" s="22">
        <f t="shared" si="19"/>
        <v>0.74462169555026625</v>
      </c>
      <c r="W50" s="22">
        <f t="shared" ref="W50:W56" si="23">W49</f>
        <v>0.88100000000000001</v>
      </c>
      <c r="X50" s="385">
        <f t="shared" si="9"/>
        <v>1</v>
      </c>
      <c r="Y50" s="22"/>
      <c r="Z50" s="22">
        <f t="shared" si="20"/>
        <v>0.64950000000000008</v>
      </c>
      <c r="AA50" s="22"/>
      <c r="AB50" s="25">
        <f t="shared" si="21"/>
        <v>80.59</v>
      </c>
    </row>
    <row r="51" spans="1:28" x14ac:dyDescent="0.25">
      <c r="A51" s="22" t="s">
        <v>887</v>
      </c>
      <c r="B51" s="18" t="s">
        <v>851</v>
      </c>
      <c r="C51" s="19" t="s">
        <v>856</v>
      </c>
      <c r="D51" s="18" t="s">
        <v>858</v>
      </c>
      <c r="E51" s="20">
        <v>336</v>
      </c>
      <c r="F51" s="20">
        <v>56</v>
      </c>
      <c r="G51" s="20">
        <v>32</v>
      </c>
      <c r="H51" s="20">
        <v>675</v>
      </c>
      <c r="I51" s="20">
        <v>675</v>
      </c>
      <c r="J51" s="20">
        <v>900</v>
      </c>
      <c r="K51" s="20">
        <v>256</v>
      </c>
      <c r="L51" s="21" t="s">
        <v>745</v>
      </c>
      <c r="M51" s="18"/>
      <c r="N51" s="18"/>
      <c r="O51" s="22">
        <f t="shared" si="17"/>
        <v>3600</v>
      </c>
      <c r="P51" s="22">
        <f t="shared" si="4"/>
        <v>226800</v>
      </c>
      <c r="Q51" s="22">
        <f t="shared" si="5"/>
        <v>37800</v>
      </c>
      <c r="R51" s="22">
        <f t="shared" si="6"/>
        <v>21600</v>
      </c>
      <c r="S51" s="22">
        <f t="shared" si="7"/>
        <v>675</v>
      </c>
      <c r="T51" s="22">
        <f t="shared" si="18"/>
        <v>921600</v>
      </c>
      <c r="U51" s="22"/>
      <c r="V51" s="22">
        <f t="shared" si="19"/>
        <v>0.85245938144903732</v>
      </c>
      <c r="W51" s="22">
        <f t="shared" si="23"/>
        <v>0.88100000000000001</v>
      </c>
      <c r="X51" s="385">
        <f t="shared" si="9"/>
        <v>1</v>
      </c>
      <c r="Y51" s="22"/>
      <c r="Z51" s="22">
        <f t="shared" si="20"/>
        <v>0.74350000000000005</v>
      </c>
      <c r="AA51" s="22"/>
      <c r="AB51" s="25">
        <f t="shared" si="21"/>
        <v>86.22</v>
      </c>
    </row>
    <row r="52" spans="1:28" x14ac:dyDescent="0.25">
      <c r="A52" s="22" t="s">
        <v>887</v>
      </c>
      <c r="B52" s="18" t="s">
        <v>851</v>
      </c>
      <c r="C52" s="19" t="s">
        <v>856</v>
      </c>
      <c r="D52" s="18" t="s">
        <v>858</v>
      </c>
      <c r="E52" s="20">
        <v>336</v>
      </c>
      <c r="F52" s="20">
        <v>56</v>
      </c>
      <c r="G52" s="20">
        <v>24</v>
      </c>
      <c r="H52" s="20">
        <v>675</v>
      </c>
      <c r="I52" s="20">
        <v>675</v>
      </c>
      <c r="J52" s="20">
        <v>900</v>
      </c>
      <c r="K52" s="20">
        <v>192</v>
      </c>
      <c r="L52" s="21" t="s">
        <v>745</v>
      </c>
      <c r="M52" s="18"/>
      <c r="N52" s="18"/>
      <c r="O52" s="22">
        <f t="shared" si="17"/>
        <v>3600</v>
      </c>
      <c r="P52" s="22">
        <f t="shared" si="4"/>
        <v>226800</v>
      </c>
      <c r="Q52" s="22">
        <f t="shared" si="5"/>
        <v>37800</v>
      </c>
      <c r="R52" s="22">
        <f t="shared" si="6"/>
        <v>16200</v>
      </c>
      <c r="S52" s="22">
        <f t="shared" si="7"/>
        <v>675</v>
      </c>
      <c r="T52" s="22">
        <f t="shared" si="18"/>
        <v>691200</v>
      </c>
      <c r="U52" s="22"/>
      <c r="V52" s="22">
        <f t="shared" si="19"/>
        <v>0.73678520829035421</v>
      </c>
      <c r="W52" s="22">
        <f t="shared" si="23"/>
        <v>0.88100000000000001</v>
      </c>
      <c r="X52" s="385">
        <f t="shared" si="9"/>
        <v>1</v>
      </c>
      <c r="Y52" s="22"/>
      <c r="Z52" s="22">
        <f t="shared" si="20"/>
        <v>0.64260000000000006</v>
      </c>
      <c r="AA52" s="22"/>
      <c r="AB52" s="25">
        <f t="shared" si="21"/>
        <v>80.16</v>
      </c>
    </row>
    <row r="53" spans="1:28" x14ac:dyDescent="0.25">
      <c r="A53" s="22" t="s">
        <v>887</v>
      </c>
      <c r="B53" s="18" t="s">
        <v>852</v>
      </c>
      <c r="C53" s="19" t="s">
        <v>856</v>
      </c>
      <c r="D53" s="18" t="s">
        <v>858</v>
      </c>
      <c r="E53" s="20">
        <v>288</v>
      </c>
      <c r="F53" s="20">
        <v>48</v>
      </c>
      <c r="G53" s="20">
        <v>32</v>
      </c>
      <c r="H53" s="20">
        <v>650</v>
      </c>
      <c r="I53" s="20">
        <v>650</v>
      </c>
      <c r="J53" s="20">
        <v>850</v>
      </c>
      <c r="K53" s="20">
        <v>256</v>
      </c>
      <c r="L53" s="21" t="s">
        <v>745</v>
      </c>
      <c r="M53" s="18"/>
      <c r="N53" s="18"/>
      <c r="O53" s="22">
        <f t="shared" si="17"/>
        <v>3400</v>
      </c>
      <c r="P53" s="22">
        <f t="shared" si="4"/>
        <v>187200</v>
      </c>
      <c r="Q53" s="22">
        <f t="shared" si="5"/>
        <v>31200</v>
      </c>
      <c r="R53" s="22">
        <f t="shared" si="6"/>
        <v>20800</v>
      </c>
      <c r="S53" s="22">
        <f t="shared" si="7"/>
        <v>650</v>
      </c>
      <c r="T53" s="22">
        <f t="shared" si="18"/>
        <v>870400</v>
      </c>
      <c r="U53" s="22"/>
      <c r="V53" s="22">
        <f t="shared" si="19"/>
        <v>0.78145140629759702</v>
      </c>
      <c r="W53" s="22">
        <f t="shared" si="23"/>
        <v>0.88100000000000001</v>
      </c>
      <c r="X53" s="385">
        <f t="shared" si="9"/>
        <v>1</v>
      </c>
      <c r="Y53" s="22"/>
      <c r="Z53" s="22">
        <f t="shared" si="20"/>
        <v>0.68159999999999998</v>
      </c>
      <c r="AA53" s="22"/>
      <c r="AB53" s="25">
        <f t="shared" si="21"/>
        <v>82.55</v>
      </c>
    </row>
    <row r="54" spans="1:28" x14ac:dyDescent="0.25">
      <c r="A54" s="22" t="s">
        <v>887</v>
      </c>
      <c r="B54" s="18" t="s">
        <v>853</v>
      </c>
      <c r="C54" s="19" t="s">
        <v>856</v>
      </c>
      <c r="D54" s="18" t="s">
        <v>859</v>
      </c>
      <c r="E54" s="20">
        <v>192</v>
      </c>
      <c r="F54" s="20">
        <v>32</v>
      </c>
      <c r="G54" s="20">
        <v>16</v>
      </c>
      <c r="H54" s="20">
        <v>783</v>
      </c>
      <c r="I54" s="20">
        <v>783</v>
      </c>
      <c r="J54" s="20">
        <v>902</v>
      </c>
      <c r="K54" s="20">
        <v>192</v>
      </c>
      <c r="L54" s="21" t="s">
        <v>860</v>
      </c>
      <c r="M54" s="18"/>
      <c r="N54" s="18"/>
      <c r="O54" s="22">
        <f t="shared" si="17"/>
        <v>3608</v>
      </c>
      <c r="P54" s="22">
        <f t="shared" si="4"/>
        <v>150336</v>
      </c>
      <c r="Q54" s="22">
        <f t="shared" si="5"/>
        <v>25056</v>
      </c>
      <c r="R54" s="22">
        <f t="shared" si="6"/>
        <v>12528</v>
      </c>
      <c r="S54" s="22">
        <f t="shared" si="7"/>
        <v>783</v>
      </c>
      <c r="T54" s="22">
        <f t="shared" si="18"/>
        <v>692736</v>
      </c>
      <c r="U54" s="22"/>
      <c r="V54" s="22">
        <f t="shared" si="19"/>
        <v>0.66670354626714035</v>
      </c>
      <c r="W54" s="22">
        <f t="shared" si="23"/>
        <v>0.88100000000000001</v>
      </c>
      <c r="X54" s="385">
        <f t="shared" si="9"/>
        <v>1</v>
      </c>
      <c r="Y54" s="22"/>
      <c r="Z54" s="22">
        <f t="shared" si="20"/>
        <v>0.58150000000000002</v>
      </c>
      <c r="AA54" s="22"/>
      <c r="AB54" s="25">
        <f t="shared" si="21"/>
        <v>76.25</v>
      </c>
    </row>
    <row r="55" spans="1:28" x14ac:dyDescent="0.25">
      <c r="A55" s="22" t="s">
        <v>887</v>
      </c>
      <c r="B55" s="18" t="s">
        <v>854</v>
      </c>
      <c r="C55" s="19" t="s">
        <v>856</v>
      </c>
      <c r="D55" s="18" t="s">
        <v>861</v>
      </c>
      <c r="E55" s="20">
        <v>96</v>
      </c>
      <c r="F55" s="20">
        <v>16</v>
      </c>
      <c r="G55" s="20">
        <v>4</v>
      </c>
      <c r="H55" s="20">
        <v>810</v>
      </c>
      <c r="I55" s="20">
        <v>810</v>
      </c>
      <c r="J55" s="20">
        <v>900</v>
      </c>
      <c r="K55" s="20">
        <v>128</v>
      </c>
      <c r="L55" s="21" t="s">
        <v>862</v>
      </c>
      <c r="M55" s="18"/>
      <c r="N55" s="18"/>
      <c r="O55" s="22">
        <f t="shared" si="17"/>
        <v>1800</v>
      </c>
      <c r="P55" s="22">
        <f t="shared" si="4"/>
        <v>77760</v>
      </c>
      <c r="Q55" s="22">
        <f t="shared" si="5"/>
        <v>12960</v>
      </c>
      <c r="R55" s="22">
        <f t="shared" si="6"/>
        <v>3240</v>
      </c>
      <c r="S55" s="22">
        <f t="shared" si="7"/>
        <v>810</v>
      </c>
      <c r="T55" s="22">
        <f t="shared" si="18"/>
        <v>230400</v>
      </c>
      <c r="U55" s="22"/>
      <c r="V55" s="22">
        <f t="shared" si="19"/>
        <v>0.37391950916290928</v>
      </c>
      <c r="W55" s="22">
        <f t="shared" si="23"/>
        <v>0.88100000000000001</v>
      </c>
      <c r="X55" s="385">
        <f t="shared" si="9"/>
        <v>1</v>
      </c>
      <c r="Y55" s="22"/>
      <c r="Z55" s="22">
        <f t="shared" si="20"/>
        <v>0.3261</v>
      </c>
      <c r="AA55" s="22"/>
      <c r="AB55" s="25">
        <f t="shared" si="21"/>
        <v>57.1</v>
      </c>
    </row>
    <row r="56" spans="1:28" x14ac:dyDescent="0.25">
      <c r="A56" s="22" t="s">
        <v>887</v>
      </c>
      <c r="B56" s="18" t="s">
        <v>855</v>
      </c>
      <c r="C56" s="19" t="s">
        <v>856</v>
      </c>
      <c r="D56" s="18" t="s">
        <v>861</v>
      </c>
      <c r="E56" s="20">
        <v>96</v>
      </c>
      <c r="F56" s="20">
        <v>16</v>
      </c>
      <c r="G56" s="20">
        <v>4</v>
      </c>
      <c r="H56" s="20">
        <v>700</v>
      </c>
      <c r="I56" s="20">
        <v>700</v>
      </c>
      <c r="J56" s="20">
        <v>800</v>
      </c>
      <c r="K56" s="20">
        <v>64</v>
      </c>
      <c r="L56" s="21" t="s">
        <v>862</v>
      </c>
      <c r="M56" s="18"/>
      <c r="N56" s="18"/>
      <c r="O56" s="22">
        <f t="shared" si="17"/>
        <v>1600</v>
      </c>
      <c r="P56" s="22">
        <f t="shared" si="4"/>
        <v>67200</v>
      </c>
      <c r="Q56" s="22">
        <f t="shared" si="5"/>
        <v>11200</v>
      </c>
      <c r="R56" s="22">
        <f t="shared" si="6"/>
        <v>2800</v>
      </c>
      <c r="S56" s="22">
        <f t="shared" si="7"/>
        <v>700</v>
      </c>
      <c r="T56" s="22">
        <f t="shared" si="18"/>
        <v>102400</v>
      </c>
      <c r="U56" s="22"/>
      <c r="V56" s="22">
        <f t="shared" si="19"/>
        <v>0.28816089269222617</v>
      </c>
      <c r="W56" s="22">
        <f t="shared" si="23"/>
        <v>0.88100000000000001</v>
      </c>
      <c r="X56" s="385">
        <f t="shared" si="9"/>
        <v>1</v>
      </c>
      <c r="Y56" s="22"/>
      <c r="Z56" s="22">
        <f t="shared" si="20"/>
        <v>0.25130000000000002</v>
      </c>
      <c r="AA56" s="22"/>
      <c r="AB56" s="25">
        <f t="shared" si="21"/>
        <v>50.120000000000005</v>
      </c>
    </row>
    <row r="57" spans="1:28" x14ac:dyDescent="0.25">
      <c r="A57" s="27" t="s">
        <v>888</v>
      </c>
      <c r="B57" s="27" t="s">
        <v>787</v>
      </c>
      <c r="C57" s="28" t="s">
        <v>790</v>
      </c>
      <c r="D57" s="27" t="s">
        <v>791</v>
      </c>
      <c r="E57" s="28">
        <v>2304</v>
      </c>
      <c r="F57" s="28">
        <v>144</v>
      </c>
      <c r="G57" s="28">
        <v>32</v>
      </c>
      <c r="H57" s="28">
        <v>1120</v>
      </c>
      <c r="I57" s="28">
        <v>1266</v>
      </c>
      <c r="J57" s="28">
        <v>1750</v>
      </c>
      <c r="K57" s="28">
        <v>256</v>
      </c>
      <c r="L57" s="29" t="s">
        <v>745</v>
      </c>
      <c r="M57" s="27"/>
      <c r="N57" s="27"/>
      <c r="O57" s="27">
        <f>IF(LEFT(L57,1)="G",4*J57,2*J57)</f>
        <v>7000</v>
      </c>
      <c r="P57" s="27">
        <f t="shared" si="4"/>
        <v>2916864</v>
      </c>
      <c r="Q57" s="27">
        <f t="shared" si="5"/>
        <v>182304</v>
      </c>
      <c r="R57" s="27">
        <f t="shared" si="6"/>
        <v>40512</v>
      </c>
      <c r="S57" s="27">
        <f t="shared" si="7"/>
        <v>1120</v>
      </c>
      <c r="T57" s="27">
        <f>O57*K57</f>
        <v>1792000</v>
      </c>
      <c r="U57" s="27"/>
      <c r="V57" s="27">
        <f t="shared" si="19"/>
        <v>2.6492337047530574</v>
      </c>
      <c r="W57" s="27">
        <f>1.114</f>
        <v>1.1140000000000001</v>
      </c>
      <c r="X57" s="387">
        <f t="shared" si="9"/>
        <v>1</v>
      </c>
      <c r="Y57" s="27"/>
      <c r="Z57" s="27">
        <f t="shared" si="20"/>
        <v>2.9220000000000002</v>
      </c>
      <c r="AA57" s="27"/>
      <c r="AB57" s="30">
        <f t="shared" si="10"/>
        <v>170.93</v>
      </c>
    </row>
    <row r="58" spans="1:28" x14ac:dyDescent="0.25">
      <c r="A58" s="27" t="s">
        <v>888</v>
      </c>
      <c r="B58" s="27" t="s">
        <v>788</v>
      </c>
      <c r="C58" s="28" t="s">
        <v>790</v>
      </c>
      <c r="D58" s="27" t="s">
        <v>791</v>
      </c>
      <c r="E58" s="28">
        <v>2048</v>
      </c>
      <c r="F58" s="28">
        <v>128</v>
      </c>
      <c r="G58" s="28">
        <v>32</v>
      </c>
      <c r="H58" s="28">
        <v>926</v>
      </c>
      <c r="I58" s="28">
        <v>1206</v>
      </c>
      <c r="J58" s="28">
        <v>1650</v>
      </c>
      <c r="K58" s="28">
        <v>256</v>
      </c>
      <c r="L58" s="29" t="s">
        <v>745</v>
      </c>
      <c r="M58" s="27"/>
      <c r="N58" s="27"/>
      <c r="O58" s="27">
        <f>IF(LEFT(L58,1)="G",4*J58,2*J58)</f>
        <v>6600</v>
      </c>
      <c r="P58" s="27">
        <f t="shared" si="4"/>
        <v>2469888</v>
      </c>
      <c r="Q58" s="27">
        <f t="shared" si="5"/>
        <v>154368</v>
      </c>
      <c r="R58" s="27">
        <f t="shared" si="6"/>
        <v>38592</v>
      </c>
      <c r="S58" s="27">
        <f t="shared" si="7"/>
        <v>926</v>
      </c>
      <c r="T58" s="27">
        <f>O58*K58</f>
        <v>1689600</v>
      </c>
      <c r="U58" s="27"/>
      <c r="V58" s="27">
        <f t="shared" si="19"/>
        <v>2.3586108754743087</v>
      </c>
      <c r="W58" s="27">
        <f>W57</f>
        <v>1.1140000000000001</v>
      </c>
      <c r="X58" s="387">
        <f t="shared" si="9"/>
        <v>1</v>
      </c>
      <c r="Y58" s="27"/>
      <c r="Z58" s="27">
        <f t="shared" si="20"/>
        <v>2.6013999999999999</v>
      </c>
      <c r="AA58" s="27"/>
      <c r="AB58" s="30">
        <f t="shared" si="10"/>
        <v>161.28</v>
      </c>
    </row>
    <row r="59" spans="1:28" x14ac:dyDescent="0.25">
      <c r="A59" s="27" t="s">
        <v>888</v>
      </c>
      <c r="B59" s="27" t="s">
        <v>789</v>
      </c>
      <c r="C59" s="28" t="s">
        <v>790</v>
      </c>
      <c r="D59" s="27" t="s">
        <v>792</v>
      </c>
      <c r="E59" s="28">
        <v>896</v>
      </c>
      <c r="F59" s="28">
        <v>56</v>
      </c>
      <c r="G59" s="28">
        <v>16</v>
      </c>
      <c r="H59" s="28">
        <v>1090</v>
      </c>
      <c r="I59" s="28">
        <v>1200</v>
      </c>
      <c r="J59" s="28">
        <v>1750</v>
      </c>
      <c r="K59" s="28">
        <v>128</v>
      </c>
      <c r="L59" s="29" t="s">
        <v>745</v>
      </c>
      <c r="M59" s="27"/>
      <c r="N59" s="27"/>
      <c r="O59" s="27">
        <f>IF(LEFT(L59,1)="G",4*J59,2*J59)</f>
        <v>7000</v>
      </c>
      <c r="P59" s="27">
        <f t="shared" si="4"/>
        <v>1075200</v>
      </c>
      <c r="Q59" s="27">
        <f t="shared" si="5"/>
        <v>67200</v>
      </c>
      <c r="R59" s="27">
        <f t="shared" si="6"/>
        <v>19200</v>
      </c>
      <c r="S59" s="27">
        <f t="shared" si="7"/>
        <v>1090</v>
      </c>
      <c r="T59" s="27">
        <f>O59*K59</f>
        <v>896000</v>
      </c>
      <c r="U59" s="27"/>
      <c r="V59" s="27">
        <f t="shared" si="19"/>
        <v>1.2832852865713535</v>
      </c>
      <c r="W59" s="27">
        <f>W58</f>
        <v>1.1140000000000001</v>
      </c>
      <c r="X59" s="387">
        <f t="shared" si="9"/>
        <v>1</v>
      </c>
      <c r="Y59" s="27"/>
      <c r="Z59" s="27">
        <f t="shared" si="20"/>
        <v>1.4154</v>
      </c>
      <c r="AA59" s="27"/>
      <c r="AB59" s="30">
        <f t="shared" si="10"/>
        <v>118.97</v>
      </c>
    </row>
    <row r="60" spans="1:28" x14ac:dyDescent="0.25">
      <c r="A60" s="27" t="s">
        <v>888</v>
      </c>
      <c r="B60" s="27" t="s">
        <v>784</v>
      </c>
      <c r="C60" s="28" t="s">
        <v>785</v>
      </c>
      <c r="D60" s="27" t="s">
        <v>786</v>
      </c>
      <c r="E60" s="28">
        <v>8192</v>
      </c>
      <c r="F60" s="28">
        <v>512</v>
      </c>
      <c r="G60" s="28">
        <v>128</v>
      </c>
      <c r="H60" s="28">
        <v>1000</v>
      </c>
      <c r="I60" s="28">
        <v>1000</v>
      </c>
      <c r="J60" s="28">
        <v>500</v>
      </c>
      <c r="K60" s="31">
        <v>4096</v>
      </c>
      <c r="L60" s="29" t="s">
        <v>747</v>
      </c>
      <c r="M60" s="32" t="s">
        <v>768</v>
      </c>
      <c r="N60" s="27"/>
      <c r="O60" s="27">
        <f>IF(LEFT(L60,1)="G",4*J60,2*J60)</f>
        <v>1000</v>
      </c>
      <c r="P60" s="27">
        <f t="shared" si="4"/>
        <v>8192000</v>
      </c>
      <c r="Q60" s="27">
        <f t="shared" si="5"/>
        <v>512000</v>
      </c>
      <c r="R60" s="27">
        <f t="shared" si="6"/>
        <v>128000</v>
      </c>
      <c r="S60" s="27">
        <f t="shared" si="7"/>
        <v>1000</v>
      </c>
      <c r="T60" s="27">
        <f>O60*K60</f>
        <v>4096000</v>
      </c>
      <c r="U60" s="27"/>
      <c r="V60" s="27">
        <f t="shared" si="19"/>
        <v>6.7698265523703753</v>
      </c>
      <c r="W60" s="27">
        <v>0.84799999999999998</v>
      </c>
      <c r="X60" s="387">
        <f t="shared" si="9"/>
        <v>0.9</v>
      </c>
      <c r="Y60" s="27"/>
      <c r="Z60" s="27">
        <f t="shared" si="20"/>
        <v>5.1154999999999999</v>
      </c>
      <c r="AA60" s="27"/>
      <c r="AB60" s="30">
        <f t="shared" si="10"/>
        <v>226.17000000000002</v>
      </c>
    </row>
    <row r="61" spans="1:28" x14ac:dyDescent="0.25">
      <c r="A61" s="27" t="s">
        <v>888</v>
      </c>
      <c r="B61" s="32" t="s">
        <v>3028</v>
      </c>
      <c r="C61" s="28" t="s">
        <v>657</v>
      </c>
      <c r="D61" s="32" t="s">
        <v>658</v>
      </c>
      <c r="E61" s="31">
        <v>4096</v>
      </c>
      <c r="F61" s="31">
        <v>256</v>
      </c>
      <c r="G61" s="31">
        <v>64</v>
      </c>
      <c r="H61" s="31">
        <v>1050</v>
      </c>
      <c r="I61" s="31">
        <v>1050</v>
      </c>
      <c r="J61" s="31">
        <v>500</v>
      </c>
      <c r="K61" s="31">
        <v>4096</v>
      </c>
      <c r="L61" s="29" t="s">
        <v>747</v>
      </c>
      <c r="M61" s="32"/>
      <c r="N61" s="32"/>
      <c r="O61" s="27">
        <f t="shared" si="13"/>
        <v>1000</v>
      </c>
      <c r="P61" s="27">
        <f t="shared" si="4"/>
        <v>4300800</v>
      </c>
      <c r="Q61" s="27">
        <f t="shared" si="5"/>
        <v>268800</v>
      </c>
      <c r="R61" s="27">
        <f t="shared" si="6"/>
        <v>67200</v>
      </c>
      <c r="S61" s="27">
        <f t="shared" si="7"/>
        <v>1050</v>
      </c>
      <c r="T61" s="27">
        <f t="shared" si="14"/>
        <v>4096000</v>
      </c>
      <c r="U61" s="27"/>
      <c r="V61" s="27">
        <f t="shared" si="19"/>
        <v>4.3865391142863857</v>
      </c>
      <c r="W61" s="27">
        <f>W60</f>
        <v>0.84799999999999998</v>
      </c>
      <c r="X61" s="387">
        <f t="shared" si="9"/>
        <v>1</v>
      </c>
      <c r="Y61" s="27"/>
      <c r="Z61" s="27">
        <f t="shared" si="20"/>
        <v>3.6829000000000001</v>
      </c>
      <c r="AA61" s="27"/>
      <c r="AB61" s="30">
        <f>FLOOR(POWER(Z61,0.5)*100,0.01)</f>
        <v>191.9</v>
      </c>
    </row>
    <row r="62" spans="1:28" x14ac:dyDescent="0.25">
      <c r="A62" s="27" t="s">
        <v>888</v>
      </c>
      <c r="B62" s="32" t="s">
        <v>659</v>
      </c>
      <c r="C62" s="28" t="s">
        <v>657</v>
      </c>
      <c r="D62" s="32" t="s">
        <v>658</v>
      </c>
      <c r="E62" s="31">
        <v>3584</v>
      </c>
      <c r="F62" s="31">
        <v>224</v>
      </c>
      <c r="G62" s="31">
        <v>64</v>
      </c>
      <c r="H62" s="31">
        <v>1000</v>
      </c>
      <c r="I62" s="31">
        <v>1000</v>
      </c>
      <c r="J62" s="31">
        <v>500</v>
      </c>
      <c r="K62" s="31">
        <v>4096</v>
      </c>
      <c r="L62" s="29" t="s">
        <v>747</v>
      </c>
      <c r="M62" s="32"/>
      <c r="N62" s="32"/>
      <c r="O62" s="27">
        <f>IF(LEFT(L62,1)="G",4*J62,2*J62)</f>
        <v>1000</v>
      </c>
      <c r="P62" s="27">
        <f t="shared" si="4"/>
        <v>3584000</v>
      </c>
      <c r="Q62" s="27">
        <f t="shared" si="5"/>
        <v>224000</v>
      </c>
      <c r="R62" s="27">
        <f t="shared" si="6"/>
        <v>64000</v>
      </c>
      <c r="S62" s="27">
        <f t="shared" si="7"/>
        <v>1000</v>
      </c>
      <c r="T62" s="27">
        <f>O62*K62</f>
        <v>4096000</v>
      </c>
      <c r="U62" s="27"/>
      <c r="V62" s="27">
        <f t="shared" si="19"/>
        <v>4.0334273532044387</v>
      </c>
      <c r="W62" s="27">
        <f>W61</f>
        <v>0.84799999999999998</v>
      </c>
      <c r="X62" s="387">
        <f t="shared" si="9"/>
        <v>1</v>
      </c>
      <c r="Y62" s="27"/>
      <c r="Z62" s="27">
        <f t="shared" si="20"/>
        <v>3.3864000000000001</v>
      </c>
      <c r="AA62" s="27"/>
      <c r="AB62" s="30">
        <f>FLOOR(POWER(Z62,0.5)*100,0.01)</f>
        <v>184.02</v>
      </c>
    </row>
    <row r="63" spans="1:28" ht="10.199999999999999" customHeight="1" x14ac:dyDescent="0.25">
      <c r="A63" s="27" t="s">
        <v>888</v>
      </c>
      <c r="B63" s="32" t="s">
        <v>656</v>
      </c>
      <c r="C63" s="28" t="s">
        <v>657</v>
      </c>
      <c r="D63" s="32" t="s">
        <v>658</v>
      </c>
      <c r="E63" s="31">
        <v>4096</v>
      </c>
      <c r="F63" s="31">
        <v>256</v>
      </c>
      <c r="G63" s="31">
        <v>64</v>
      </c>
      <c r="H63" s="31">
        <v>850</v>
      </c>
      <c r="I63" s="31">
        <v>850</v>
      </c>
      <c r="J63" s="31">
        <v>500</v>
      </c>
      <c r="K63" s="31">
        <v>4096</v>
      </c>
      <c r="L63" s="29" t="s">
        <v>747</v>
      </c>
      <c r="M63" s="32"/>
      <c r="N63" s="32"/>
      <c r="O63" s="27">
        <f t="shared" si="13"/>
        <v>1000</v>
      </c>
      <c r="P63" s="27">
        <f t="shared" si="4"/>
        <v>3481600</v>
      </c>
      <c r="Q63" s="27">
        <f t="shared" si="5"/>
        <v>217600</v>
      </c>
      <c r="R63" s="27">
        <f t="shared" si="6"/>
        <v>54400</v>
      </c>
      <c r="S63" s="27">
        <f t="shared" si="7"/>
        <v>850</v>
      </c>
      <c r="T63" s="27">
        <f t="shared" si="14"/>
        <v>4096000</v>
      </c>
      <c r="U63" s="27"/>
      <c r="V63" s="27">
        <f t="shared" si="19"/>
        <v>3.8331948032759282</v>
      </c>
      <c r="W63" s="27">
        <f>W62</f>
        <v>0.84799999999999998</v>
      </c>
      <c r="X63" s="387">
        <f t="shared" si="9"/>
        <v>1</v>
      </c>
      <c r="Y63" s="27"/>
      <c r="Z63" s="27">
        <f t="shared" si="20"/>
        <v>3.2183000000000002</v>
      </c>
      <c r="AA63" s="27"/>
      <c r="AB63" s="30">
        <f t="shared" si="10"/>
        <v>179.39000000000001</v>
      </c>
    </row>
    <row r="64" spans="1:28" x14ac:dyDescent="0.25">
      <c r="A64" s="27" t="s">
        <v>888</v>
      </c>
      <c r="B64" s="32" t="s">
        <v>660</v>
      </c>
      <c r="C64" s="28" t="s">
        <v>661</v>
      </c>
      <c r="D64" s="32" t="s">
        <v>662</v>
      </c>
      <c r="E64" s="31">
        <v>2816</v>
      </c>
      <c r="F64" s="31">
        <v>176</v>
      </c>
      <c r="G64" s="31">
        <v>64</v>
      </c>
      <c r="H64" s="31">
        <v>1050</v>
      </c>
      <c r="I64" s="31">
        <v>1050</v>
      </c>
      <c r="J64" s="31">
        <v>1500</v>
      </c>
      <c r="K64" s="31">
        <v>512</v>
      </c>
      <c r="L64" s="29" t="s">
        <v>745</v>
      </c>
      <c r="M64" s="32"/>
      <c r="N64" s="32"/>
      <c r="O64" s="27">
        <f t="shared" si="13"/>
        <v>6000</v>
      </c>
      <c r="P64" s="27">
        <f t="shared" si="4"/>
        <v>2956800</v>
      </c>
      <c r="Q64" s="27">
        <f t="shared" si="5"/>
        <v>184800</v>
      </c>
      <c r="R64" s="27">
        <f t="shared" si="6"/>
        <v>67200</v>
      </c>
      <c r="S64" s="27">
        <f t="shared" si="7"/>
        <v>1050</v>
      </c>
      <c r="T64" s="27">
        <f t="shared" si="14"/>
        <v>3072000</v>
      </c>
      <c r="U64" s="27"/>
      <c r="V64" s="27">
        <f t="shared" si="19"/>
        <v>3.4309199944165054</v>
      </c>
      <c r="W64" s="27">
        <v>0.94199999999999995</v>
      </c>
      <c r="X64" s="387">
        <f t="shared" si="9"/>
        <v>1</v>
      </c>
      <c r="Y64" s="27"/>
      <c r="Z64" s="27">
        <f t="shared" si="20"/>
        <v>3.1999</v>
      </c>
      <c r="AA64" s="27"/>
      <c r="AB64" s="30">
        <f t="shared" si="10"/>
        <v>178.88</v>
      </c>
    </row>
    <row r="65" spans="1:28" x14ac:dyDescent="0.25">
      <c r="A65" s="27" t="s">
        <v>888</v>
      </c>
      <c r="B65" s="32" t="s">
        <v>663</v>
      </c>
      <c r="C65" s="28" t="s">
        <v>661</v>
      </c>
      <c r="D65" s="32" t="s">
        <v>662</v>
      </c>
      <c r="E65" s="29">
        <v>5120</v>
      </c>
      <c r="F65" s="31">
        <v>320</v>
      </c>
      <c r="G65" s="31">
        <v>128</v>
      </c>
      <c r="H65" s="31">
        <v>1000</v>
      </c>
      <c r="I65" s="31">
        <v>1000</v>
      </c>
      <c r="J65" s="31">
        <v>1350</v>
      </c>
      <c r="K65" s="31">
        <v>512</v>
      </c>
      <c r="L65" s="29" t="s">
        <v>745</v>
      </c>
      <c r="M65" s="32" t="s">
        <v>768</v>
      </c>
      <c r="N65" s="32"/>
      <c r="O65" s="27">
        <f t="shared" si="13"/>
        <v>5400</v>
      </c>
      <c r="P65" s="27">
        <f t="shared" si="4"/>
        <v>5120000</v>
      </c>
      <c r="Q65" s="27">
        <f t="shared" si="5"/>
        <v>320000</v>
      </c>
      <c r="R65" s="27">
        <f t="shared" si="6"/>
        <v>128000</v>
      </c>
      <c r="S65" s="27">
        <f t="shared" si="7"/>
        <v>1000</v>
      </c>
      <c r="T65" s="27">
        <f t="shared" si="14"/>
        <v>2764800</v>
      </c>
      <c r="U65" s="27"/>
      <c r="V65" s="27">
        <f t="shared" si="19"/>
        <v>4.9317339839161463</v>
      </c>
      <c r="W65" s="27">
        <f>W64</f>
        <v>0.94199999999999995</v>
      </c>
      <c r="X65" s="387">
        <f t="shared" si="9"/>
        <v>0.9</v>
      </c>
      <c r="Y65" s="27"/>
      <c r="Z65" s="27">
        <f t="shared" si="20"/>
        <v>4.1397000000000004</v>
      </c>
      <c r="AA65" s="27"/>
      <c r="AB65" s="30">
        <f t="shared" si="10"/>
        <v>203.46</v>
      </c>
    </row>
    <row r="66" spans="1:28" x14ac:dyDescent="0.25">
      <c r="A66" s="27" t="s">
        <v>888</v>
      </c>
      <c r="B66" s="32" t="s">
        <v>664</v>
      </c>
      <c r="C66" s="28" t="s">
        <v>661</v>
      </c>
      <c r="D66" s="32" t="s">
        <v>662</v>
      </c>
      <c r="E66" s="31">
        <v>2560</v>
      </c>
      <c r="F66" s="31">
        <v>160</v>
      </c>
      <c r="G66" s="31">
        <v>64</v>
      </c>
      <c r="H66" s="31">
        <v>1000</v>
      </c>
      <c r="I66" s="31">
        <v>1000</v>
      </c>
      <c r="J66" s="31">
        <v>1500</v>
      </c>
      <c r="K66" s="31">
        <v>512</v>
      </c>
      <c r="L66" s="29" t="s">
        <v>745</v>
      </c>
      <c r="M66" s="32"/>
      <c r="N66" s="32"/>
      <c r="O66" s="27">
        <f t="shared" si="13"/>
        <v>6000</v>
      </c>
      <c r="P66" s="27">
        <f t="shared" si="4"/>
        <v>2560000</v>
      </c>
      <c r="Q66" s="27">
        <f t="shared" si="5"/>
        <v>160000</v>
      </c>
      <c r="R66" s="27">
        <f t="shared" si="6"/>
        <v>64000</v>
      </c>
      <c r="S66" s="27">
        <f t="shared" si="7"/>
        <v>1000</v>
      </c>
      <c r="T66" s="27">
        <f t="shared" si="14"/>
        <v>3072000</v>
      </c>
      <c r="U66" s="27"/>
      <c r="V66" s="27">
        <f t="shared" si="19"/>
        <v>3.1995271226770274</v>
      </c>
      <c r="W66" s="27">
        <f>W65</f>
        <v>0.94199999999999995</v>
      </c>
      <c r="X66" s="387">
        <f t="shared" si="9"/>
        <v>1</v>
      </c>
      <c r="Y66" s="27"/>
      <c r="Z66" s="27">
        <f t="shared" si="20"/>
        <v>2.9841000000000002</v>
      </c>
      <c r="AA66" s="27"/>
      <c r="AB66" s="30">
        <f t="shared" si="10"/>
        <v>172.74</v>
      </c>
    </row>
    <row r="67" spans="1:28" x14ac:dyDescent="0.25">
      <c r="A67" s="27" t="s">
        <v>771</v>
      </c>
      <c r="B67" s="32" t="s">
        <v>2939</v>
      </c>
      <c r="C67" s="28" t="s">
        <v>657</v>
      </c>
      <c r="D67" s="32" t="s">
        <v>665</v>
      </c>
      <c r="E67" s="31">
        <v>2048</v>
      </c>
      <c r="F67" s="31">
        <v>128</v>
      </c>
      <c r="G67" s="31">
        <v>32</v>
      </c>
      <c r="H67" s="31">
        <v>970</v>
      </c>
      <c r="I67" s="31">
        <v>970</v>
      </c>
      <c r="J67" s="31">
        <v>1425</v>
      </c>
      <c r="K67" s="31">
        <v>256</v>
      </c>
      <c r="L67" s="29" t="s">
        <v>745</v>
      </c>
      <c r="M67" s="32"/>
      <c r="N67" s="32"/>
      <c r="O67" s="27">
        <f>IF(LEFT(L67,1)="G",4*J67,2*J67)</f>
        <v>5700</v>
      </c>
      <c r="P67" s="27">
        <f t="shared" ref="P67:P130" si="24">E67*I67</f>
        <v>1986560</v>
      </c>
      <c r="Q67" s="27">
        <f t="shared" ref="Q67:Q130" si="25">F67*I67</f>
        <v>124160</v>
      </c>
      <c r="R67" s="27">
        <f t="shared" ref="R67:R130" si="26">G67*I67</f>
        <v>31040</v>
      </c>
      <c r="S67" s="27">
        <f>H67</f>
        <v>970</v>
      </c>
      <c r="T67" s="27">
        <f>O67*K67</f>
        <v>1459200</v>
      </c>
      <c r="U67" s="27"/>
      <c r="V67" s="27">
        <f>0.5*(POWER((P67*Q67*R67)/($P$23*$Q$23*$R$23),1/3)+0.5*(S67/$S$23)+0.5*(T67/$T$23))</f>
        <v>1.9885102809977462</v>
      </c>
      <c r="W67" s="27">
        <v>1.1000000000000001</v>
      </c>
      <c r="X67" s="387">
        <f t="shared" ref="X67:X130" si="27">IF(M67="O",0.9,1)</f>
        <v>1</v>
      </c>
      <c r="Y67" s="27"/>
      <c r="Z67" s="27">
        <f>FLOOR(V67*X67*W67/$W$23,0.0001)</f>
        <v>2.1657000000000002</v>
      </c>
      <c r="AA67" s="27"/>
      <c r="AB67" s="30">
        <f>FLOOR(POWER(Z67,0.5)*100,0.01)</f>
        <v>147.16</v>
      </c>
    </row>
    <row r="68" spans="1:28" x14ac:dyDescent="0.25">
      <c r="A68" s="27" t="s">
        <v>888</v>
      </c>
      <c r="B68" s="32" t="s">
        <v>2964</v>
      </c>
      <c r="C68" s="28" t="s">
        <v>657</v>
      </c>
      <c r="D68" s="32" t="s">
        <v>665</v>
      </c>
      <c r="E68" s="31">
        <v>1792</v>
      </c>
      <c r="F68" s="31">
        <v>112</v>
      </c>
      <c r="G68" s="31">
        <v>32</v>
      </c>
      <c r="H68" s="31">
        <v>970</v>
      </c>
      <c r="I68" s="31">
        <v>970</v>
      </c>
      <c r="J68" s="31">
        <v>1375</v>
      </c>
      <c r="K68" s="31">
        <v>256</v>
      </c>
      <c r="L68" s="29" t="s">
        <v>745</v>
      </c>
      <c r="M68" s="32"/>
      <c r="N68" s="32"/>
      <c r="O68" s="27">
        <f t="shared" si="13"/>
        <v>5500</v>
      </c>
      <c r="P68" s="27">
        <f t="shared" si="24"/>
        <v>1738240</v>
      </c>
      <c r="Q68" s="27">
        <f t="shared" si="25"/>
        <v>108640</v>
      </c>
      <c r="R68" s="27">
        <f t="shared" si="26"/>
        <v>31040</v>
      </c>
      <c r="S68" s="27">
        <f t="shared" si="7"/>
        <v>970</v>
      </c>
      <c r="T68" s="27">
        <f t="shared" si="14"/>
        <v>1408000</v>
      </c>
      <c r="U68" s="27"/>
      <c r="V68" s="27">
        <f t="shared" si="19"/>
        <v>1.8658255560645016</v>
      </c>
      <c r="W68" s="27">
        <f>W67</f>
        <v>1.1000000000000001</v>
      </c>
      <c r="X68" s="387">
        <f t="shared" si="27"/>
        <v>1</v>
      </c>
      <c r="Y68" s="27"/>
      <c r="Z68" s="27">
        <f t="shared" si="20"/>
        <v>2.032</v>
      </c>
      <c r="AA68" s="27"/>
      <c r="AB68" s="30">
        <f t="shared" si="10"/>
        <v>142.54</v>
      </c>
    </row>
    <row r="69" spans="1:28" x14ac:dyDescent="0.25">
      <c r="A69" s="27" t="s">
        <v>888</v>
      </c>
      <c r="B69" s="32" t="s">
        <v>666</v>
      </c>
      <c r="C69" s="28" t="s">
        <v>667</v>
      </c>
      <c r="D69" s="32" t="s">
        <v>668</v>
      </c>
      <c r="E69" s="31">
        <v>1280</v>
      </c>
      <c r="F69" s="31">
        <v>80</v>
      </c>
      <c r="G69" s="31">
        <v>32</v>
      </c>
      <c r="H69" s="31">
        <v>1000</v>
      </c>
      <c r="I69" s="31">
        <v>1000</v>
      </c>
      <c r="J69" s="31">
        <v>1400</v>
      </c>
      <c r="K69" s="31">
        <v>256</v>
      </c>
      <c r="L69" s="29" t="s">
        <v>745</v>
      </c>
      <c r="M69" s="32"/>
      <c r="N69" s="32"/>
      <c r="O69" s="27">
        <f t="shared" si="13"/>
        <v>5600</v>
      </c>
      <c r="P69" s="27">
        <f t="shared" si="24"/>
        <v>1280000</v>
      </c>
      <c r="Q69" s="27">
        <f t="shared" si="25"/>
        <v>80000</v>
      </c>
      <c r="R69" s="27">
        <f t="shared" si="26"/>
        <v>32000</v>
      </c>
      <c r="S69" s="27">
        <f t="shared" si="7"/>
        <v>1000</v>
      </c>
      <c r="T69" s="27">
        <f t="shared" si="14"/>
        <v>1433600</v>
      </c>
      <c r="U69" s="27"/>
      <c r="V69" s="27">
        <f t="shared" si="19"/>
        <v>1.6852755439093201</v>
      </c>
      <c r="W69" s="27">
        <v>0.86</v>
      </c>
      <c r="X69" s="387">
        <f t="shared" si="27"/>
        <v>1</v>
      </c>
      <c r="Y69" s="27"/>
      <c r="Z69" s="27">
        <f t="shared" si="20"/>
        <v>1.4349000000000001</v>
      </c>
      <c r="AA69" s="27"/>
      <c r="AB69" s="30">
        <f t="shared" si="10"/>
        <v>119.78</v>
      </c>
    </row>
    <row r="70" spans="1:28" x14ac:dyDescent="0.25">
      <c r="A70" s="27" t="s">
        <v>888</v>
      </c>
      <c r="B70" s="32" t="s">
        <v>2965</v>
      </c>
      <c r="C70" s="28" t="s">
        <v>667</v>
      </c>
      <c r="D70" s="32" t="s">
        <v>668</v>
      </c>
      <c r="E70" s="31">
        <v>1024</v>
      </c>
      <c r="F70" s="31">
        <v>64</v>
      </c>
      <c r="G70" s="31">
        <v>32</v>
      </c>
      <c r="H70" s="31">
        <v>925</v>
      </c>
      <c r="I70" s="31">
        <v>925</v>
      </c>
      <c r="J70" s="31">
        <v>1400</v>
      </c>
      <c r="K70" s="31">
        <v>256</v>
      </c>
      <c r="L70" s="29" t="s">
        <v>745</v>
      </c>
      <c r="M70" s="32"/>
      <c r="N70" s="32"/>
      <c r="O70" s="27">
        <f>IF(LEFT(L70,1)="G",4*J70,2*J70)</f>
        <v>5600</v>
      </c>
      <c r="P70" s="27">
        <f t="shared" si="24"/>
        <v>947200</v>
      </c>
      <c r="Q70" s="27">
        <f t="shared" si="25"/>
        <v>59200</v>
      </c>
      <c r="R70" s="27">
        <f t="shared" si="26"/>
        <v>29600</v>
      </c>
      <c r="S70" s="27">
        <f t="shared" ref="S70:S119" si="28">H70</f>
        <v>925</v>
      </c>
      <c r="T70" s="27">
        <f>O70*K70</f>
        <v>1433600</v>
      </c>
      <c r="U70" s="27"/>
      <c r="V70" s="27">
        <f t="shared" ref="V70:V133" si="29">0.5*(POWER((P70*Q70*R70)/($P$23*$Q$23*$R$23),1/3)+0.5*(S70/$S$23)+0.5*(T70/$T$23))</f>
        <v>1.4799262189052835</v>
      </c>
      <c r="W70" s="27">
        <f>W69</f>
        <v>0.86</v>
      </c>
      <c r="X70" s="387">
        <f t="shared" si="27"/>
        <v>1</v>
      </c>
      <c r="Y70" s="27"/>
      <c r="Z70" s="27">
        <f t="shared" ref="Z70:Z133" si="30">FLOOR(V70*X70*W70/$W$23,0.0001)</f>
        <v>1.2601</v>
      </c>
      <c r="AA70" s="27"/>
      <c r="AB70" s="30">
        <f t="shared" si="10"/>
        <v>112.25</v>
      </c>
    </row>
    <row r="71" spans="1:28" x14ac:dyDescent="0.25">
      <c r="A71" s="27" t="s">
        <v>888</v>
      </c>
      <c r="B71" s="32" t="s">
        <v>682</v>
      </c>
      <c r="C71" s="28" t="s">
        <v>667</v>
      </c>
      <c r="D71" s="32" t="s">
        <v>683</v>
      </c>
      <c r="E71" s="31">
        <v>768</v>
      </c>
      <c r="F71" s="31">
        <v>48</v>
      </c>
      <c r="G71" s="31">
        <v>16</v>
      </c>
      <c r="H71" s="31">
        <v>1000</v>
      </c>
      <c r="I71" s="31">
        <v>1000</v>
      </c>
      <c r="J71" s="31">
        <v>1625</v>
      </c>
      <c r="K71" s="31">
        <v>128</v>
      </c>
      <c r="L71" s="29" t="s">
        <v>745</v>
      </c>
      <c r="M71" s="32"/>
      <c r="N71" s="32"/>
      <c r="O71" s="27">
        <f>IF(LEFT(L71,1)="G",4*J71,2*J71)</f>
        <v>6500</v>
      </c>
      <c r="P71" s="27">
        <f t="shared" si="24"/>
        <v>768000</v>
      </c>
      <c r="Q71" s="27">
        <f t="shared" si="25"/>
        <v>48000</v>
      </c>
      <c r="R71" s="27">
        <f t="shared" si="26"/>
        <v>16000</v>
      </c>
      <c r="S71" s="27">
        <f t="shared" si="28"/>
        <v>1000</v>
      </c>
      <c r="T71" s="27">
        <f>O71*K71</f>
        <v>832000</v>
      </c>
      <c r="U71" s="27"/>
      <c r="V71" s="27">
        <f t="shared" si="29"/>
        <v>1.0664125525412593</v>
      </c>
      <c r="W71" s="27">
        <f>W70</f>
        <v>0.86</v>
      </c>
      <c r="X71" s="387">
        <f t="shared" si="27"/>
        <v>1</v>
      </c>
      <c r="Y71" s="27"/>
      <c r="Z71" s="27">
        <f t="shared" si="30"/>
        <v>0.90800000000000003</v>
      </c>
      <c r="AA71" s="27"/>
      <c r="AB71" s="30">
        <f t="shared" si="10"/>
        <v>95.28</v>
      </c>
    </row>
    <row r="72" spans="1:28" x14ac:dyDescent="0.25">
      <c r="A72" s="27" t="s">
        <v>888</v>
      </c>
      <c r="B72" s="32" t="s">
        <v>669</v>
      </c>
      <c r="C72" s="28" t="s">
        <v>661</v>
      </c>
      <c r="D72" s="32" t="s">
        <v>670</v>
      </c>
      <c r="E72" s="29">
        <v>5632</v>
      </c>
      <c r="F72" s="31">
        <v>352</v>
      </c>
      <c r="G72" s="31">
        <v>128</v>
      </c>
      <c r="H72" s="31">
        <v>1018</v>
      </c>
      <c r="I72" s="31">
        <v>1018</v>
      </c>
      <c r="J72" s="31">
        <v>1250</v>
      </c>
      <c r="K72" s="31">
        <v>512</v>
      </c>
      <c r="L72" s="29" t="s">
        <v>745</v>
      </c>
      <c r="M72" s="32" t="s">
        <v>768</v>
      </c>
      <c r="N72" s="32"/>
      <c r="O72" s="27">
        <f t="shared" si="13"/>
        <v>5000</v>
      </c>
      <c r="P72" s="27">
        <f t="shared" si="24"/>
        <v>5733376</v>
      </c>
      <c r="Q72" s="27">
        <f t="shared" si="25"/>
        <v>358336</v>
      </c>
      <c r="R72" s="27">
        <f t="shared" si="26"/>
        <v>130304</v>
      </c>
      <c r="S72" s="27">
        <f t="shared" si="28"/>
        <v>1018</v>
      </c>
      <c r="T72" s="27">
        <f t="shared" si="14"/>
        <v>2560000</v>
      </c>
      <c r="U72" s="27"/>
      <c r="V72" s="27">
        <f t="shared" si="29"/>
        <v>5.1746360138231982</v>
      </c>
      <c r="W72" s="27">
        <f>W66</f>
        <v>0.94199999999999995</v>
      </c>
      <c r="X72" s="387">
        <f t="shared" si="27"/>
        <v>0.9</v>
      </c>
      <c r="Y72" s="27"/>
      <c r="Z72" s="27">
        <f t="shared" si="30"/>
        <v>4.3436000000000003</v>
      </c>
      <c r="AA72" s="27"/>
      <c r="AB72" s="30">
        <f t="shared" si="10"/>
        <v>208.41</v>
      </c>
    </row>
    <row r="73" spans="1:28" x14ac:dyDescent="0.25">
      <c r="A73" s="27" t="s">
        <v>888</v>
      </c>
      <c r="B73" s="32" t="s">
        <v>671</v>
      </c>
      <c r="C73" s="28" t="s">
        <v>661</v>
      </c>
      <c r="D73" s="32" t="s">
        <v>672</v>
      </c>
      <c r="E73" s="29">
        <v>5632</v>
      </c>
      <c r="F73" s="31">
        <v>352</v>
      </c>
      <c r="G73" s="31">
        <v>128</v>
      </c>
      <c r="H73" s="31">
        <v>1000</v>
      </c>
      <c r="I73" s="31">
        <v>1000</v>
      </c>
      <c r="J73" s="31">
        <v>1350</v>
      </c>
      <c r="K73" s="31">
        <v>512</v>
      </c>
      <c r="L73" s="29" t="s">
        <v>745</v>
      </c>
      <c r="M73" s="32" t="s">
        <v>768</v>
      </c>
      <c r="N73" s="32"/>
      <c r="O73" s="27">
        <f t="shared" si="13"/>
        <v>5400</v>
      </c>
      <c r="P73" s="27">
        <f t="shared" si="24"/>
        <v>5632000</v>
      </c>
      <c r="Q73" s="27">
        <f t="shared" si="25"/>
        <v>352000</v>
      </c>
      <c r="R73" s="27">
        <f t="shared" si="26"/>
        <v>128000</v>
      </c>
      <c r="S73" s="27">
        <f t="shared" si="28"/>
        <v>1000</v>
      </c>
      <c r="T73" s="27">
        <f t="shared" si="14"/>
        <v>2764800</v>
      </c>
      <c r="U73" s="27"/>
      <c r="V73" s="27">
        <f t="shared" si="29"/>
        <v>5.1735855480326833</v>
      </c>
      <c r="W73" s="27">
        <f>W72</f>
        <v>0.94199999999999995</v>
      </c>
      <c r="X73" s="387">
        <f t="shared" si="27"/>
        <v>0.9</v>
      </c>
      <c r="Y73" s="27"/>
      <c r="Z73" s="27">
        <f t="shared" si="30"/>
        <v>4.3426999999999998</v>
      </c>
      <c r="AA73" s="27"/>
      <c r="AB73" s="30">
        <f t="shared" si="10"/>
        <v>208.39000000000001</v>
      </c>
    </row>
    <row r="74" spans="1:28" x14ac:dyDescent="0.25">
      <c r="A74" s="27" t="s">
        <v>888</v>
      </c>
      <c r="B74" s="32" t="s">
        <v>673</v>
      </c>
      <c r="C74" s="28" t="s">
        <v>661</v>
      </c>
      <c r="D74" s="32" t="s">
        <v>672</v>
      </c>
      <c r="E74" s="31">
        <v>2816</v>
      </c>
      <c r="F74" s="31">
        <v>176</v>
      </c>
      <c r="G74" s="31">
        <v>64</v>
      </c>
      <c r="H74" s="31">
        <v>1000</v>
      </c>
      <c r="I74" s="31">
        <v>1000</v>
      </c>
      <c r="J74" s="31">
        <v>1250</v>
      </c>
      <c r="K74" s="31">
        <v>512</v>
      </c>
      <c r="L74" s="29" t="s">
        <v>745</v>
      </c>
      <c r="M74" s="32"/>
      <c r="N74" s="32"/>
      <c r="O74" s="27">
        <f t="shared" si="13"/>
        <v>5000</v>
      </c>
      <c r="P74" s="27">
        <f t="shared" si="24"/>
        <v>2816000</v>
      </c>
      <c r="Q74" s="27">
        <f t="shared" si="25"/>
        <v>176000</v>
      </c>
      <c r="R74" s="27">
        <f t="shared" si="26"/>
        <v>64000</v>
      </c>
      <c r="S74" s="27">
        <f t="shared" si="28"/>
        <v>1000</v>
      </c>
      <c r="T74" s="27">
        <f t="shared" si="14"/>
        <v>2560000</v>
      </c>
      <c r="U74" s="27"/>
      <c r="V74" s="27">
        <f t="shared" si="29"/>
        <v>3.1352677195501109</v>
      </c>
      <c r="W74" s="27">
        <f>W73</f>
        <v>0.94199999999999995</v>
      </c>
      <c r="X74" s="387">
        <f t="shared" si="27"/>
        <v>1</v>
      </c>
      <c r="Y74" s="27"/>
      <c r="Z74" s="27">
        <f t="shared" si="30"/>
        <v>2.9241000000000001</v>
      </c>
      <c r="AA74" s="27"/>
      <c r="AB74" s="30">
        <f t="shared" si="10"/>
        <v>171</v>
      </c>
    </row>
    <row r="75" spans="1:28" x14ac:dyDescent="0.25">
      <c r="A75" s="27" t="s">
        <v>888</v>
      </c>
      <c r="B75" s="32" t="s">
        <v>674</v>
      </c>
      <c r="C75" s="28" t="s">
        <v>661</v>
      </c>
      <c r="D75" s="32" t="s">
        <v>672</v>
      </c>
      <c r="E75" s="31">
        <v>2560</v>
      </c>
      <c r="F75" s="31">
        <v>160</v>
      </c>
      <c r="G75" s="31">
        <v>64</v>
      </c>
      <c r="H75" s="31">
        <v>947</v>
      </c>
      <c r="I75" s="31">
        <v>947</v>
      </c>
      <c r="J75" s="31">
        <v>1250</v>
      </c>
      <c r="K75" s="31">
        <v>512</v>
      </c>
      <c r="L75" s="29" t="s">
        <v>745</v>
      </c>
      <c r="M75" s="32"/>
      <c r="N75" s="32"/>
      <c r="O75" s="27">
        <f t="shared" si="13"/>
        <v>5000</v>
      </c>
      <c r="P75" s="27">
        <f t="shared" si="24"/>
        <v>2424320</v>
      </c>
      <c r="Q75" s="27">
        <f t="shared" si="25"/>
        <v>151520</v>
      </c>
      <c r="R75" s="27">
        <f t="shared" si="26"/>
        <v>60608</v>
      </c>
      <c r="S75" s="27">
        <f t="shared" si="28"/>
        <v>947</v>
      </c>
      <c r="T75" s="27">
        <f t="shared" si="14"/>
        <v>2560000</v>
      </c>
      <c r="U75" s="27"/>
      <c r="V75" s="27">
        <f t="shared" si="29"/>
        <v>2.9036558888788488</v>
      </c>
      <c r="W75" s="27">
        <f>W74</f>
        <v>0.94199999999999995</v>
      </c>
      <c r="X75" s="387">
        <f t="shared" si="27"/>
        <v>1</v>
      </c>
      <c r="Y75" s="27"/>
      <c r="Z75" s="27">
        <f t="shared" si="30"/>
        <v>2.7081</v>
      </c>
      <c r="AA75" s="27"/>
      <c r="AB75" s="30">
        <f t="shared" si="10"/>
        <v>164.56</v>
      </c>
    </row>
    <row r="76" spans="1:28" x14ac:dyDescent="0.25">
      <c r="A76" s="27" t="s">
        <v>888</v>
      </c>
      <c r="B76" s="32" t="s">
        <v>675</v>
      </c>
      <c r="C76" s="28" t="s">
        <v>657</v>
      </c>
      <c r="D76" s="32" t="s">
        <v>676</v>
      </c>
      <c r="E76" s="31">
        <v>1792</v>
      </c>
      <c r="F76" s="31">
        <v>112</v>
      </c>
      <c r="G76" s="31">
        <v>32</v>
      </c>
      <c r="H76" s="31">
        <v>918</v>
      </c>
      <c r="I76" s="31">
        <v>918</v>
      </c>
      <c r="J76" s="31">
        <v>1375</v>
      </c>
      <c r="K76" s="31">
        <v>256</v>
      </c>
      <c r="L76" s="29" t="s">
        <v>745</v>
      </c>
      <c r="M76" s="32"/>
      <c r="N76" s="32"/>
      <c r="O76" s="27">
        <f t="shared" si="13"/>
        <v>5500</v>
      </c>
      <c r="P76" s="27">
        <f t="shared" si="24"/>
        <v>1645056</v>
      </c>
      <c r="Q76" s="27">
        <f t="shared" si="25"/>
        <v>102816</v>
      </c>
      <c r="R76" s="27">
        <f t="shared" si="26"/>
        <v>29376</v>
      </c>
      <c r="S76" s="27">
        <f t="shared" si="28"/>
        <v>918</v>
      </c>
      <c r="T76" s="27">
        <f t="shared" si="14"/>
        <v>1408000</v>
      </c>
      <c r="U76" s="27"/>
      <c r="V76" s="27">
        <f t="shared" si="29"/>
        <v>1.7931024143800969</v>
      </c>
      <c r="W76" s="27">
        <f>W68</f>
        <v>1.1000000000000001</v>
      </c>
      <c r="X76" s="387">
        <f t="shared" si="27"/>
        <v>1</v>
      </c>
      <c r="Y76" s="27"/>
      <c r="Z76" s="27">
        <f t="shared" si="30"/>
        <v>1.9528000000000001</v>
      </c>
      <c r="AA76" s="27"/>
      <c r="AB76" s="30">
        <f t="shared" si="10"/>
        <v>139.74</v>
      </c>
    </row>
    <row r="77" spans="1:28" x14ac:dyDescent="0.25">
      <c r="A77" s="27" t="s">
        <v>888</v>
      </c>
      <c r="B77" s="32" t="s">
        <v>677</v>
      </c>
      <c r="C77" s="28" t="s">
        <v>667</v>
      </c>
      <c r="D77" s="32" t="s">
        <v>678</v>
      </c>
      <c r="E77" s="31">
        <v>2048</v>
      </c>
      <c r="F77" s="31">
        <v>128</v>
      </c>
      <c r="G77" s="31">
        <v>32</v>
      </c>
      <c r="H77" s="31">
        <v>850</v>
      </c>
      <c r="I77" s="31">
        <v>1000</v>
      </c>
      <c r="J77" s="31">
        <v>1500</v>
      </c>
      <c r="K77" s="31">
        <v>384</v>
      </c>
      <c r="L77" s="29" t="s">
        <v>745</v>
      </c>
      <c r="M77" s="32"/>
      <c r="N77" s="32"/>
      <c r="O77" s="27">
        <f t="shared" si="13"/>
        <v>6000</v>
      </c>
      <c r="P77" s="27">
        <f t="shared" si="24"/>
        <v>2048000</v>
      </c>
      <c r="Q77" s="27">
        <f t="shared" si="25"/>
        <v>128000</v>
      </c>
      <c r="R77" s="27">
        <f t="shared" si="26"/>
        <v>32000</v>
      </c>
      <c r="S77" s="27">
        <f t="shared" si="28"/>
        <v>850</v>
      </c>
      <c r="T77" s="27">
        <f t="shared" si="14"/>
        <v>2304000</v>
      </c>
      <c r="U77" s="27"/>
      <c r="V77" s="27">
        <f t="shared" si="29"/>
        <v>2.3024784245849683</v>
      </c>
      <c r="W77" s="27">
        <f>W71</f>
        <v>0.86</v>
      </c>
      <c r="X77" s="387">
        <f t="shared" si="27"/>
        <v>1</v>
      </c>
      <c r="Y77" s="27"/>
      <c r="Z77" s="27">
        <f t="shared" si="30"/>
        <v>1.9605000000000001</v>
      </c>
      <c r="AA77" s="27"/>
      <c r="AB77" s="30">
        <f t="shared" si="10"/>
        <v>140.01</v>
      </c>
    </row>
    <row r="78" spans="1:28" x14ac:dyDescent="0.25">
      <c r="A78" s="27" t="s">
        <v>888</v>
      </c>
      <c r="B78" s="32" t="s">
        <v>679</v>
      </c>
      <c r="C78" s="28" t="s">
        <v>667</v>
      </c>
      <c r="D78" s="32" t="s">
        <v>678</v>
      </c>
      <c r="E78" s="31">
        <v>1792</v>
      </c>
      <c r="F78" s="31">
        <v>112</v>
      </c>
      <c r="G78" s="31">
        <v>32</v>
      </c>
      <c r="H78" s="31">
        <v>827</v>
      </c>
      <c r="I78" s="31">
        <v>933</v>
      </c>
      <c r="J78" s="31">
        <v>1250</v>
      </c>
      <c r="K78" s="31">
        <v>384</v>
      </c>
      <c r="L78" s="29" t="s">
        <v>745</v>
      </c>
      <c r="M78" s="32"/>
      <c r="N78" s="32"/>
      <c r="O78" s="27">
        <f t="shared" si="13"/>
        <v>5000</v>
      </c>
      <c r="P78" s="27">
        <f t="shared" si="24"/>
        <v>1671936</v>
      </c>
      <c r="Q78" s="27">
        <f t="shared" si="25"/>
        <v>104496</v>
      </c>
      <c r="R78" s="27">
        <f t="shared" si="26"/>
        <v>29856</v>
      </c>
      <c r="S78" s="27">
        <f t="shared" si="28"/>
        <v>827</v>
      </c>
      <c r="T78" s="27">
        <f t="shared" si="14"/>
        <v>1920000</v>
      </c>
      <c r="U78" s="27"/>
      <c r="V78" s="27">
        <f t="shared" si="29"/>
        <v>1.9732850367404589</v>
      </c>
      <c r="W78" s="27">
        <f>W77</f>
        <v>0.86</v>
      </c>
      <c r="X78" s="387">
        <f t="shared" si="27"/>
        <v>1</v>
      </c>
      <c r="Y78" s="27"/>
      <c r="Z78" s="27">
        <f t="shared" si="30"/>
        <v>1.6802000000000001</v>
      </c>
      <c r="AA78" s="27"/>
      <c r="AB78" s="30">
        <f t="shared" si="10"/>
        <v>129.62</v>
      </c>
    </row>
    <row r="79" spans="1:28" x14ac:dyDescent="0.25">
      <c r="A79" s="27" t="s">
        <v>888</v>
      </c>
      <c r="B79" s="32" t="s">
        <v>680</v>
      </c>
      <c r="C79" s="28" t="s">
        <v>667</v>
      </c>
      <c r="D79" s="32" t="s">
        <v>681</v>
      </c>
      <c r="E79" s="31">
        <v>1280</v>
      </c>
      <c r="F79" s="31">
        <v>80</v>
      </c>
      <c r="G79" s="31">
        <v>32</v>
      </c>
      <c r="H79" s="31">
        <v>1000</v>
      </c>
      <c r="I79" s="31">
        <v>1050</v>
      </c>
      <c r="J79" s="31">
        <v>1400</v>
      </c>
      <c r="K79" s="31">
        <v>256</v>
      </c>
      <c r="L79" s="29" t="s">
        <v>745</v>
      </c>
      <c r="M79" s="32"/>
      <c r="N79" s="32"/>
      <c r="O79" s="27">
        <f t="shared" si="13"/>
        <v>5600</v>
      </c>
      <c r="P79" s="27">
        <f t="shared" si="24"/>
        <v>1344000</v>
      </c>
      <c r="Q79" s="27">
        <f t="shared" si="25"/>
        <v>84000</v>
      </c>
      <c r="R79" s="27">
        <f t="shared" si="26"/>
        <v>33600</v>
      </c>
      <c r="S79" s="27">
        <f t="shared" si="28"/>
        <v>1000</v>
      </c>
      <c r="T79" s="27">
        <f t="shared" si="14"/>
        <v>1433600</v>
      </c>
      <c r="U79" s="27"/>
      <c r="V79" s="27">
        <f t="shared" si="29"/>
        <v>1.7313584932180754</v>
      </c>
      <c r="W79" s="27">
        <f>W78</f>
        <v>0.86</v>
      </c>
      <c r="X79" s="387">
        <f t="shared" si="27"/>
        <v>1</v>
      </c>
      <c r="Y79" s="27"/>
      <c r="Z79" s="27">
        <f t="shared" si="30"/>
        <v>1.4742000000000002</v>
      </c>
      <c r="AA79" s="27"/>
      <c r="AB79" s="30">
        <f t="shared" si="10"/>
        <v>121.41</v>
      </c>
    </row>
    <row r="80" spans="1:28" x14ac:dyDescent="0.25">
      <c r="A80" s="27" t="s">
        <v>888</v>
      </c>
      <c r="B80" s="32" t="s">
        <v>3004</v>
      </c>
      <c r="C80" s="28" t="s">
        <v>667</v>
      </c>
      <c r="D80" s="32" t="s">
        <v>681</v>
      </c>
      <c r="E80" s="31">
        <v>1280</v>
      </c>
      <c r="F80" s="31">
        <v>80</v>
      </c>
      <c r="G80" s="31">
        <v>32</v>
      </c>
      <c r="H80" s="31">
        <v>900</v>
      </c>
      <c r="I80" s="31">
        <v>925</v>
      </c>
      <c r="J80" s="31">
        <v>1400</v>
      </c>
      <c r="K80" s="31">
        <v>256</v>
      </c>
      <c r="L80" s="29" t="s">
        <v>745</v>
      </c>
      <c r="M80" s="32"/>
      <c r="N80" s="32"/>
      <c r="O80" s="27">
        <f t="shared" si="13"/>
        <v>5600</v>
      </c>
      <c r="P80" s="27">
        <f t="shared" si="24"/>
        <v>1184000</v>
      </c>
      <c r="Q80" s="27">
        <f t="shared" si="25"/>
        <v>74000</v>
      </c>
      <c r="R80" s="27">
        <f t="shared" si="26"/>
        <v>29600</v>
      </c>
      <c r="S80" s="27">
        <f t="shared" si="28"/>
        <v>900</v>
      </c>
      <c r="T80" s="27">
        <f t="shared" si="14"/>
        <v>1433600</v>
      </c>
      <c r="U80" s="27"/>
      <c r="V80" s="27">
        <f t="shared" si="29"/>
        <v>1.5916413160246177</v>
      </c>
      <c r="W80" s="27">
        <f>W79</f>
        <v>0.86</v>
      </c>
      <c r="X80" s="387">
        <f t="shared" si="27"/>
        <v>1</v>
      </c>
      <c r="Y80" s="27"/>
      <c r="Z80" s="27">
        <f t="shared" si="30"/>
        <v>1.3552</v>
      </c>
      <c r="AA80" s="27"/>
      <c r="AB80" s="30">
        <f t="shared" si="10"/>
        <v>116.41</v>
      </c>
    </row>
    <row r="81" spans="1:28" x14ac:dyDescent="0.25">
      <c r="A81" s="27" t="s">
        <v>888</v>
      </c>
      <c r="B81" s="32" t="s">
        <v>684</v>
      </c>
      <c r="C81" s="28" t="s">
        <v>667</v>
      </c>
      <c r="D81" s="32" t="s">
        <v>685</v>
      </c>
      <c r="E81" s="31">
        <v>1024</v>
      </c>
      <c r="F81" s="31">
        <v>64</v>
      </c>
      <c r="G81" s="31">
        <v>32</v>
      </c>
      <c r="H81" s="31">
        <v>900</v>
      </c>
      <c r="I81" s="31">
        <v>925</v>
      </c>
      <c r="J81" s="31">
        <v>1400</v>
      </c>
      <c r="K81" s="31">
        <v>256</v>
      </c>
      <c r="L81" s="29" t="s">
        <v>745</v>
      </c>
      <c r="M81" s="32"/>
      <c r="N81" s="32"/>
      <c r="O81" s="27">
        <f t="shared" ref="O81:O152" si="31">IF(LEFT(L81,1)="G",4*J81,2*J81)</f>
        <v>5600</v>
      </c>
      <c r="P81" s="27">
        <f t="shared" si="24"/>
        <v>947200</v>
      </c>
      <c r="Q81" s="27">
        <f t="shared" si="25"/>
        <v>59200</v>
      </c>
      <c r="R81" s="27">
        <f t="shared" si="26"/>
        <v>29600</v>
      </c>
      <c r="S81" s="27">
        <f t="shared" si="28"/>
        <v>900</v>
      </c>
      <c r="T81" s="27">
        <f t="shared" ref="T81:T152" si="32">O81*K81</f>
        <v>1433600</v>
      </c>
      <c r="U81" s="27"/>
      <c r="V81" s="27">
        <f t="shared" si="29"/>
        <v>1.4737987679248914</v>
      </c>
      <c r="W81" s="27">
        <f>W80</f>
        <v>0.86</v>
      </c>
      <c r="X81" s="387">
        <f t="shared" si="27"/>
        <v>1</v>
      </c>
      <c r="Y81" s="27"/>
      <c r="Z81" s="27">
        <f t="shared" si="30"/>
        <v>1.2549000000000001</v>
      </c>
      <c r="AA81" s="27"/>
      <c r="AB81" s="30">
        <f t="shared" si="10"/>
        <v>112.02</v>
      </c>
    </row>
    <row r="82" spans="1:28" x14ac:dyDescent="0.25">
      <c r="A82" s="27" t="s">
        <v>888</v>
      </c>
      <c r="B82" s="32" t="s">
        <v>686</v>
      </c>
      <c r="C82" s="28" t="s">
        <v>661</v>
      </c>
      <c r="D82" s="32" t="s">
        <v>687</v>
      </c>
      <c r="E82" s="31">
        <v>896</v>
      </c>
      <c r="F82" s="31">
        <v>56</v>
      </c>
      <c r="G82" s="31">
        <v>16</v>
      </c>
      <c r="H82" s="31">
        <v>1100</v>
      </c>
      <c r="I82" s="31">
        <v>1100</v>
      </c>
      <c r="J82" s="31">
        <v>1625</v>
      </c>
      <c r="K82" s="31">
        <v>128</v>
      </c>
      <c r="L82" s="29" t="s">
        <v>745</v>
      </c>
      <c r="M82" s="32"/>
      <c r="N82" s="32"/>
      <c r="O82" s="27">
        <f t="shared" si="31"/>
        <v>6500</v>
      </c>
      <c r="P82" s="27">
        <f t="shared" si="24"/>
        <v>985600</v>
      </c>
      <c r="Q82" s="27">
        <f t="shared" si="25"/>
        <v>61600</v>
      </c>
      <c r="R82" s="27">
        <f t="shared" si="26"/>
        <v>17600</v>
      </c>
      <c r="S82" s="27">
        <f t="shared" si="28"/>
        <v>1100</v>
      </c>
      <c r="T82" s="27">
        <f t="shared" si="32"/>
        <v>832000</v>
      </c>
      <c r="U82" s="27"/>
      <c r="V82" s="27">
        <f t="shared" si="29"/>
        <v>1.2049169230026804</v>
      </c>
      <c r="W82" s="27">
        <f>W75</f>
        <v>0.94199999999999995</v>
      </c>
      <c r="X82" s="387">
        <f t="shared" si="27"/>
        <v>1</v>
      </c>
      <c r="Y82" s="27"/>
      <c r="Z82" s="27">
        <f t="shared" si="30"/>
        <v>1.1237000000000001</v>
      </c>
      <c r="AA82" s="27"/>
      <c r="AB82" s="30">
        <f t="shared" si="10"/>
        <v>106</v>
      </c>
    </row>
    <row r="83" spans="1:28" x14ac:dyDescent="0.25">
      <c r="A83" s="27" t="s">
        <v>888</v>
      </c>
      <c r="B83" s="32" t="s">
        <v>688</v>
      </c>
      <c r="C83" s="28" t="s">
        <v>661</v>
      </c>
      <c r="D83" s="32" t="s">
        <v>687</v>
      </c>
      <c r="E83" s="31">
        <v>768</v>
      </c>
      <c r="F83" s="31">
        <v>48</v>
      </c>
      <c r="G83" s="31">
        <v>16</v>
      </c>
      <c r="H83" s="31">
        <v>1000</v>
      </c>
      <c r="I83" s="31">
        <v>1000</v>
      </c>
      <c r="J83" s="31">
        <v>1500</v>
      </c>
      <c r="K83" s="31">
        <v>128</v>
      </c>
      <c r="L83" s="29" t="s">
        <v>745</v>
      </c>
      <c r="M83" s="32"/>
      <c r="N83" s="32"/>
      <c r="O83" s="27">
        <f t="shared" si="31"/>
        <v>6000</v>
      </c>
      <c r="P83" s="27">
        <f t="shared" si="24"/>
        <v>768000</v>
      </c>
      <c r="Q83" s="27">
        <f t="shared" si="25"/>
        <v>48000</v>
      </c>
      <c r="R83" s="27">
        <f t="shared" si="26"/>
        <v>16000</v>
      </c>
      <c r="S83" s="27">
        <f t="shared" si="28"/>
        <v>1000</v>
      </c>
      <c r="T83" s="27">
        <f t="shared" si="32"/>
        <v>768000</v>
      </c>
      <c r="U83" s="27"/>
      <c r="V83" s="27">
        <f t="shared" si="29"/>
        <v>1.0432644043931112</v>
      </c>
      <c r="W83" s="27">
        <f>W82</f>
        <v>0.94199999999999995</v>
      </c>
      <c r="X83" s="387">
        <f t="shared" si="27"/>
        <v>1</v>
      </c>
      <c r="Y83" s="27"/>
      <c r="Z83" s="27">
        <f t="shared" si="30"/>
        <v>0.97300000000000009</v>
      </c>
      <c r="AA83" s="27"/>
      <c r="AB83" s="30">
        <f t="shared" si="10"/>
        <v>98.64</v>
      </c>
    </row>
    <row r="84" spans="1:28" x14ac:dyDescent="0.25">
      <c r="A84" s="27" t="s">
        <v>888</v>
      </c>
      <c r="B84" s="32" t="s">
        <v>689</v>
      </c>
      <c r="C84" s="28" t="s">
        <v>667</v>
      </c>
      <c r="D84" s="32" t="s">
        <v>690</v>
      </c>
      <c r="E84" s="31">
        <v>640</v>
      </c>
      <c r="F84" s="31">
        <v>40</v>
      </c>
      <c r="G84" s="31">
        <v>16</v>
      </c>
      <c r="H84" s="31">
        <v>1000</v>
      </c>
      <c r="I84" s="31">
        <v>1000</v>
      </c>
      <c r="J84" s="31">
        <v>1125</v>
      </c>
      <c r="K84" s="31">
        <v>128</v>
      </c>
      <c r="L84" s="29" t="s">
        <v>745</v>
      </c>
      <c r="M84" s="32"/>
      <c r="N84" s="32"/>
      <c r="O84" s="27">
        <f t="shared" si="31"/>
        <v>4500</v>
      </c>
      <c r="P84" s="27">
        <f t="shared" si="24"/>
        <v>640000</v>
      </c>
      <c r="Q84" s="27">
        <f t="shared" si="25"/>
        <v>40000</v>
      </c>
      <c r="R84" s="27">
        <f t="shared" si="26"/>
        <v>16000</v>
      </c>
      <c r="S84" s="27">
        <f t="shared" si="28"/>
        <v>1000</v>
      </c>
      <c r="T84" s="27">
        <f t="shared" si="32"/>
        <v>576000</v>
      </c>
      <c r="U84" s="27"/>
      <c r="V84" s="27">
        <f t="shared" si="29"/>
        <v>0.91426086563657727</v>
      </c>
      <c r="W84" s="27">
        <f>W81</f>
        <v>0.86</v>
      </c>
      <c r="X84" s="387">
        <f t="shared" si="27"/>
        <v>1</v>
      </c>
      <c r="Y84" s="27"/>
      <c r="Z84" s="27">
        <f t="shared" si="30"/>
        <v>0.77840000000000009</v>
      </c>
      <c r="AA84" s="27"/>
      <c r="AB84" s="30">
        <f t="shared" ref="AB84:AB152" si="33">FLOOR(POWER(Z84,0.5)*100,0.01)</f>
        <v>88.22</v>
      </c>
    </row>
    <row r="85" spans="1:28" x14ac:dyDescent="0.25">
      <c r="A85" s="27" t="s">
        <v>888</v>
      </c>
      <c r="B85" s="32" t="s">
        <v>691</v>
      </c>
      <c r="C85" s="28" t="s">
        <v>667</v>
      </c>
      <c r="D85" s="32" t="s">
        <v>692</v>
      </c>
      <c r="E85" s="31">
        <v>384</v>
      </c>
      <c r="F85" s="31">
        <v>24</v>
      </c>
      <c r="G85" s="31">
        <v>8</v>
      </c>
      <c r="H85" s="31">
        <v>1000</v>
      </c>
      <c r="I85" s="31">
        <v>1050</v>
      </c>
      <c r="J85" s="31">
        <v>1150</v>
      </c>
      <c r="K85" s="31">
        <v>128</v>
      </c>
      <c r="L85" s="29" t="s">
        <v>745</v>
      </c>
      <c r="M85" s="32"/>
      <c r="N85" s="32"/>
      <c r="O85" s="27">
        <f t="shared" si="31"/>
        <v>4600</v>
      </c>
      <c r="P85" s="27">
        <f t="shared" si="24"/>
        <v>403200</v>
      </c>
      <c r="Q85" s="27">
        <f t="shared" si="25"/>
        <v>25200</v>
      </c>
      <c r="R85" s="27">
        <f t="shared" si="26"/>
        <v>8400</v>
      </c>
      <c r="S85" s="27">
        <f t="shared" si="28"/>
        <v>1000</v>
      </c>
      <c r="T85" s="27">
        <f t="shared" si="32"/>
        <v>588800</v>
      </c>
      <c r="U85" s="27"/>
      <c r="V85" s="27">
        <f t="shared" si="29"/>
        <v>0.73126501056346394</v>
      </c>
      <c r="W85" s="27">
        <f>W84</f>
        <v>0.86</v>
      </c>
      <c r="X85" s="387">
        <f t="shared" si="27"/>
        <v>1</v>
      </c>
      <c r="Y85" s="27"/>
      <c r="Z85" s="27">
        <f t="shared" si="30"/>
        <v>0.62260000000000004</v>
      </c>
      <c r="AA85" s="27"/>
      <c r="AB85" s="30">
        <f t="shared" si="33"/>
        <v>78.900000000000006</v>
      </c>
    </row>
    <row r="86" spans="1:28" x14ac:dyDescent="0.25">
      <c r="A86" s="27" t="s">
        <v>888</v>
      </c>
      <c r="B86" s="32" t="s">
        <v>693</v>
      </c>
      <c r="C86" s="28" t="s">
        <v>667</v>
      </c>
      <c r="D86" s="32" t="s">
        <v>692</v>
      </c>
      <c r="E86" s="31">
        <v>320</v>
      </c>
      <c r="F86" s="31">
        <v>20</v>
      </c>
      <c r="G86" s="31">
        <v>8</v>
      </c>
      <c r="H86" s="31">
        <v>730</v>
      </c>
      <c r="I86" s="31">
        <v>780</v>
      </c>
      <c r="J86" s="31">
        <v>900</v>
      </c>
      <c r="K86" s="31">
        <v>128</v>
      </c>
      <c r="L86" s="29" t="s">
        <v>783</v>
      </c>
      <c r="M86" s="32"/>
      <c r="N86" s="32"/>
      <c r="O86" s="27">
        <f t="shared" si="31"/>
        <v>1800</v>
      </c>
      <c r="P86" s="27">
        <f t="shared" si="24"/>
        <v>249600</v>
      </c>
      <c r="Q86" s="27">
        <f t="shared" si="25"/>
        <v>15600</v>
      </c>
      <c r="R86" s="27">
        <f t="shared" si="26"/>
        <v>6240</v>
      </c>
      <c r="S86" s="27">
        <f t="shared" si="28"/>
        <v>730</v>
      </c>
      <c r="T86" s="27">
        <f t="shared" si="32"/>
        <v>230400</v>
      </c>
      <c r="U86" s="27"/>
      <c r="V86" s="27">
        <f t="shared" si="29"/>
        <v>0.44197840426493179</v>
      </c>
      <c r="W86" s="27">
        <f>W85</f>
        <v>0.86</v>
      </c>
      <c r="X86" s="387">
        <f t="shared" si="27"/>
        <v>1</v>
      </c>
      <c r="Y86" s="27"/>
      <c r="Z86" s="27">
        <f t="shared" si="30"/>
        <v>0.37630000000000002</v>
      </c>
      <c r="AA86" s="27"/>
      <c r="AB86" s="30">
        <f t="shared" si="33"/>
        <v>61.34</v>
      </c>
    </row>
    <row r="87" spans="1:28" x14ac:dyDescent="0.25">
      <c r="A87" s="27" t="s">
        <v>888</v>
      </c>
      <c r="B87" s="32" t="s">
        <v>694</v>
      </c>
      <c r="C87" s="31" t="s">
        <v>750</v>
      </c>
      <c r="D87" s="32" t="s">
        <v>695</v>
      </c>
      <c r="E87" s="31">
        <v>160</v>
      </c>
      <c r="F87" s="31">
        <v>8</v>
      </c>
      <c r="G87" s="31">
        <v>4</v>
      </c>
      <c r="H87" s="31">
        <v>625</v>
      </c>
      <c r="I87" s="31">
        <v>625</v>
      </c>
      <c r="J87" s="31">
        <v>667</v>
      </c>
      <c r="K87" s="31">
        <v>64</v>
      </c>
      <c r="L87" s="29" t="s">
        <v>783</v>
      </c>
      <c r="M87" s="32"/>
      <c r="N87" s="32"/>
      <c r="O87" s="27">
        <f t="shared" si="31"/>
        <v>1334</v>
      </c>
      <c r="P87" s="27">
        <f t="shared" si="24"/>
        <v>100000</v>
      </c>
      <c r="Q87" s="27">
        <f t="shared" si="25"/>
        <v>5000</v>
      </c>
      <c r="R87" s="27">
        <f t="shared" si="26"/>
        <v>2500</v>
      </c>
      <c r="S87" s="27">
        <f t="shared" si="28"/>
        <v>625</v>
      </c>
      <c r="T87" s="27">
        <f t="shared" si="32"/>
        <v>85376</v>
      </c>
      <c r="U87" s="27"/>
      <c r="V87" s="27">
        <f t="shared" si="29"/>
        <v>0.25090906130551621</v>
      </c>
      <c r="W87" s="27">
        <v>0.59</v>
      </c>
      <c r="X87" s="387">
        <f t="shared" si="27"/>
        <v>1</v>
      </c>
      <c r="Y87" s="27"/>
      <c r="Z87" s="27">
        <f t="shared" si="30"/>
        <v>0.14650000000000002</v>
      </c>
      <c r="AA87" s="27"/>
      <c r="AB87" s="30">
        <f t="shared" si="33"/>
        <v>38.270000000000003</v>
      </c>
    </row>
    <row r="88" spans="1:28" x14ac:dyDescent="0.25">
      <c r="A88" s="27" t="s">
        <v>888</v>
      </c>
      <c r="B88" s="32" t="s">
        <v>696</v>
      </c>
      <c r="C88" s="28" t="s">
        <v>667</v>
      </c>
      <c r="D88" s="32" t="s">
        <v>697</v>
      </c>
      <c r="E88" s="29">
        <v>4096</v>
      </c>
      <c r="F88" s="31">
        <v>256</v>
      </c>
      <c r="G88" s="31">
        <v>64</v>
      </c>
      <c r="H88" s="31">
        <v>950</v>
      </c>
      <c r="I88" s="31">
        <v>1000</v>
      </c>
      <c r="J88" s="31">
        <v>1500</v>
      </c>
      <c r="K88" s="31">
        <v>384</v>
      </c>
      <c r="L88" s="29" t="s">
        <v>745</v>
      </c>
      <c r="M88" s="32" t="s">
        <v>768</v>
      </c>
      <c r="N88" s="32"/>
      <c r="O88" s="27">
        <f t="shared" si="31"/>
        <v>6000</v>
      </c>
      <c r="P88" s="27">
        <f t="shared" si="24"/>
        <v>4096000</v>
      </c>
      <c r="Q88" s="27">
        <f t="shared" si="25"/>
        <v>256000</v>
      </c>
      <c r="R88" s="27">
        <f t="shared" si="26"/>
        <v>64000</v>
      </c>
      <c r="S88" s="27">
        <f t="shared" si="28"/>
        <v>950</v>
      </c>
      <c r="T88" s="27">
        <f t="shared" si="32"/>
        <v>2304000</v>
      </c>
      <c r="U88" s="27"/>
      <c r="V88" s="27">
        <f t="shared" si="29"/>
        <v>3.5877999864248395</v>
      </c>
      <c r="W88" s="27">
        <f>W86</f>
        <v>0.86</v>
      </c>
      <c r="X88" s="387">
        <f t="shared" si="27"/>
        <v>0.9</v>
      </c>
      <c r="Y88" s="27"/>
      <c r="Z88" s="27">
        <f t="shared" si="30"/>
        <v>2.7494000000000001</v>
      </c>
      <c r="AA88" s="27"/>
      <c r="AB88" s="30">
        <f t="shared" si="33"/>
        <v>165.81</v>
      </c>
    </row>
    <row r="89" spans="1:28" x14ac:dyDescent="0.25">
      <c r="A89" s="27" t="s">
        <v>888</v>
      </c>
      <c r="B89" s="32" t="s">
        <v>698</v>
      </c>
      <c r="C89" s="28" t="s">
        <v>667</v>
      </c>
      <c r="D89" s="32" t="s">
        <v>678</v>
      </c>
      <c r="E89" s="31">
        <v>2048</v>
      </c>
      <c r="F89" s="31">
        <v>128</v>
      </c>
      <c r="G89" s="31">
        <v>32</v>
      </c>
      <c r="H89" s="31">
        <v>1000</v>
      </c>
      <c r="I89" s="31">
        <v>1050</v>
      </c>
      <c r="J89" s="31">
        <v>1500</v>
      </c>
      <c r="K89" s="31">
        <v>384</v>
      </c>
      <c r="L89" s="29" t="s">
        <v>745</v>
      </c>
      <c r="M89" s="32"/>
      <c r="N89" s="32"/>
      <c r="O89" s="27">
        <f t="shared" si="31"/>
        <v>6000</v>
      </c>
      <c r="P89" s="27">
        <f t="shared" si="24"/>
        <v>2150400</v>
      </c>
      <c r="Q89" s="27">
        <f t="shared" si="25"/>
        <v>134400</v>
      </c>
      <c r="R89" s="27">
        <f t="shared" si="26"/>
        <v>33600</v>
      </c>
      <c r="S89" s="27">
        <f t="shared" si="28"/>
        <v>1000</v>
      </c>
      <c r="T89" s="27">
        <f t="shared" si="32"/>
        <v>2304000</v>
      </c>
      <c r="U89" s="27"/>
      <c r="V89" s="27">
        <f t="shared" si="29"/>
        <v>2.4022837183632366</v>
      </c>
      <c r="W89" s="27">
        <f t="shared" ref="W89:W95" si="34">W88</f>
        <v>0.86</v>
      </c>
      <c r="X89" s="387">
        <f t="shared" si="27"/>
        <v>1</v>
      </c>
      <c r="Y89" s="27"/>
      <c r="Z89" s="27">
        <f t="shared" si="30"/>
        <v>2.0455000000000001</v>
      </c>
      <c r="AA89" s="27"/>
      <c r="AB89" s="30">
        <f t="shared" si="33"/>
        <v>143.02000000000001</v>
      </c>
    </row>
    <row r="90" spans="1:28" x14ac:dyDescent="0.25">
      <c r="A90" s="27" t="s">
        <v>888</v>
      </c>
      <c r="B90" s="32" t="s">
        <v>699</v>
      </c>
      <c r="C90" s="28" t="s">
        <v>667</v>
      </c>
      <c r="D90" s="32" t="s">
        <v>678</v>
      </c>
      <c r="E90" s="31">
        <v>2048</v>
      </c>
      <c r="F90" s="31">
        <v>128</v>
      </c>
      <c r="G90" s="31">
        <v>32</v>
      </c>
      <c r="H90" s="31">
        <v>925</v>
      </c>
      <c r="I90" s="31">
        <v>925</v>
      </c>
      <c r="J90" s="31">
        <v>1375</v>
      </c>
      <c r="K90" s="31">
        <v>384</v>
      </c>
      <c r="L90" s="29" t="s">
        <v>745</v>
      </c>
      <c r="M90" s="32"/>
      <c r="N90" s="32"/>
      <c r="O90" s="27">
        <f t="shared" si="31"/>
        <v>5500</v>
      </c>
      <c r="P90" s="27">
        <f t="shared" si="24"/>
        <v>1894400</v>
      </c>
      <c r="Q90" s="27">
        <f t="shared" si="25"/>
        <v>118400</v>
      </c>
      <c r="R90" s="27">
        <f t="shared" si="26"/>
        <v>29600</v>
      </c>
      <c r="S90" s="27">
        <f t="shared" si="28"/>
        <v>925</v>
      </c>
      <c r="T90" s="27">
        <f t="shared" si="32"/>
        <v>2112000</v>
      </c>
      <c r="U90" s="27"/>
      <c r="V90" s="27">
        <f t="shared" si="29"/>
        <v>2.1568554512378277</v>
      </c>
      <c r="W90" s="27">
        <f t="shared" si="34"/>
        <v>0.86</v>
      </c>
      <c r="X90" s="387">
        <f t="shared" si="27"/>
        <v>1</v>
      </c>
      <c r="Y90" s="27"/>
      <c r="Z90" s="27">
        <f t="shared" si="30"/>
        <v>1.8365</v>
      </c>
      <c r="AA90" s="27"/>
      <c r="AB90" s="30">
        <f t="shared" si="33"/>
        <v>135.51</v>
      </c>
    </row>
    <row r="91" spans="1:28" x14ac:dyDescent="0.25">
      <c r="A91" s="27" t="s">
        <v>888</v>
      </c>
      <c r="B91" s="32" t="s">
        <v>700</v>
      </c>
      <c r="C91" s="28" t="s">
        <v>667</v>
      </c>
      <c r="D91" s="32" t="s">
        <v>678</v>
      </c>
      <c r="E91" s="31">
        <v>1792</v>
      </c>
      <c r="F91" s="31">
        <v>112</v>
      </c>
      <c r="G91" s="31">
        <v>32</v>
      </c>
      <c r="H91" s="31">
        <v>850</v>
      </c>
      <c r="I91" s="31">
        <v>925</v>
      </c>
      <c r="J91" s="31">
        <v>1250</v>
      </c>
      <c r="K91" s="31">
        <v>384</v>
      </c>
      <c r="L91" s="29" t="s">
        <v>745</v>
      </c>
      <c r="M91" s="32"/>
      <c r="N91" s="32"/>
      <c r="O91" s="27">
        <f t="shared" si="31"/>
        <v>5000</v>
      </c>
      <c r="P91" s="27">
        <f t="shared" si="24"/>
        <v>1657600</v>
      </c>
      <c r="Q91" s="27">
        <f t="shared" si="25"/>
        <v>103600</v>
      </c>
      <c r="R91" s="27">
        <f t="shared" si="26"/>
        <v>29600</v>
      </c>
      <c r="S91" s="27">
        <f t="shared" si="28"/>
        <v>850</v>
      </c>
      <c r="T91" s="27">
        <f t="shared" si="32"/>
        <v>1920000</v>
      </c>
      <c r="U91" s="27"/>
      <c r="V91" s="27">
        <f t="shared" si="29"/>
        <v>1.9696949003123907</v>
      </c>
      <c r="W91" s="27">
        <f t="shared" si="34"/>
        <v>0.86</v>
      </c>
      <c r="X91" s="387">
        <f t="shared" si="27"/>
        <v>1</v>
      </c>
      <c r="Y91" s="27"/>
      <c r="Z91" s="27">
        <f t="shared" si="30"/>
        <v>1.6771</v>
      </c>
      <c r="AA91" s="27"/>
      <c r="AB91" s="30">
        <f t="shared" si="33"/>
        <v>129.5</v>
      </c>
    </row>
    <row r="92" spans="1:28" x14ac:dyDescent="0.25">
      <c r="A92" s="27" t="s">
        <v>888</v>
      </c>
      <c r="B92" s="32" t="s">
        <v>701</v>
      </c>
      <c r="C92" s="28" t="s">
        <v>667</v>
      </c>
      <c r="D92" s="32" t="s">
        <v>678</v>
      </c>
      <c r="E92" s="31">
        <v>1792</v>
      </c>
      <c r="F92" s="31">
        <v>112</v>
      </c>
      <c r="G92" s="31">
        <v>32</v>
      </c>
      <c r="H92" s="31">
        <v>800</v>
      </c>
      <c r="I92" s="31">
        <v>800</v>
      </c>
      <c r="J92" s="31">
        <v>1250</v>
      </c>
      <c r="K92" s="31">
        <v>384</v>
      </c>
      <c r="L92" s="29" t="s">
        <v>745</v>
      </c>
      <c r="M92" s="32"/>
      <c r="N92" s="32"/>
      <c r="O92" s="27">
        <f t="shared" si="31"/>
        <v>5000</v>
      </c>
      <c r="P92" s="27">
        <f t="shared" si="24"/>
        <v>1433600</v>
      </c>
      <c r="Q92" s="27">
        <f t="shared" si="25"/>
        <v>89600</v>
      </c>
      <c r="R92" s="27">
        <f t="shared" si="26"/>
        <v>25600</v>
      </c>
      <c r="S92" s="27">
        <f t="shared" si="28"/>
        <v>800</v>
      </c>
      <c r="T92" s="27">
        <f t="shared" si="32"/>
        <v>1920000</v>
      </c>
      <c r="U92" s="27"/>
      <c r="V92" s="27">
        <f t="shared" si="29"/>
        <v>1.8132620088199021</v>
      </c>
      <c r="W92" s="27">
        <f t="shared" si="34"/>
        <v>0.86</v>
      </c>
      <c r="X92" s="387">
        <f t="shared" si="27"/>
        <v>1</v>
      </c>
      <c r="Y92" s="27"/>
      <c r="Z92" s="27">
        <f t="shared" si="30"/>
        <v>1.5439000000000001</v>
      </c>
      <c r="AA92" s="27"/>
      <c r="AB92" s="30">
        <f t="shared" si="33"/>
        <v>124.25</v>
      </c>
    </row>
    <row r="93" spans="1:28" x14ac:dyDescent="0.25">
      <c r="A93" s="27" t="s">
        <v>888</v>
      </c>
      <c r="B93" s="32" t="s">
        <v>702</v>
      </c>
      <c r="C93" s="28" t="s">
        <v>667</v>
      </c>
      <c r="D93" s="32" t="s">
        <v>678</v>
      </c>
      <c r="E93" s="31">
        <v>1536</v>
      </c>
      <c r="F93" s="31">
        <v>96</v>
      </c>
      <c r="G93" s="31">
        <v>32</v>
      </c>
      <c r="H93" s="31">
        <v>925</v>
      </c>
      <c r="I93" s="31">
        <v>975</v>
      </c>
      <c r="J93" s="31">
        <v>1500</v>
      </c>
      <c r="K93" s="31">
        <v>256</v>
      </c>
      <c r="L93" s="29" t="s">
        <v>745</v>
      </c>
      <c r="M93" s="32"/>
      <c r="N93" s="32"/>
      <c r="O93" s="27">
        <f t="shared" si="31"/>
        <v>6000</v>
      </c>
      <c r="P93" s="27">
        <f t="shared" si="24"/>
        <v>1497600</v>
      </c>
      <c r="Q93" s="27">
        <f t="shared" si="25"/>
        <v>93600</v>
      </c>
      <c r="R93" s="27">
        <f t="shared" si="26"/>
        <v>31200</v>
      </c>
      <c r="S93" s="27">
        <f t="shared" si="28"/>
        <v>925</v>
      </c>
      <c r="T93" s="27">
        <f t="shared" si="32"/>
        <v>1536000</v>
      </c>
      <c r="U93" s="27"/>
      <c r="V93" s="27">
        <f t="shared" si="29"/>
        <v>1.7970289872593772</v>
      </c>
      <c r="W93" s="27">
        <f t="shared" si="34"/>
        <v>0.86</v>
      </c>
      <c r="X93" s="387">
        <f t="shared" si="27"/>
        <v>1</v>
      </c>
      <c r="Y93" s="27"/>
      <c r="Z93" s="27">
        <f t="shared" si="30"/>
        <v>1.5301</v>
      </c>
      <c r="AA93" s="27"/>
      <c r="AB93" s="30">
        <f t="shared" si="33"/>
        <v>123.69</v>
      </c>
    </row>
    <row r="94" spans="1:28" x14ac:dyDescent="0.25">
      <c r="A94" s="27" t="s">
        <v>888</v>
      </c>
      <c r="B94" s="32" t="s">
        <v>3013</v>
      </c>
      <c r="C94" s="28" t="s">
        <v>667</v>
      </c>
      <c r="D94" s="32" t="s">
        <v>685</v>
      </c>
      <c r="E94" s="31">
        <v>1280</v>
      </c>
      <c r="F94" s="31">
        <v>80</v>
      </c>
      <c r="G94" s="31">
        <v>32</v>
      </c>
      <c r="H94" s="31">
        <v>1000</v>
      </c>
      <c r="I94" s="31">
        <v>1000</v>
      </c>
      <c r="J94" s="31">
        <v>1200</v>
      </c>
      <c r="K94" s="31">
        <v>256</v>
      </c>
      <c r="L94" s="29" t="s">
        <v>745</v>
      </c>
      <c r="M94" s="32"/>
      <c r="N94" s="32"/>
      <c r="O94" s="27">
        <f t="shared" si="31"/>
        <v>4800</v>
      </c>
      <c r="P94" s="27">
        <f t="shared" si="24"/>
        <v>1280000</v>
      </c>
      <c r="Q94" s="27">
        <f t="shared" si="25"/>
        <v>80000</v>
      </c>
      <c r="R94" s="27">
        <f t="shared" si="26"/>
        <v>32000</v>
      </c>
      <c r="S94" s="27">
        <f t="shared" si="28"/>
        <v>1000</v>
      </c>
      <c r="T94" s="27">
        <f t="shared" si="32"/>
        <v>1228800</v>
      </c>
      <c r="U94" s="27"/>
      <c r="V94" s="27">
        <f t="shared" si="29"/>
        <v>1.6112014698352459</v>
      </c>
      <c r="W94" s="27">
        <f t="shared" si="34"/>
        <v>0.86</v>
      </c>
      <c r="X94" s="387">
        <f t="shared" si="27"/>
        <v>1</v>
      </c>
      <c r="Y94" s="27"/>
      <c r="Z94" s="27">
        <f t="shared" si="30"/>
        <v>1.3719000000000001</v>
      </c>
      <c r="AA94" s="27"/>
      <c r="AB94" s="30">
        <f t="shared" si="33"/>
        <v>117.12</v>
      </c>
    </row>
    <row r="95" spans="1:28" x14ac:dyDescent="0.25">
      <c r="A95" s="27" t="s">
        <v>888</v>
      </c>
      <c r="B95" s="32" t="s">
        <v>703</v>
      </c>
      <c r="C95" s="28" t="s">
        <v>667</v>
      </c>
      <c r="D95" s="32" t="s">
        <v>685</v>
      </c>
      <c r="E95" s="31">
        <v>1024</v>
      </c>
      <c r="F95" s="31">
        <v>64</v>
      </c>
      <c r="G95" s="31">
        <v>32</v>
      </c>
      <c r="H95" s="31">
        <v>860</v>
      </c>
      <c r="I95" s="31">
        <v>860</v>
      </c>
      <c r="J95" s="31">
        <v>1200</v>
      </c>
      <c r="K95" s="31">
        <v>256</v>
      </c>
      <c r="L95" s="29" t="s">
        <v>745</v>
      </c>
      <c r="M95" s="32"/>
      <c r="N95" s="32"/>
      <c r="O95" s="27">
        <f t="shared" si="31"/>
        <v>4800</v>
      </c>
      <c r="P95" s="27">
        <f t="shared" si="24"/>
        <v>880640</v>
      </c>
      <c r="Q95" s="27">
        <f t="shared" si="25"/>
        <v>55040</v>
      </c>
      <c r="R95" s="27">
        <f t="shared" si="26"/>
        <v>27520</v>
      </c>
      <c r="S95" s="27">
        <f t="shared" si="28"/>
        <v>860</v>
      </c>
      <c r="T95" s="27">
        <f t="shared" si="32"/>
        <v>1228800</v>
      </c>
      <c r="U95" s="27"/>
      <c r="V95" s="27">
        <f t="shared" si="29"/>
        <v>1.3382937658851124</v>
      </c>
      <c r="W95" s="27">
        <f t="shared" si="34"/>
        <v>0.86</v>
      </c>
      <c r="X95" s="387">
        <f t="shared" si="27"/>
        <v>1</v>
      </c>
      <c r="Y95" s="27"/>
      <c r="Z95" s="27">
        <f t="shared" si="30"/>
        <v>1.1395</v>
      </c>
      <c r="AA95" s="27"/>
      <c r="AB95" s="30">
        <f t="shared" si="33"/>
        <v>106.74000000000001</v>
      </c>
    </row>
    <row r="96" spans="1:28" x14ac:dyDescent="0.25">
      <c r="A96" s="27" t="s">
        <v>888</v>
      </c>
      <c r="B96" s="32" t="s">
        <v>704</v>
      </c>
      <c r="C96" s="28" t="s">
        <v>661</v>
      </c>
      <c r="D96" s="32" t="s">
        <v>687</v>
      </c>
      <c r="E96" s="31">
        <v>896</v>
      </c>
      <c r="F96" s="31">
        <v>56</v>
      </c>
      <c r="G96" s="31">
        <v>16</v>
      </c>
      <c r="H96" s="31">
        <v>1000</v>
      </c>
      <c r="I96" s="31">
        <v>1000</v>
      </c>
      <c r="J96" s="31">
        <v>1500</v>
      </c>
      <c r="K96" s="31">
        <v>128</v>
      </c>
      <c r="L96" s="29" t="s">
        <v>745</v>
      </c>
      <c r="M96" s="32"/>
      <c r="N96" s="32"/>
      <c r="O96" s="27">
        <f t="shared" si="31"/>
        <v>6000</v>
      </c>
      <c r="P96" s="27">
        <f t="shared" si="24"/>
        <v>896000</v>
      </c>
      <c r="Q96" s="27">
        <f t="shared" si="25"/>
        <v>56000</v>
      </c>
      <c r="R96" s="27">
        <f t="shared" si="26"/>
        <v>16000</v>
      </c>
      <c r="S96" s="27">
        <f t="shared" si="28"/>
        <v>1000</v>
      </c>
      <c r="T96" s="27">
        <f t="shared" si="32"/>
        <v>768000</v>
      </c>
      <c r="U96" s="27"/>
      <c r="V96" s="27">
        <f t="shared" si="29"/>
        <v>1.0995877751202818</v>
      </c>
      <c r="W96" s="27">
        <f>W83</f>
        <v>0.94199999999999995</v>
      </c>
      <c r="X96" s="387">
        <f t="shared" si="27"/>
        <v>1</v>
      </c>
      <c r="Y96" s="27"/>
      <c r="Z96" s="27">
        <f t="shared" si="30"/>
        <v>1.0255000000000001</v>
      </c>
      <c r="AA96" s="27"/>
      <c r="AB96" s="30">
        <f t="shared" si="33"/>
        <v>101.26</v>
      </c>
    </row>
    <row r="97" spans="1:28" x14ac:dyDescent="0.25">
      <c r="A97" s="27" t="s">
        <v>888</v>
      </c>
      <c r="B97" s="32" t="s">
        <v>705</v>
      </c>
      <c r="C97" s="28" t="s">
        <v>667</v>
      </c>
      <c r="D97" s="32" t="s">
        <v>690</v>
      </c>
      <c r="E97" s="31">
        <v>640</v>
      </c>
      <c r="F97" s="31">
        <v>40</v>
      </c>
      <c r="G97" s="31">
        <v>16</v>
      </c>
      <c r="H97" s="31">
        <v>1000</v>
      </c>
      <c r="I97" s="31">
        <v>1000</v>
      </c>
      <c r="J97" s="31">
        <v>1125</v>
      </c>
      <c r="K97" s="31">
        <v>128</v>
      </c>
      <c r="L97" s="29" t="s">
        <v>745</v>
      </c>
      <c r="M97" s="32"/>
      <c r="N97" s="32"/>
      <c r="O97" s="27">
        <f t="shared" si="31"/>
        <v>4500</v>
      </c>
      <c r="P97" s="27">
        <f t="shared" si="24"/>
        <v>640000</v>
      </c>
      <c r="Q97" s="27">
        <f t="shared" si="25"/>
        <v>40000</v>
      </c>
      <c r="R97" s="27">
        <f t="shared" si="26"/>
        <v>16000</v>
      </c>
      <c r="S97" s="27">
        <f t="shared" si="28"/>
        <v>1000</v>
      </c>
      <c r="T97" s="27">
        <f t="shared" si="32"/>
        <v>576000</v>
      </c>
      <c r="U97" s="27"/>
      <c r="V97" s="27">
        <f t="shared" si="29"/>
        <v>0.91426086563657727</v>
      </c>
      <c r="W97" s="27">
        <f>W95</f>
        <v>0.86</v>
      </c>
      <c r="X97" s="387">
        <f t="shared" si="27"/>
        <v>1</v>
      </c>
      <c r="Y97" s="27"/>
      <c r="Z97" s="27">
        <f t="shared" si="30"/>
        <v>0.77840000000000009</v>
      </c>
      <c r="AA97" s="27"/>
      <c r="AB97" s="30">
        <f t="shared" si="33"/>
        <v>88.22</v>
      </c>
    </row>
    <row r="98" spans="1:28" x14ac:dyDescent="0.25">
      <c r="A98" s="27" t="s">
        <v>888</v>
      </c>
      <c r="B98" s="32" t="s">
        <v>706</v>
      </c>
      <c r="C98" s="28" t="s">
        <v>667</v>
      </c>
      <c r="D98" s="32" t="s">
        <v>690</v>
      </c>
      <c r="E98" s="31">
        <v>512</v>
      </c>
      <c r="F98" s="31">
        <v>32</v>
      </c>
      <c r="G98" s="31">
        <v>16</v>
      </c>
      <c r="H98" s="31">
        <v>800</v>
      </c>
      <c r="I98" s="31">
        <v>800</v>
      </c>
      <c r="J98" s="31">
        <v>1125</v>
      </c>
      <c r="K98" s="31">
        <v>128</v>
      </c>
      <c r="L98" s="29" t="s">
        <v>745</v>
      </c>
      <c r="M98" s="32"/>
      <c r="N98" s="32"/>
      <c r="O98" s="27">
        <f t="shared" si="31"/>
        <v>4500</v>
      </c>
      <c r="P98" s="27">
        <f t="shared" si="24"/>
        <v>409600</v>
      </c>
      <c r="Q98" s="27">
        <f t="shared" si="25"/>
        <v>25600</v>
      </c>
      <c r="R98" s="27">
        <f t="shared" si="26"/>
        <v>12800</v>
      </c>
      <c r="S98" s="27">
        <f t="shared" si="28"/>
        <v>800</v>
      </c>
      <c r="T98" s="27">
        <f t="shared" si="32"/>
        <v>576000</v>
      </c>
      <c r="U98" s="27"/>
      <c r="V98" s="27">
        <f t="shared" si="29"/>
        <v>0.7221164194571279</v>
      </c>
      <c r="W98" s="27">
        <f>W97</f>
        <v>0.86</v>
      </c>
      <c r="X98" s="387">
        <f t="shared" si="27"/>
        <v>1</v>
      </c>
      <c r="Y98" s="27"/>
      <c r="Z98" s="27">
        <f t="shared" si="30"/>
        <v>0.61480000000000001</v>
      </c>
      <c r="AA98" s="27"/>
      <c r="AB98" s="30">
        <f t="shared" si="33"/>
        <v>78.400000000000006</v>
      </c>
    </row>
    <row r="99" spans="1:28" x14ac:dyDescent="0.25">
      <c r="A99" s="27" t="s">
        <v>888</v>
      </c>
      <c r="B99" s="32" t="s">
        <v>707</v>
      </c>
      <c r="C99" s="28" t="s">
        <v>667</v>
      </c>
      <c r="D99" s="32" t="s">
        <v>690</v>
      </c>
      <c r="E99" s="31">
        <v>384</v>
      </c>
      <c r="F99" s="31">
        <v>24</v>
      </c>
      <c r="G99" s="31">
        <v>8</v>
      </c>
      <c r="H99" s="31">
        <v>800</v>
      </c>
      <c r="I99" s="31">
        <v>800</v>
      </c>
      <c r="J99" s="31">
        <v>1125</v>
      </c>
      <c r="K99" s="31">
        <v>128</v>
      </c>
      <c r="L99" s="29" t="s">
        <v>745</v>
      </c>
      <c r="M99" s="32"/>
      <c r="N99" s="32"/>
      <c r="O99" s="27">
        <f t="shared" si="31"/>
        <v>4500</v>
      </c>
      <c r="P99" s="27">
        <f t="shared" si="24"/>
        <v>307200</v>
      </c>
      <c r="Q99" s="27">
        <f t="shared" si="25"/>
        <v>19200</v>
      </c>
      <c r="R99" s="27">
        <f t="shared" si="26"/>
        <v>6400</v>
      </c>
      <c r="S99" s="27">
        <f t="shared" si="28"/>
        <v>800</v>
      </c>
      <c r="T99" s="27">
        <f t="shared" si="32"/>
        <v>576000</v>
      </c>
      <c r="U99" s="27"/>
      <c r="V99" s="27">
        <f t="shared" si="29"/>
        <v>0.61256719966574125</v>
      </c>
      <c r="W99" s="27">
        <f>W98</f>
        <v>0.86</v>
      </c>
      <c r="X99" s="387">
        <f t="shared" si="27"/>
        <v>1</v>
      </c>
      <c r="Y99" s="27"/>
      <c r="Z99" s="27">
        <f t="shared" si="30"/>
        <v>0.52150000000000007</v>
      </c>
      <c r="AA99" s="27"/>
      <c r="AB99" s="30">
        <f t="shared" si="33"/>
        <v>72.210000000000008</v>
      </c>
    </row>
    <row r="100" spans="1:28" x14ac:dyDescent="0.25">
      <c r="A100" s="27" t="s">
        <v>888</v>
      </c>
      <c r="B100" s="32" t="s">
        <v>708</v>
      </c>
      <c r="C100" s="31" t="s">
        <v>751</v>
      </c>
      <c r="D100" s="32" t="s">
        <v>709</v>
      </c>
      <c r="E100" s="29">
        <v>3072</v>
      </c>
      <c r="F100" s="31">
        <v>192</v>
      </c>
      <c r="G100" s="31">
        <v>64</v>
      </c>
      <c r="H100" s="31">
        <v>830</v>
      </c>
      <c r="I100" s="31">
        <v>830</v>
      </c>
      <c r="J100" s="31">
        <v>1250</v>
      </c>
      <c r="K100" s="31">
        <v>256</v>
      </c>
      <c r="L100" s="29" t="s">
        <v>745</v>
      </c>
      <c r="M100" s="32" t="s">
        <v>749</v>
      </c>
      <c r="N100" s="32"/>
      <c r="O100" s="27">
        <f t="shared" si="31"/>
        <v>5000</v>
      </c>
      <c r="P100" s="27">
        <f t="shared" si="24"/>
        <v>2549760</v>
      </c>
      <c r="Q100" s="27">
        <f t="shared" si="25"/>
        <v>159360</v>
      </c>
      <c r="R100" s="27">
        <f t="shared" si="26"/>
        <v>53120</v>
      </c>
      <c r="S100" s="27">
        <f t="shared" si="28"/>
        <v>830</v>
      </c>
      <c r="T100" s="27">
        <f t="shared" si="32"/>
        <v>1280000</v>
      </c>
      <c r="U100" s="27"/>
      <c r="V100" s="27">
        <f t="shared" si="29"/>
        <v>2.3940844456788106</v>
      </c>
      <c r="W100" s="27">
        <v>0.69099999999999995</v>
      </c>
      <c r="X100" s="387">
        <f t="shared" si="27"/>
        <v>0.9</v>
      </c>
      <c r="Y100" s="27"/>
      <c r="Z100" s="27">
        <f t="shared" si="30"/>
        <v>1.4741</v>
      </c>
      <c r="AA100" s="27"/>
      <c r="AB100" s="30">
        <f t="shared" si="33"/>
        <v>121.41</v>
      </c>
    </row>
    <row r="101" spans="1:28" x14ac:dyDescent="0.25">
      <c r="A101" s="27" t="s">
        <v>888</v>
      </c>
      <c r="B101" s="32" t="s">
        <v>710</v>
      </c>
      <c r="C101" s="31" t="s">
        <v>751</v>
      </c>
      <c r="D101" s="32" t="s">
        <v>711</v>
      </c>
      <c r="E101" s="31">
        <v>1536</v>
      </c>
      <c r="F101" s="31">
        <v>96</v>
      </c>
      <c r="G101" s="31">
        <v>32</v>
      </c>
      <c r="H101" s="31">
        <v>880</v>
      </c>
      <c r="I101" s="31">
        <v>880</v>
      </c>
      <c r="J101" s="31">
        <v>1375</v>
      </c>
      <c r="K101" s="31">
        <v>256</v>
      </c>
      <c r="L101" s="29" t="s">
        <v>745</v>
      </c>
      <c r="M101" s="32"/>
      <c r="N101" s="32"/>
      <c r="O101" s="27">
        <f t="shared" si="31"/>
        <v>5500</v>
      </c>
      <c r="P101" s="27">
        <f t="shared" si="24"/>
        <v>1351680</v>
      </c>
      <c r="Q101" s="27">
        <f t="shared" si="25"/>
        <v>84480</v>
      </c>
      <c r="R101" s="27">
        <f t="shared" si="26"/>
        <v>28160</v>
      </c>
      <c r="S101" s="27">
        <f t="shared" si="28"/>
        <v>880</v>
      </c>
      <c r="T101" s="27">
        <f t="shared" si="32"/>
        <v>1408000</v>
      </c>
      <c r="U101" s="27"/>
      <c r="V101" s="27">
        <f t="shared" si="29"/>
        <v>1.6408294475924421</v>
      </c>
      <c r="W101" s="27">
        <f>W100</f>
        <v>0.69099999999999995</v>
      </c>
      <c r="X101" s="387">
        <f t="shared" si="27"/>
        <v>1</v>
      </c>
      <c r="Y101" s="27"/>
      <c r="Z101" s="27">
        <f t="shared" si="30"/>
        <v>1.1225000000000001</v>
      </c>
      <c r="AA101" s="27"/>
      <c r="AB101" s="30">
        <f t="shared" si="33"/>
        <v>105.94</v>
      </c>
    </row>
    <row r="102" spans="1:28" x14ac:dyDescent="0.25">
      <c r="A102" s="27" t="s">
        <v>888</v>
      </c>
      <c r="B102" s="32" t="s">
        <v>712</v>
      </c>
      <c r="C102" s="31" t="s">
        <v>751</v>
      </c>
      <c r="D102" s="32" t="s">
        <v>711</v>
      </c>
      <c r="E102" s="31">
        <v>1408</v>
      </c>
      <c r="F102" s="31">
        <v>88</v>
      </c>
      <c r="G102" s="31">
        <v>32</v>
      </c>
      <c r="H102" s="31">
        <v>800</v>
      </c>
      <c r="I102" s="31">
        <v>800</v>
      </c>
      <c r="J102" s="31">
        <v>1250</v>
      </c>
      <c r="K102" s="31">
        <v>256</v>
      </c>
      <c r="L102" s="29" t="s">
        <v>745</v>
      </c>
      <c r="M102" s="32"/>
      <c r="N102" s="32"/>
      <c r="O102" s="27">
        <f t="shared" si="31"/>
        <v>5000</v>
      </c>
      <c r="P102" s="27">
        <f t="shared" si="24"/>
        <v>1126400</v>
      </c>
      <c r="Q102" s="27">
        <f t="shared" si="25"/>
        <v>70400</v>
      </c>
      <c r="R102" s="27">
        <f t="shared" si="26"/>
        <v>25600</v>
      </c>
      <c r="S102" s="27">
        <f t="shared" si="28"/>
        <v>800</v>
      </c>
      <c r="T102" s="27">
        <f t="shared" si="32"/>
        <v>1280000</v>
      </c>
      <c r="U102" s="27"/>
      <c r="V102" s="27">
        <f t="shared" si="29"/>
        <v>1.4447388960989116</v>
      </c>
      <c r="W102" s="27">
        <f>W101</f>
        <v>0.69099999999999995</v>
      </c>
      <c r="X102" s="387">
        <f t="shared" si="27"/>
        <v>1</v>
      </c>
      <c r="Y102" s="27"/>
      <c r="Z102" s="27">
        <f t="shared" si="30"/>
        <v>0.98840000000000006</v>
      </c>
      <c r="AA102" s="27"/>
      <c r="AB102" s="30">
        <f t="shared" si="33"/>
        <v>99.41</v>
      </c>
    </row>
    <row r="103" spans="1:28" x14ac:dyDescent="0.25">
      <c r="A103" s="27" t="s">
        <v>888</v>
      </c>
      <c r="B103" s="32" t="s">
        <v>714</v>
      </c>
      <c r="C103" s="31" t="s">
        <v>750</v>
      </c>
      <c r="D103" s="32" t="s">
        <v>713</v>
      </c>
      <c r="E103" s="31">
        <v>1120</v>
      </c>
      <c r="F103" s="31">
        <v>56</v>
      </c>
      <c r="G103" s="31">
        <v>32</v>
      </c>
      <c r="H103" s="31">
        <v>900</v>
      </c>
      <c r="I103" s="31">
        <v>900</v>
      </c>
      <c r="J103" s="31">
        <v>1050</v>
      </c>
      <c r="K103" s="31">
        <v>256</v>
      </c>
      <c r="L103" s="29" t="s">
        <v>745</v>
      </c>
      <c r="M103" s="32"/>
      <c r="N103" s="32"/>
      <c r="O103" s="27">
        <f t="shared" si="31"/>
        <v>4200</v>
      </c>
      <c r="P103" s="27">
        <f t="shared" si="24"/>
        <v>1008000</v>
      </c>
      <c r="Q103" s="27">
        <f t="shared" si="25"/>
        <v>50400</v>
      </c>
      <c r="R103" s="27">
        <f t="shared" si="26"/>
        <v>28800</v>
      </c>
      <c r="S103" s="27">
        <f t="shared" si="28"/>
        <v>900</v>
      </c>
      <c r="T103" s="27">
        <f t="shared" si="32"/>
        <v>1075200</v>
      </c>
      <c r="U103" s="27"/>
      <c r="V103" s="27">
        <f t="shared" si="29"/>
        <v>1.3139238186611768</v>
      </c>
      <c r="W103" s="27">
        <f>W87</f>
        <v>0.59</v>
      </c>
      <c r="X103" s="387">
        <f t="shared" si="27"/>
        <v>1</v>
      </c>
      <c r="Y103" s="27"/>
      <c r="Z103" s="27">
        <f t="shared" si="30"/>
        <v>0.76750000000000007</v>
      </c>
      <c r="AA103" s="27"/>
      <c r="AB103" s="30">
        <f t="shared" si="33"/>
        <v>87.600000000000009</v>
      </c>
    </row>
    <row r="104" spans="1:28" x14ac:dyDescent="0.25">
      <c r="A104" s="27" t="s">
        <v>888</v>
      </c>
      <c r="B104" s="32" t="s">
        <v>715</v>
      </c>
      <c r="C104" s="31" t="s">
        <v>750</v>
      </c>
      <c r="D104" s="32" t="s">
        <v>713</v>
      </c>
      <c r="E104" s="31">
        <v>960</v>
      </c>
      <c r="F104" s="31">
        <v>48</v>
      </c>
      <c r="G104" s="31">
        <v>32</v>
      </c>
      <c r="H104" s="31">
        <v>775</v>
      </c>
      <c r="I104" s="31">
        <v>775</v>
      </c>
      <c r="J104" s="31">
        <v>1000</v>
      </c>
      <c r="K104" s="31">
        <v>256</v>
      </c>
      <c r="L104" s="29" t="s">
        <v>745</v>
      </c>
      <c r="M104" s="32"/>
      <c r="N104" s="32"/>
      <c r="O104" s="27">
        <f t="shared" si="31"/>
        <v>4000</v>
      </c>
      <c r="P104" s="27">
        <f t="shared" si="24"/>
        <v>744000</v>
      </c>
      <c r="Q104" s="27">
        <f t="shared" si="25"/>
        <v>37200</v>
      </c>
      <c r="R104" s="27">
        <f t="shared" si="26"/>
        <v>24800</v>
      </c>
      <c r="S104" s="27">
        <f t="shared" si="28"/>
        <v>775</v>
      </c>
      <c r="T104" s="27">
        <f t="shared" si="32"/>
        <v>1024000</v>
      </c>
      <c r="U104" s="27"/>
      <c r="V104" s="27">
        <f t="shared" si="29"/>
        <v>1.1076852310436367</v>
      </c>
      <c r="W104" s="27">
        <f>W103</f>
        <v>0.59</v>
      </c>
      <c r="X104" s="387">
        <f t="shared" si="27"/>
        <v>1</v>
      </c>
      <c r="Y104" s="27"/>
      <c r="Z104" s="27">
        <f t="shared" si="30"/>
        <v>0.64700000000000002</v>
      </c>
      <c r="AA104" s="27"/>
      <c r="AB104" s="30">
        <f t="shared" si="33"/>
        <v>80.430000000000007</v>
      </c>
    </row>
    <row r="105" spans="1:28" x14ac:dyDescent="0.25">
      <c r="A105" s="27" t="s">
        <v>888</v>
      </c>
      <c r="B105" s="32" t="s">
        <v>716</v>
      </c>
      <c r="C105" s="31" t="s">
        <v>750</v>
      </c>
      <c r="D105" s="32" t="s">
        <v>713</v>
      </c>
      <c r="E105" s="31">
        <v>800</v>
      </c>
      <c r="F105" s="31">
        <v>40</v>
      </c>
      <c r="G105" s="31">
        <v>16</v>
      </c>
      <c r="H105" s="31">
        <v>840</v>
      </c>
      <c r="I105" s="31">
        <v>840</v>
      </c>
      <c r="J105" s="31">
        <v>1050</v>
      </c>
      <c r="K105" s="31">
        <v>256</v>
      </c>
      <c r="L105" s="29" t="s">
        <v>745</v>
      </c>
      <c r="M105" s="32"/>
      <c r="N105" s="32"/>
      <c r="O105" s="27">
        <f t="shared" si="31"/>
        <v>4200</v>
      </c>
      <c r="P105" s="27">
        <f t="shared" si="24"/>
        <v>672000</v>
      </c>
      <c r="Q105" s="27">
        <f t="shared" si="25"/>
        <v>33600</v>
      </c>
      <c r="R105" s="27">
        <f t="shared" si="26"/>
        <v>13440</v>
      </c>
      <c r="S105" s="27">
        <f t="shared" si="28"/>
        <v>840</v>
      </c>
      <c r="T105" s="27">
        <f t="shared" si="32"/>
        <v>1075200</v>
      </c>
      <c r="U105" s="27"/>
      <c r="V105" s="27">
        <f t="shared" si="29"/>
        <v>1.0117586011910751</v>
      </c>
      <c r="W105" s="27">
        <f t="shared" ref="W105:W119" si="35">W104</f>
        <v>0.59</v>
      </c>
      <c r="X105" s="387">
        <f t="shared" si="27"/>
        <v>1</v>
      </c>
      <c r="Y105" s="27"/>
      <c r="Z105" s="27">
        <f t="shared" si="30"/>
        <v>0.59100000000000008</v>
      </c>
      <c r="AA105" s="27"/>
      <c r="AB105" s="30">
        <f t="shared" si="33"/>
        <v>76.87</v>
      </c>
    </row>
    <row r="106" spans="1:28" x14ac:dyDescent="0.25">
      <c r="A106" s="27" t="s">
        <v>888</v>
      </c>
      <c r="B106" s="32" t="s">
        <v>717</v>
      </c>
      <c r="C106" s="31" t="s">
        <v>750</v>
      </c>
      <c r="D106" s="32" t="s">
        <v>718</v>
      </c>
      <c r="E106" s="31">
        <v>800</v>
      </c>
      <c r="F106" s="31">
        <v>40</v>
      </c>
      <c r="G106" s="31">
        <v>16</v>
      </c>
      <c r="H106" s="31">
        <v>850</v>
      </c>
      <c r="I106" s="31">
        <v>850</v>
      </c>
      <c r="J106" s="31">
        <v>1200</v>
      </c>
      <c r="K106" s="31">
        <v>128</v>
      </c>
      <c r="L106" s="29" t="s">
        <v>745</v>
      </c>
      <c r="M106" s="32"/>
      <c r="N106" s="32"/>
      <c r="O106" s="27">
        <f t="shared" si="31"/>
        <v>4800</v>
      </c>
      <c r="P106" s="27">
        <f t="shared" si="24"/>
        <v>680000</v>
      </c>
      <c r="Q106" s="27">
        <f t="shared" si="25"/>
        <v>34000</v>
      </c>
      <c r="R106" s="27">
        <f t="shared" si="26"/>
        <v>13600</v>
      </c>
      <c r="S106" s="27">
        <f t="shared" si="28"/>
        <v>850</v>
      </c>
      <c r="T106" s="27">
        <f t="shared" si="32"/>
        <v>614400</v>
      </c>
      <c r="U106" s="27"/>
      <c r="V106" s="27">
        <f t="shared" si="29"/>
        <v>0.85250705014705352</v>
      </c>
      <c r="W106" s="27">
        <f t="shared" si="35"/>
        <v>0.59</v>
      </c>
      <c r="X106" s="387">
        <f t="shared" si="27"/>
        <v>1</v>
      </c>
      <c r="Y106" s="27"/>
      <c r="Z106" s="27">
        <f t="shared" si="30"/>
        <v>0.49790000000000001</v>
      </c>
      <c r="AA106" s="27"/>
      <c r="AB106" s="30">
        <f t="shared" si="33"/>
        <v>70.56</v>
      </c>
    </row>
    <row r="107" spans="1:28" x14ac:dyDescent="0.25">
      <c r="A107" s="27" t="s">
        <v>888</v>
      </c>
      <c r="B107" s="32" t="s">
        <v>719</v>
      </c>
      <c r="C107" s="31" t="s">
        <v>750</v>
      </c>
      <c r="D107" s="32" t="s">
        <v>718</v>
      </c>
      <c r="E107" s="31">
        <v>720</v>
      </c>
      <c r="F107" s="31">
        <v>36</v>
      </c>
      <c r="G107" s="31">
        <v>16</v>
      </c>
      <c r="H107" s="31">
        <v>700</v>
      </c>
      <c r="I107" s="31">
        <v>700</v>
      </c>
      <c r="J107" s="31">
        <v>1150</v>
      </c>
      <c r="K107" s="31">
        <v>128</v>
      </c>
      <c r="L107" s="29" t="s">
        <v>745</v>
      </c>
      <c r="M107" s="32"/>
      <c r="N107" s="32"/>
      <c r="O107" s="27">
        <f t="shared" si="31"/>
        <v>4600</v>
      </c>
      <c r="P107" s="27">
        <f t="shared" si="24"/>
        <v>504000</v>
      </c>
      <c r="Q107" s="27">
        <f t="shared" si="25"/>
        <v>25200</v>
      </c>
      <c r="R107" s="27">
        <f t="shared" si="26"/>
        <v>11200</v>
      </c>
      <c r="S107" s="27">
        <f t="shared" si="28"/>
        <v>700</v>
      </c>
      <c r="T107" s="27">
        <f t="shared" si="32"/>
        <v>588800</v>
      </c>
      <c r="U107" s="27"/>
      <c r="V107" s="27">
        <f t="shared" si="29"/>
        <v>0.70845075980854155</v>
      </c>
      <c r="W107" s="27">
        <f t="shared" si="35"/>
        <v>0.59</v>
      </c>
      <c r="X107" s="387">
        <f t="shared" si="27"/>
        <v>1</v>
      </c>
      <c r="Y107" s="27"/>
      <c r="Z107" s="27">
        <f t="shared" si="30"/>
        <v>0.4138</v>
      </c>
      <c r="AA107" s="27"/>
      <c r="AB107" s="30">
        <f t="shared" si="33"/>
        <v>64.320000000000007</v>
      </c>
    </row>
    <row r="108" spans="1:28" x14ac:dyDescent="0.25">
      <c r="A108" s="27" t="s">
        <v>888</v>
      </c>
      <c r="B108" s="32" t="s">
        <v>720</v>
      </c>
      <c r="C108" s="31" t="s">
        <v>750</v>
      </c>
      <c r="D108" s="32" t="s">
        <v>721</v>
      </c>
      <c r="E108" s="31">
        <v>480</v>
      </c>
      <c r="F108" s="31">
        <v>24</v>
      </c>
      <c r="G108" s="31">
        <v>8</v>
      </c>
      <c r="H108" s="31">
        <v>800</v>
      </c>
      <c r="I108" s="31">
        <v>800</v>
      </c>
      <c r="J108" s="31">
        <v>1000</v>
      </c>
      <c r="K108" s="31">
        <v>128</v>
      </c>
      <c r="L108" s="29" t="s">
        <v>745</v>
      </c>
      <c r="M108" s="32"/>
      <c r="N108" s="32"/>
      <c r="O108" s="27">
        <f t="shared" si="31"/>
        <v>4000</v>
      </c>
      <c r="P108" s="27">
        <f t="shared" si="24"/>
        <v>384000</v>
      </c>
      <c r="Q108" s="27">
        <f t="shared" si="25"/>
        <v>19200</v>
      </c>
      <c r="R108" s="27">
        <f t="shared" si="26"/>
        <v>6400</v>
      </c>
      <c r="S108" s="27">
        <f t="shared" si="28"/>
        <v>800</v>
      </c>
      <c r="T108" s="27">
        <f t="shared" si="32"/>
        <v>512000</v>
      </c>
      <c r="U108" s="27"/>
      <c r="V108" s="27">
        <f t="shared" si="29"/>
        <v>0.60549226155583191</v>
      </c>
      <c r="W108" s="27">
        <f t="shared" si="35"/>
        <v>0.59</v>
      </c>
      <c r="X108" s="387">
        <f t="shared" si="27"/>
        <v>1</v>
      </c>
      <c r="Y108" s="27"/>
      <c r="Z108" s="27">
        <f t="shared" si="30"/>
        <v>0.35370000000000001</v>
      </c>
      <c r="AA108" s="27"/>
      <c r="AB108" s="30">
        <f t="shared" si="33"/>
        <v>59.47</v>
      </c>
    </row>
    <row r="109" spans="1:28" x14ac:dyDescent="0.25">
      <c r="A109" s="27" t="s">
        <v>888</v>
      </c>
      <c r="B109" s="32" t="s">
        <v>722</v>
      </c>
      <c r="C109" s="31" t="s">
        <v>750</v>
      </c>
      <c r="D109" s="32" t="s">
        <v>721</v>
      </c>
      <c r="E109" s="31">
        <v>480</v>
      </c>
      <c r="F109" s="31">
        <v>24</v>
      </c>
      <c r="G109" s="31">
        <v>8</v>
      </c>
      <c r="H109" s="31">
        <v>650</v>
      </c>
      <c r="I109" s="31">
        <v>650</v>
      </c>
      <c r="J109" s="31">
        <v>1000</v>
      </c>
      <c r="K109" s="31">
        <v>128</v>
      </c>
      <c r="L109" s="29" t="s">
        <v>745</v>
      </c>
      <c r="M109" s="32"/>
      <c r="N109" s="32"/>
      <c r="O109" s="27">
        <f t="shared" si="31"/>
        <v>4000</v>
      </c>
      <c r="P109" s="27">
        <f t="shared" si="24"/>
        <v>312000</v>
      </c>
      <c r="Q109" s="27">
        <f t="shared" si="25"/>
        <v>15600</v>
      </c>
      <c r="R109" s="27">
        <f t="shared" si="26"/>
        <v>5200</v>
      </c>
      <c r="S109" s="27">
        <f t="shared" si="28"/>
        <v>650</v>
      </c>
      <c r="T109" s="27">
        <f t="shared" si="32"/>
        <v>512000</v>
      </c>
      <c r="U109" s="27"/>
      <c r="V109" s="27">
        <f t="shared" si="29"/>
        <v>0.52668468473633556</v>
      </c>
      <c r="W109" s="27">
        <f t="shared" si="35"/>
        <v>0.59</v>
      </c>
      <c r="X109" s="387">
        <f t="shared" si="27"/>
        <v>1</v>
      </c>
      <c r="Y109" s="27"/>
      <c r="Z109" s="27">
        <f t="shared" si="30"/>
        <v>0.30760000000000004</v>
      </c>
      <c r="AA109" s="27"/>
      <c r="AB109" s="30">
        <f t="shared" si="33"/>
        <v>55.46</v>
      </c>
    </row>
    <row r="110" spans="1:28" x14ac:dyDescent="0.25">
      <c r="A110" s="27" t="s">
        <v>888</v>
      </c>
      <c r="B110" s="32" t="s">
        <v>867</v>
      </c>
      <c r="C110" s="31" t="s">
        <v>750</v>
      </c>
      <c r="D110" s="32" t="s">
        <v>877</v>
      </c>
      <c r="E110" s="31">
        <f>E111*2</f>
        <v>3200</v>
      </c>
      <c r="F110" s="31">
        <f>F111*2</f>
        <v>160</v>
      </c>
      <c r="G110" s="31">
        <f>G111*2</f>
        <v>64</v>
      </c>
      <c r="H110" s="31">
        <v>725</v>
      </c>
      <c r="I110" s="31">
        <v>725</v>
      </c>
      <c r="J110" s="31">
        <v>1000</v>
      </c>
      <c r="K110" s="31">
        <v>256</v>
      </c>
      <c r="L110" s="29" t="s">
        <v>745</v>
      </c>
      <c r="M110" s="32"/>
      <c r="N110" s="32"/>
      <c r="O110" s="27">
        <f t="shared" ref="O110:O119" si="36">IF(LEFT(L110,1)="G",4*J110,2*J110)</f>
        <v>4000</v>
      </c>
      <c r="P110" s="27">
        <f t="shared" si="24"/>
        <v>2320000</v>
      </c>
      <c r="Q110" s="27">
        <f t="shared" si="25"/>
        <v>116000</v>
      </c>
      <c r="R110" s="27">
        <f t="shared" si="26"/>
        <v>46400</v>
      </c>
      <c r="S110" s="27">
        <f t="shared" si="28"/>
        <v>725</v>
      </c>
      <c r="T110" s="27">
        <f t="shared" ref="T110:T119" si="37">O110*K110</f>
        <v>1024000</v>
      </c>
      <c r="U110" s="27"/>
      <c r="V110" s="27">
        <f t="shared" si="29"/>
        <v>1.9876656656433238</v>
      </c>
      <c r="W110" s="27">
        <f t="shared" si="35"/>
        <v>0.59</v>
      </c>
      <c r="X110" s="387">
        <f t="shared" si="27"/>
        <v>1</v>
      </c>
      <c r="Y110" s="27"/>
      <c r="Z110" s="27">
        <f t="shared" si="30"/>
        <v>1.1611</v>
      </c>
      <c r="AA110" s="27"/>
      <c r="AB110" s="30">
        <f t="shared" ref="AB110:AB119" si="38">FLOOR(POWER(Z110,0.5)*100,0.01)</f>
        <v>107.75</v>
      </c>
    </row>
    <row r="111" spans="1:28" x14ac:dyDescent="0.25">
      <c r="A111" s="27" t="s">
        <v>888</v>
      </c>
      <c r="B111" s="32" t="s">
        <v>868</v>
      </c>
      <c r="C111" s="31" t="s">
        <v>750</v>
      </c>
      <c r="D111" s="32" t="s">
        <v>878</v>
      </c>
      <c r="E111" s="31">
        <v>1600</v>
      </c>
      <c r="F111" s="31">
        <v>80</v>
      </c>
      <c r="G111" s="31">
        <v>32</v>
      </c>
      <c r="H111" s="31">
        <v>850</v>
      </c>
      <c r="I111" s="31">
        <v>850</v>
      </c>
      <c r="J111" s="31">
        <v>1200</v>
      </c>
      <c r="K111" s="31">
        <v>256</v>
      </c>
      <c r="L111" s="29" t="s">
        <v>745</v>
      </c>
      <c r="M111" s="32"/>
      <c r="N111" s="32"/>
      <c r="O111" s="27">
        <f t="shared" si="36"/>
        <v>4800</v>
      </c>
      <c r="P111" s="27">
        <f t="shared" si="24"/>
        <v>1360000</v>
      </c>
      <c r="Q111" s="27">
        <f t="shared" si="25"/>
        <v>68000</v>
      </c>
      <c r="R111" s="27">
        <f t="shared" si="26"/>
        <v>27200</v>
      </c>
      <c r="S111" s="27">
        <f t="shared" si="28"/>
        <v>850</v>
      </c>
      <c r="T111" s="27">
        <f t="shared" si="37"/>
        <v>1228800</v>
      </c>
      <c r="U111" s="27"/>
      <c r="V111" s="27">
        <f t="shared" si="29"/>
        <v>1.4966807669607736</v>
      </c>
      <c r="W111" s="27">
        <f t="shared" si="35"/>
        <v>0.59</v>
      </c>
      <c r="X111" s="387">
        <f t="shared" si="27"/>
        <v>1</v>
      </c>
      <c r="Y111" s="27"/>
      <c r="Z111" s="27">
        <f t="shared" si="30"/>
        <v>0.87420000000000009</v>
      </c>
      <c r="AA111" s="27"/>
      <c r="AB111" s="30">
        <f t="shared" si="38"/>
        <v>93.49</v>
      </c>
    </row>
    <row r="112" spans="1:28" x14ac:dyDescent="0.25">
      <c r="A112" s="27" t="s">
        <v>888</v>
      </c>
      <c r="B112" s="32" t="s">
        <v>869</v>
      </c>
      <c r="C112" s="31" t="s">
        <v>750</v>
      </c>
      <c r="D112" s="32" t="s">
        <v>878</v>
      </c>
      <c r="E112" s="31">
        <v>1440</v>
      </c>
      <c r="F112" s="31">
        <v>72</v>
      </c>
      <c r="G112" s="31">
        <v>32</v>
      </c>
      <c r="H112" s="31">
        <v>725</v>
      </c>
      <c r="I112" s="31">
        <v>725</v>
      </c>
      <c r="J112" s="31">
        <v>1200</v>
      </c>
      <c r="K112" s="31">
        <v>256</v>
      </c>
      <c r="L112" s="29" t="s">
        <v>745</v>
      </c>
      <c r="M112" s="32"/>
      <c r="N112" s="32"/>
      <c r="O112" s="27">
        <f t="shared" si="36"/>
        <v>4800</v>
      </c>
      <c r="P112" s="27">
        <f t="shared" si="24"/>
        <v>1044000</v>
      </c>
      <c r="Q112" s="27">
        <f t="shared" si="25"/>
        <v>52200</v>
      </c>
      <c r="R112" s="27">
        <f t="shared" si="26"/>
        <v>23200</v>
      </c>
      <c r="S112" s="27">
        <f t="shared" si="28"/>
        <v>725</v>
      </c>
      <c r="T112" s="27">
        <f t="shared" si="37"/>
        <v>1228800</v>
      </c>
      <c r="U112" s="27"/>
      <c r="V112" s="27">
        <f t="shared" si="29"/>
        <v>1.2931159451931988</v>
      </c>
      <c r="W112" s="27">
        <f t="shared" si="35"/>
        <v>0.59</v>
      </c>
      <c r="X112" s="387">
        <f t="shared" si="27"/>
        <v>1</v>
      </c>
      <c r="Y112" s="27"/>
      <c r="Z112" s="27">
        <f t="shared" si="30"/>
        <v>0.75530000000000008</v>
      </c>
      <c r="AA112" s="27"/>
      <c r="AB112" s="30">
        <f t="shared" si="38"/>
        <v>86.9</v>
      </c>
    </row>
    <row r="113" spans="1:28" x14ac:dyDescent="0.25">
      <c r="A113" s="27" t="s">
        <v>888</v>
      </c>
      <c r="B113" s="32" t="s">
        <v>870</v>
      </c>
      <c r="C113" s="31" t="s">
        <v>750</v>
      </c>
      <c r="D113" s="32" t="s">
        <v>878</v>
      </c>
      <c r="E113" s="31">
        <v>1120</v>
      </c>
      <c r="F113" s="31">
        <v>56</v>
      </c>
      <c r="G113" s="31">
        <v>16</v>
      </c>
      <c r="H113" s="31">
        <v>800</v>
      </c>
      <c r="I113" s="31">
        <v>800</v>
      </c>
      <c r="J113" s="31">
        <v>1000</v>
      </c>
      <c r="K113" s="31">
        <v>256</v>
      </c>
      <c r="L113" s="29" t="s">
        <v>745</v>
      </c>
      <c r="M113" s="32"/>
      <c r="N113" s="32"/>
      <c r="O113" s="27">
        <f t="shared" si="36"/>
        <v>4000</v>
      </c>
      <c r="P113" s="27">
        <f t="shared" si="24"/>
        <v>896000</v>
      </c>
      <c r="Q113" s="27">
        <f t="shared" si="25"/>
        <v>44800</v>
      </c>
      <c r="R113" s="27">
        <f t="shared" si="26"/>
        <v>12800</v>
      </c>
      <c r="S113" s="27">
        <f t="shared" si="28"/>
        <v>800</v>
      </c>
      <c r="T113" s="27">
        <f t="shared" si="37"/>
        <v>1024000</v>
      </c>
      <c r="U113" s="27"/>
      <c r="V113" s="27">
        <f t="shared" si="29"/>
        <v>1.0634441012407718</v>
      </c>
      <c r="W113" s="27">
        <f t="shared" si="35"/>
        <v>0.59</v>
      </c>
      <c r="X113" s="387">
        <f t="shared" si="27"/>
        <v>1</v>
      </c>
      <c r="Y113" s="27"/>
      <c r="Z113" s="27">
        <f t="shared" si="30"/>
        <v>0.62119999999999997</v>
      </c>
      <c r="AA113" s="27"/>
      <c r="AB113" s="30">
        <f t="shared" si="38"/>
        <v>78.81</v>
      </c>
    </row>
    <row r="114" spans="1:28" x14ac:dyDescent="0.25">
      <c r="A114" s="27" t="s">
        <v>888</v>
      </c>
      <c r="B114" s="32" t="s">
        <v>871</v>
      </c>
      <c r="C114" s="31" t="s">
        <v>750</v>
      </c>
      <c r="D114" s="32" t="s">
        <v>879</v>
      </c>
      <c r="E114" s="31">
        <v>800</v>
      </c>
      <c r="F114" s="31">
        <v>40</v>
      </c>
      <c r="G114" s="31">
        <v>16</v>
      </c>
      <c r="H114" s="31">
        <v>850</v>
      </c>
      <c r="I114" s="31">
        <v>850</v>
      </c>
      <c r="J114" s="31">
        <v>1200</v>
      </c>
      <c r="K114" s="31">
        <v>128</v>
      </c>
      <c r="L114" s="29" t="s">
        <v>745</v>
      </c>
      <c r="M114" s="32"/>
      <c r="N114" s="32"/>
      <c r="O114" s="27">
        <f t="shared" si="36"/>
        <v>4800</v>
      </c>
      <c r="P114" s="27">
        <f t="shared" si="24"/>
        <v>680000</v>
      </c>
      <c r="Q114" s="27">
        <f t="shared" si="25"/>
        <v>34000</v>
      </c>
      <c r="R114" s="27">
        <f t="shared" si="26"/>
        <v>13600</v>
      </c>
      <c r="S114" s="27">
        <f t="shared" si="28"/>
        <v>850</v>
      </c>
      <c r="T114" s="27">
        <f t="shared" si="37"/>
        <v>614400</v>
      </c>
      <c r="U114" s="27"/>
      <c r="V114" s="27">
        <f t="shared" si="29"/>
        <v>0.85250705014705352</v>
      </c>
      <c r="W114" s="27">
        <f t="shared" si="35"/>
        <v>0.59</v>
      </c>
      <c r="X114" s="387">
        <f t="shared" si="27"/>
        <v>1</v>
      </c>
      <c r="Y114" s="27"/>
      <c r="Z114" s="27">
        <f t="shared" si="30"/>
        <v>0.49790000000000001</v>
      </c>
      <c r="AA114" s="27"/>
      <c r="AB114" s="30">
        <f t="shared" si="38"/>
        <v>70.56</v>
      </c>
    </row>
    <row r="115" spans="1:28" x14ac:dyDescent="0.25">
      <c r="A115" s="27" t="s">
        <v>888</v>
      </c>
      <c r="B115" s="32" t="s">
        <v>872</v>
      </c>
      <c r="C115" s="31" t="s">
        <v>750</v>
      </c>
      <c r="D115" s="32" t="s">
        <v>879</v>
      </c>
      <c r="E115" s="31">
        <v>720</v>
      </c>
      <c r="F115" s="31">
        <v>36</v>
      </c>
      <c r="G115" s="31">
        <v>16</v>
      </c>
      <c r="H115" s="31">
        <v>700</v>
      </c>
      <c r="I115" s="31">
        <v>700</v>
      </c>
      <c r="J115" s="31">
        <v>1150</v>
      </c>
      <c r="K115" s="31">
        <v>128</v>
      </c>
      <c r="L115" s="29" t="s">
        <v>745</v>
      </c>
      <c r="M115" s="32"/>
      <c r="N115" s="32"/>
      <c r="O115" s="27">
        <f t="shared" si="36"/>
        <v>4600</v>
      </c>
      <c r="P115" s="27">
        <f t="shared" si="24"/>
        <v>504000</v>
      </c>
      <c r="Q115" s="27">
        <f t="shared" si="25"/>
        <v>25200</v>
      </c>
      <c r="R115" s="27">
        <f t="shared" si="26"/>
        <v>11200</v>
      </c>
      <c r="S115" s="27">
        <f t="shared" si="28"/>
        <v>700</v>
      </c>
      <c r="T115" s="27">
        <f t="shared" si="37"/>
        <v>588800</v>
      </c>
      <c r="U115" s="27"/>
      <c r="V115" s="27">
        <f t="shared" si="29"/>
        <v>0.70845075980854155</v>
      </c>
      <c r="W115" s="27">
        <f t="shared" si="35"/>
        <v>0.59</v>
      </c>
      <c r="X115" s="387">
        <f t="shared" si="27"/>
        <v>1</v>
      </c>
      <c r="Y115" s="27"/>
      <c r="Z115" s="27">
        <f t="shared" si="30"/>
        <v>0.4138</v>
      </c>
      <c r="AA115" s="27"/>
      <c r="AB115" s="30">
        <f t="shared" si="38"/>
        <v>64.320000000000007</v>
      </c>
    </row>
    <row r="116" spans="1:28" x14ac:dyDescent="0.25">
      <c r="A116" s="27" t="s">
        <v>888</v>
      </c>
      <c r="B116" s="32" t="s">
        <v>873</v>
      </c>
      <c r="C116" s="31" t="s">
        <v>750</v>
      </c>
      <c r="D116" s="32" t="s">
        <v>880</v>
      </c>
      <c r="E116" s="31">
        <v>400</v>
      </c>
      <c r="F116" s="31">
        <v>20</v>
      </c>
      <c r="G116" s="31">
        <v>8</v>
      </c>
      <c r="H116" s="31">
        <v>775</v>
      </c>
      <c r="I116" s="31">
        <v>775</v>
      </c>
      <c r="J116" s="31">
        <v>1000</v>
      </c>
      <c r="K116" s="31">
        <v>128</v>
      </c>
      <c r="L116" s="29" t="s">
        <v>745</v>
      </c>
      <c r="M116" s="32"/>
      <c r="N116" s="32"/>
      <c r="O116" s="27">
        <f t="shared" si="36"/>
        <v>4000</v>
      </c>
      <c r="P116" s="27">
        <f t="shared" si="24"/>
        <v>310000</v>
      </c>
      <c r="Q116" s="27">
        <f t="shared" si="25"/>
        <v>15500</v>
      </c>
      <c r="R116" s="27">
        <f t="shared" si="26"/>
        <v>6200</v>
      </c>
      <c r="S116" s="27">
        <f t="shared" si="28"/>
        <v>775</v>
      </c>
      <c r="T116" s="27">
        <f t="shared" si="37"/>
        <v>512000</v>
      </c>
      <c r="U116" s="27"/>
      <c r="V116" s="27">
        <f t="shared" si="29"/>
        <v>0.56749640575876015</v>
      </c>
      <c r="W116" s="27">
        <f t="shared" si="35"/>
        <v>0.59</v>
      </c>
      <c r="X116" s="387">
        <f t="shared" si="27"/>
        <v>1</v>
      </c>
      <c r="Y116" s="27"/>
      <c r="Z116" s="27">
        <f t="shared" si="30"/>
        <v>0.33150000000000002</v>
      </c>
      <c r="AA116" s="27"/>
      <c r="AB116" s="30">
        <f t="shared" si="38"/>
        <v>57.57</v>
      </c>
    </row>
    <row r="117" spans="1:28" x14ac:dyDescent="0.25">
      <c r="A117" s="27" t="s">
        <v>888</v>
      </c>
      <c r="B117" s="32" t="s">
        <v>874</v>
      </c>
      <c r="C117" s="31" t="s">
        <v>750</v>
      </c>
      <c r="D117" s="32" t="s">
        <v>880</v>
      </c>
      <c r="E117" s="31">
        <v>400</v>
      </c>
      <c r="F117" s="31">
        <v>20</v>
      </c>
      <c r="G117" s="31">
        <v>8</v>
      </c>
      <c r="H117" s="31">
        <v>650</v>
      </c>
      <c r="I117" s="31">
        <v>650</v>
      </c>
      <c r="J117" s="31">
        <v>900</v>
      </c>
      <c r="K117" s="31">
        <v>128</v>
      </c>
      <c r="L117" s="29" t="s">
        <v>745</v>
      </c>
      <c r="M117" s="32"/>
      <c r="N117" s="32"/>
      <c r="O117" s="27">
        <f t="shared" si="36"/>
        <v>3600</v>
      </c>
      <c r="P117" s="27">
        <f t="shared" si="24"/>
        <v>260000</v>
      </c>
      <c r="Q117" s="27">
        <f t="shared" si="25"/>
        <v>13000</v>
      </c>
      <c r="R117" s="27">
        <f t="shared" si="26"/>
        <v>5200</v>
      </c>
      <c r="S117" s="27">
        <f t="shared" si="28"/>
        <v>650</v>
      </c>
      <c r="T117" s="27">
        <f t="shared" si="37"/>
        <v>460800</v>
      </c>
      <c r="U117" s="27"/>
      <c r="V117" s="27">
        <f t="shared" si="29"/>
        <v>0.48731478714772958</v>
      </c>
      <c r="W117" s="27">
        <f t="shared" si="35"/>
        <v>0.59</v>
      </c>
      <c r="X117" s="387">
        <f t="shared" si="27"/>
        <v>1</v>
      </c>
      <c r="Y117" s="27"/>
      <c r="Z117" s="27">
        <f t="shared" si="30"/>
        <v>0.28460000000000002</v>
      </c>
      <c r="AA117" s="27"/>
      <c r="AB117" s="30">
        <f t="shared" si="38"/>
        <v>53.34</v>
      </c>
    </row>
    <row r="118" spans="1:28" x14ac:dyDescent="0.25">
      <c r="A118" s="27" t="s">
        <v>888</v>
      </c>
      <c r="B118" s="32" t="s">
        <v>875</v>
      </c>
      <c r="C118" s="31" t="s">
        <v>750</v>
      </c>
      <c r="D118" s="32" t="s">
        <v>880</v>
      </c>
      <c r="E118" s="31">
        <v>320</v>
      </c>
      <c r="F118" s="31">
        <v>16</v>
      </c>
      <c r="G118" s="31">
        <v>8</v>
      </c>
      <c r="H118" s="31">
        <v>550</v>
      </c>
      <c r="I118" s="31">
        <v>550</v>
      </c>
      <c r="J118" s="31">
        <v>900</v>
      </c>
      <c r="K118" s="31">
        <v>128</v>
      </c>
      <c r="L118" s="29" t="s">
        <v>745</v>
      </c>
      <c r="M118" s="32"/>
      <c r="N118" s="32"/>
      <c r="O118" s="27">
        <f t="shared" si="36"/>
        <v>3600</v>
      </c>
      <c r="P118" s="27">
        <f t="shared" si="24"/>
        <v>176000</v>
      </c>
      <c r="Q118" s="27">
        <f t="shared" si="25"/>
        <v>8800</v>
      </c>
      <c r="R118" s="27">
        <f t="shared" si="26"/>
        <v>4400</v>
      </c>
      <c r="S118" s="27">
        <f t="shared" si="28"/>
        <v>550</v>
      </c>
      <c r="T118" s="27">
        <f t="shared" si="37"/>
        <v>460800</v>
      </c>
      <c r="U118" s="27"/>
      <c r="V118" s="27">
        <f t="shared" si="29"/>
        <v>0.41911454484759958</v>
      </c>
      <c r="W118" s="27">
        <f t="shared" si="35"/>
        <v>0.59</v>
      </c>
      <c r="X118" s="387">
        <f t="shared" si="27"/>
        <v>1</v>
      </c>
      <c r="Y118" s="27"/>
      <c r="Z118" s="27">
        <f t="shared" si="30"/>
        <v>0.24480000000000002</v>
      </c>
      <c r="AA118" s="27"/>
      <c r="AB118" s="30">
        <f t="shared" si="38"/>
        <v>49.47</v>
      </c>
    </row>
    <row r="119" spans="1:28" x14ac:dyDescent="0.25">
      <c r="A119" s="27" t="s">
        <v>888</v>
      </c>
      <c r="B119" s="32" t="s">
        <v>876</v>
      </c>
      <c r="C119" s="31" t="s">
        <v>750</v>
      </c>
      <c r="D119" s="32" t="s">
        <v>881</v>
      </c>
      <c r="E119" s="31">
        <v>80</v>
      </c>
      <c r="F119" s="31">
        <v>8</v>
      </c>
      <c r="G119" s="31">
        <v>4</v>
      </c>
      <c r="H119" s="31">
        <v>650</v>
      </c>
      <c r="I119" s="31">
        <v>650</v>
      </c>
      <c r="J119" s="31">
        <v>800</v>
      </c>
      <c r="K119" s="31">
        <v>128</v>
      </c>
      <c r="L119" s="29" t="s">
        <v>862</v>
      </c>
      <c r="M119" s="32"/>
      <c r="N119" s="32"/>
      <c r="O119" s="27">
        <f t="shared" si="36"/>
        <v>1600</v>
      </c>
      <c r="P119" s="27">
        <f t="shared" si="24"/>
        <v>52000</v>
      </c>
      <c r="Q119" s="27">
        <f t="shared" si="25"/>
        <v>5200</v>
      </c>
      <c r="R119" s="27">
        <f t="shared" si="26"/>
        <v>2600</v>
      </c>
      <c r="S119" s="27">
        <f t="shared" si="28"/>
        <v>650</v>
      </c>
      <c r="T119" s="27">
        <f t="shared" si="37"/>
        <v>204800</v>
      </c>
      <c r="U119" s="27"/>
      <c r="V119" s="27">
        <f t="shared" si="29"/>
        <v>0.28856338652547409</v>
      </c>
      <c r="W119" s="27">
        <f t="shared" si="35"/>
        <v>0.59</v>
      </c>
      <c r="X119" s="387">
        <f t="shared" si="27"/>
        <v>1</v>
      </c>
      <c r="Y119" s="27"/>
      <c r="Z119" s="27">
        <f t="shared" si="30"/>
        <v>0.16850000000000001</v>
      </c>
      <c r="AA119" s="27"/>
      <c r="AB119" s="30">
        <f t="shared" si="38"/>
        <v>41.04</v>
      </c>
    </row>
    <row r="120" spans="1:28" x14ac:dyDescent="0.25">
      <c r="A120" s="36" t="s">
        <v>889</v>
      </c>
      <c r="B120" s="37" t="s">
        <v>882</v>
      </c>
      <c r="C120" s="38" t="s">
        <v>883</v>
      </c>
      <c r="D120" s="37"/>
      <c r="E120" s="38">
        <v>576</v>
      </c>
      <c r="F120" s="38">
        <v>72</v>
      </c>
      <c r="G120" s="38">
        <v>9</v>
      </c>
      <c r="H120" s="38">
        <v>350</v>
      </c>
      <c r="I120" s="38">
        <v>1150</v>
      </c>
      <c r="J120" s="38">
        <v>2133</v>
      </c>
      <c r="K120" s="38">
        <v>64</v>
      </c>
      <c r="L120" s="39" t="s">
        <v>760</v>
      </c>
      <c r="M120" s="37"/>
      <c r="N120" s="37"/>
      <c r="O120" s="36">
        <f>IF(LEFT(L120,1)="G",4*J120,2*J120)</f>
        <v>4266</v>
      </c>
      <c r="P120" s="36">
        <f t="shared" si="24"/>
        <v>662400</v>
      </c>
      <c r="Q120" s="36">
        <f t="shared" si="25"/>
        <v>82800</v>
      </c>
      <c r="R120" s="36">
        <f t="shared" si="26"/>
        <v>10350</v>
      </c>
      <c r="S120" s="36">
        <f>I120</f>
        <v>1150</v>
      </c>
      <c r="T120" s="36">
        <f>O120*K120</f>
        <v>273024</v>
      </c>
      <c r="U120" s="36"/>
      <c r="V120" s="36">
        <f t="shared" si="29"/>
        <v>0.89440074145356907</v>
      </c>
      <c r="W120" s="36">
        <v>0.85299999999999998</v>
      </c>
      <c r="X120" s="388">
        <f t="shared" si="27"/>
        <v>1</v>
      </c>
      <c r="Y120" s="36"/>
      <c r="Z120" s="36">
        <f t="shared" si="30"/>
        <v>0.75530000000000008</v>
      </c>
      <c r="AA120" s="36"/>
      <c r="AB120" s="40">
        <f>FLOOR(POWER(Z120,0.5)*100,0.01)</f>
        <v>86.9</v>
      </c>
    </row>
    <row r="121" spans="1:28" x14ac:dyDescent="0.25">
      <c r="A121" s="36" t="s">
        <v>889</v>
      </c>
      <c r="B121" s="41" t="s">
        <v>2981</v>
      </c>
      <c r="C121" s="39" t="s">
        <v>753</v>
      </c>
      <c r="D121" s="36"/>
      <c r="E121" s="39">
        <v>194</v>
      </c>
      <c r="F121" s="39">
        <v>24</v>
      </c>
      <c r="G121" s="39">
        <v>3</v>
      </c>
      <c r="H121" s="39">
        <v>350</v>
      </c>
      <c r="I121" s="39">
        <v>1050</v>
      </c>
      <c r="J121" s="39">
        <v>2133</v>
      </c>
      <c r="K121" s="39">
        <v>64</v>
      </c>
      <c r="L121" s="39" t="s">
        <v>754</v>
      </c>
      <c r="M121" s="36"/>
      <c r="N121" s="36"/>
      <c r="O121" s="36">
        <f t="shared" si="31"/>
        <v>4266</v>
      </c>
      <c r="P121" s="36">
        <f t="shared" si="24"/>
        <v>203700</v>
      </c>
      <c r="Q121" s="36">
        <f t="shared" si="25"/>
        <v>25200</v>
      </c>
      <c r="R121" s="36">
        <f t="shared" si="26"/>
        <v>3150</v>
      </c>
      <c r="S121" s="36">
        <f t="shared" ref="S121:S152" si="39">I121</f>
        <v>1050</v>
      </c>
      <c r="T121" s="36">
        <f t="shared" si="32"/>
        <v>273024</v>
      </c>
      <c r="U121" s="36"/>
      <c r="V121" s="36">
        <f t="shared" si="29"/>
        <v>0.51301427881150152</v>
      </c>
      <c r="W121" s="36">
        <f>W120</f>
        <v>0.85299999999999998</v>
      </c>
      <c r="X121" s="388">
        <f t="shared" si="27"/>
        <v>1</v>
      </c>
      <c r="Y121" s="36"/>
      <c r="Z121" s="36">
        <f t="shared" si="30"/>
        <v>0.43320000000000003</v>
      </c>
      <c r="AA121" s="36"/>
      <c r="AB121" s="40">
        <f t="shared" si="33"/>
        <v>65.81</v>
      </c>
    </row>
    <row r="122" spans="1:28" x14ac:dyDescent="0.25">
      <c r="A122" s="36" t="s">
        <v>889</v>
      </c>
      <c r="B122" s="41" t="s">
        <v>539</v>
      </c>
      <c r="C122" s="39" t="s">
        <v>753</v>
      </c>
      <c r="D122" s="36"/>
      <c r="E122" s="39">
        <v>96</v>
      </c>
      <c r="F122" s="39">
        <v>12</v>
      </c>
      <c r="G122" s="39">
        <v>3</v>
      </c>
      <c r="H122" s="39">
        <v>350</v>
      </c>
      <c r="I122" s="39">
        <v>1000</v>
      </c>
      <c r="J122" s="39">
        <v>2133</v>
      </c>
      <c r="K122" s="39">
        <v>64</v>
      </c>
      <c r="L122" s="39" t="s">
        <v>754</v>
      </c>
      <c r="M122" s="36"/>
      <c r="N122" s="36"/>
      <c r="O122" s="36">
        <f t="shared" si="31"/>
        <v>4266</v>
      </c>
      <c r="P122" s="36">
        <f t="shared" si="24"/>
        <v>96000</v>
      </c>
      <c r="Q122" s="36">
        <f t="shared" si="25"/>
        <v>12000</v>
      </c>
      <c r="R122" s="36">
        <f t="shared" si="26"/>
        <v>3000</v>
      </c>
      <c r="S122" s="36">
        <f t="shared" si="39"/>
        <v>1000</v>
      </c>
      <c r="T122" s="36">
        <f t="shared" si="32"/>
        <v>273024</v>
      </c>
      <c r="U122" s="36"/>
      <c r="V122" s="36">
        <f t="shared" si="29"/>
        <v>0.4376643162869388</v>
      </c>
      <c r="W122" s="36">
        <f>W121</f>
        <v>0.85299999999999998</v>
      </c>
      <c r="X122" s="388">
        <f t="shared" si="27"/>
        <v>1</v>
      </c>
      <c r="Y122" s="36"/>
      <c r="Z122" s="36">
        <f t="shared" si="30"/>
        <v>0.36960000000000004</v>
      </c>
      <c r="AA122" s="36"/>
      <c r="AB122" s="40">
        <f t="shared" si="33"/>
        <v>60.79</v>
      </c>
    </row>
    <row r="123" spans="1:28" x14ac:dyDescent="0.25">
      <c r="A123" s="36" t="s">
        <v>889</v>
      </c>
      <c r="B123" s="41" t="s">
        <v>376</v>
      </c>
      <c r="C123" s="39" t="s">
        <v>759</v>
      </c>
      <c r="D123" s="36"/>
      <c r="E123" s="39">
        <v>384</v>
      </c>
      <c r="F123" s="39">
        <v>48</v>
      </c>
      <c r="G123" s="39">
        <v>6</v>
      </c>
      <c r="H123" s="39">
        <v>350</v>
      </c>
      <c r="I123" s="39">
        <v>1100</v>
      </c>
      <c r="J123" s="39">
        <v>2133</v>
      </c>
      <c r="K123" s="39">
        <v>64</v>
      </c>
      <c r="L123" s="39" t="s">
        <v>760</v>
      </c>
      <c r="M123" s="36"/>
      <c r="N123" s="36"/>
      <c r="O123" s="36">
        <f t="shared" si="31"/>
        <v>4266</v>
      </c>
      <c r="P123" s="36">
        <f t="shared" si="24"/>
        <v>422400</v>
      </c>
      <c r="Q123" s="36">
        <f t="shared" si="25"/>
        <v>52800</v>
      </c>
      <c r="R123" s="36">
        <f t="shared" si="26"/>
        <v>6600</v>
      </c>
      <c r="S123" s="36">
        <f t="shared" si="39"/>
        <v>1100</v>
      </c>
      <c r="T123" s="36">
        <f t="shared" si="32"/>
        <v>273024</v>
      </c>
      <c r="U123" s="36"/>
      <c r="V123" s="36">
        <f t="shared" si="29"/>
        <v>0.69599076834947682</v>
      </c>
      <c r="W123" s="36">
        <v>0.6</v>
      </c>
      <c r="X123" s="388">
        <f t="shared" si="27"/>
        <v>1</v>
      </c>
      <c r="Y123" s="36"/>
      <c r="Z123" s="36">
        <f t="shared" si="30"/>
        <v>0.41340000000000005</v>
      </c>
      <c r="AA123" s="36"/>
      <c r="AB123" s="40">
        <f t="shared" si="33"/>
        <v>64.290000000000006</v>
      </c>
    </row>
    <row r="124" spans="1:28" x14ac:dyDescent="0.25">
      <c r="A124" s="36" t="s">
        <v>889</v>
      </c>
      <c r="B124" s="41" t="s">
        <v>884</v>
      </c>
      <c r="C124" s="39" t="s">
        <v>885</v>
      </c>
      <c r="D124" s="36"/>
      <c r="E124" s="39">
        <v>320</v>
      </c>
      <c r="F124" s="39">
        <v>40</v>
      </c>
      <c r="G124" s="39">
        <v>4</v>
      </c>
      <c r="H124" s="39">
        <v>200</v>
      </c>
      <c r="I124" s="39">
        <v>1300</v>
      </c>
      <c r="J124" s="39">
        <v>1600</v>
      </c>
      <c r="K124" s="39">
        <v>64</v>
      </c>
      <c r="L124" s="39" t="s">
        <v>760</v>
      </c>
      <c r="M124" s="36"/>
      <c r="N124" s="36"/>
      <c r="O124" s="36">
        <f t="shared" si="31"/>
        <v>3200</v>
      </c>
      <c r="P124" s="36">
        <f t="shared" si="24"/>
        <v>416000</v>
      </c>
      <c r="Q124" s="36">
        <f t="shared" si="25"/>
        <v>52000</v>
      </c>
      <c r="R124" s="36">
        <f t="shared" si="26"/>
        <v>5200</v>
      </c>
      <c r="S124" s="36">
        <f t="shared" si="39"/>
        <v>1300</v>
      </c>
      <c r="T124" s="36">
        <f>O124*K124</f>
        <v>204800</v>
      </c>
      <c r="U124" s="36"/>
      <c r="V124" s="36">
        <f t="shared" si="29"/>
        <v>0.69224069556137868</v>
      </c>
      <c r="W124" s="36">
        <v>0.55000000000000004</v>
      </c>
      <c r="X124" s="388">
        <f t="shared" si="27"/>
        <v>1</v>
      </c>
      <c r="Y124" s="36"/>
      <c r="Z124" s="36">
        <f t="shared" si="30"/>
        <v>0.37690000000000001</v>
      </c>
      <c r="AA124" s="36"/>
      <c r="AB124" s="40">
        <f>FLOOR(POWER(Z124,0.5)*100,0.01)</f>
        <v>61.39</v>
      </c>
    </row>
    <row r="125" spans="1:28" x14ac:dyDescent="0.25">
      <c r="A125" s="36" t="s">
        <v>889</v>
      </c>
      <c r="B125" s="41" t="s">
        <v>440</v>
      </c>
      <c r="C125" s="39" t="s">
        <v>758</v>
      </c>
      <c r="D125" s="36"/>
      <c r="E125" s="39">
        <v>160</v>
      </c>
      <c r="F125" s="39">
        <v>20</v>
      </c>
      <c r="G125" s="39">
        <v>2</v>
      </c>
      <c r="H125" s="39">
        <v>350</v>
      </c>
      <c r="I125" s="39">
        <v>1300</v>
      </c>
      <c r="J125" s="39">
        <v>1600</v>
      </c>
      <c r="K125" s="39">
        <v>64</v>
      </c>
      <c r="L125" s="39" t="s">
        <v>746</v>
      </c>
      <c r="M125" s="36"/>
      <c r="N125" s="36"/>
      <c r="O125" s="36">
        <f t="shared" si="31"/>
        <v>3200</v>
      </c>
      <c r="P125" s="36">
        <f t="shared" si="24"/>
        <v>208000</v>
      </c>
      <c r="Q125" s="36">
        <f t="shared" si="25"/>
        <v>26000</v>
      </c>
      <c r="R125" s="36">
        <f t="shared" si="26"/>
        <v>2600</v>
      </c>
      <c r="S125" s="36">
        <f t="shared" si="39"/>
        <v>1300</v>
      </c>
      <c r="T125" s="36">
        <f t="shared" si="32"/>
        <v>204800</v>
      </c>
      <c r="U125" s="36"/>
      <c r="V125" s="36">
        <f t="shared" si="29"/>
        <v>0.54247111030792239</v>
      </c>
      <c r="W125" s="36">
        <f>W124</f>
        <v>0.55000000000000004</v>
      </c>
      <c r="X125" s="388">
        <f t="shared" si="27"/>
        <v>1</v>
      </c>
      <c r="Y125" s="36"/>
      <c r="Z125" s="36">
        <f t="shared" si="30"/>
        <v>0.2954</v>
      </c>
      <c r="AA125" s="36"/>
      <c r="AB125" s="40">
        <f t="shared" si="33"/>
        <v>54.35</v>
      </c>
    </row>
    <row r="126" spans="1:28" x14ac:dyDescent="0.25">
      <c r="A126" s="36" t="s">
        <v>889</v>
      </c>
      <c r="B126" s="41" t="s">
        <v>425</v>
      </c>
      <c r="C126" s="39" t="s">
        <v>758</v>
      </c>
      <c r="D126" s="36"/>
      <c r="E126" s="39">
        <v>160</v>
      </c>
      <c r="F126" s="39">
        <v>20</v>
      </c>
      <c r="G126" s="39">
        <v>2</v>
      </c>
      <c r="H126" s="39">
        <v>350</v>
      </c>
      <c r="I126" s="39">
        <v>1200</v>
      </c>
      <c r="J126" s="39">
        <v>1600</v>
      </c>
      <c r="K126" s="39">
        <v>64</v>
      </c>
      <c r="L126" s="39" t="s">
        <v>746</v>
      </c>
      <c r="M126" s="36"/>
      <c r="N126" s="36"/>
      <c r="O126" s="36">
        <f t="shared" si="31"/>
        <v>3200</v>
      </c>
      <c r="P126" s="36">
        <f t="shared" si="24"/>
        <v>192000</v>
      </c>
      <c r="Q126" s="36">
        <f t="shared" si="25"/>
        <v>24000</v>
      </c>
      <c r="R126" s="36">
        <f t="shared" si="26"/>
        <v>2400</v>
      </c>
      <c r="S126" s="36">
        <f t="shared" si="39"/>
        <v>1200</v>
      </c>
      <c r="T126" s="36">
        <f t="shared" si="32"/>
        <v>204800</v>
      </c>
      <c r="U126" s="36"/>
      <c r="V126" s="36">
        <f t="shared" si="29"/>
        <v>0.5064405690591649</v>
      </c>
      <c r="W126" s="36">
        <f>W125</f>
        <v>0.55000000000000004</v>
      </c>
      <c r="X126" s="388">
        <f t="shared" si="27"/>
        <v>1</v>
      </c>
      <c r="Y126" s="36"/>
      <c r="Z126" s="36">
        <f t="shared" si="30"/>
        <v>0.2757</v>
      </c>
      <c r="AA126" s="36"/>
      <c r="AB126" s="40">
        <f t="shared" si="33"/>
        <v>52.5</v>
      </c>
    </row>
    <row r="127" spans="1:28" x14ac:dyDescent="0.25">
      <c r="A127" s="36" t="s">
        <v>889</v>
      </c>
      <c r="B127" s="41" t="s">
        <v>388</v>
      </c>
      <c r="C127" s="39" t="s">
        <v>758</v>
      </c>
      <c r="D127" s="36"/>
      <c r="E127" s="39">
        <v>160</v>
      </c>
      <c r="F127" s="39">
        <v>20</v>
      </c>
      <c r="G127" s="39">
        <v>2</v>
      </c>
      <c r="H127" s="39">
        <v>350</v>
      </c>
      <c r="I127" s="39">
        <v>1250</v>
      </c>
      <c r="J127" s="39">
        <v>1600</v>
      </c>
      <c r="K127" s="39">
        <v>64</v>
      </c>
      <c r="L127" s="39" t="s">
        <v>746</v>
      </c>
      <c r="M127" s="36"/>
      <c r="N127" s="36"/>
      <c r="O127" s="36">
        <f t="shared" si="31"/>
        <v>3200</v>
      </c>
      <c r="P127" s="36">
        <f t="shared" si="24"/>
        <v>200000</v>
      </c>
      <c r="Q127" s="36">
        <f t="shared" si="25"/>
        <v>25000</v>
      </c>
      <c r="R127" s="36">
        <f t="shared" si="26"/>
        <v>2500</v>
      </c>
      <c r="S127" s="36">
        <f t="shared" si="39"/>
        <v>1250</v>
      </c>
      <c r="T127" s="36">
        <f t="shared" si="32"/>
        <v>204800</v>
      </c>
      <c r="U127" s="36"/>
      <c r="V127" s="36">
        <f t="shared" si="29"/>
        <v>0.5244558396835437</v>
      </c>
      <c r="W127" s="36">
        <f t="shared" ref="W127:W134" si="40">W126</f>
        <v>0.55000000000000004</v>
      </c>
      <c r="X127" s="388">
        <f t="shared" si="27"/>
        <v>1</v>
      </c>
      <c r="Y127" s="36"/>
      <c r="Z127" s="36">
        <f t="shared" si="30"/>
        <v>0.28550000000000003</v>
      </c>
      <c r="AA127" s="36"/>
      <c r="AB127" s="40">
        <f t="shared" si="33"/>
        <v>53.43</v>
      </c>
    </row>
    <row r="128" spans="1:28" x14ac:dyDescent="0.25">
      <c r="A128" s="36" t="s">
        <v>889</v>
      </c>
      <c r="B128" s="41" t="s">
        <v>385</v>
      </c>
      <c r="C128" s="39" t="s">
        <v>758</v>
      </c>
      <c r="D128" s="36"/>
      <c r="E128" s="39">
        <v>160</v>
      </c>
      <c r="F128" s="39">
        <v>20</v>
      </c>
      <c r="G128" s="39">
        <v>2</v>
      </c>
      <c r="H128" s="39">
        <v>350</v>
      </c>
      <c r="I128" s="39">
        <v>1150</v>
      </c>
      <c r="J128" s="39">
        <v>1333</v>
      </c>
      <c r="K128" s="39">
        <v>64</v>
      </c>
      <c r="L128" s="39" t="s">
        <v>746</v>
      </c>
      <c r="M128" s="36"/>
      <c r="N128" s="36"/>
      <c r="O128" s="36">
        <f t="shared" si="31"/>
        <v>2666</v>
      </c>
      <c r="P128" s="36">
        <f t="shared" si="24"/>
        <v>184000</v>
      </c>
      <c r="Q128" s="36">
        <f t="shared" si="25"/>
        <v>23000</v>
      </c>
      <c r="R128" s="36">
        <f t="shared" si="26"/>
        <v>2300</v>
      </c>
      <c r="S128" s="36">
        <f t="shared" si="39"/>
        <v>1150</v>
      </c>
      <c r="T128" s="36">
        <f t="shared" si="32"/>
        <v>170624</v>
      </c>
      <c r="U128" s="36"/>
      <c r="V128" s="36">
        <f t="shared" si="29"/>
        <v>0.476064187323675</v>
      </c>
      <c r="W128" s="36">
        <f t="shared" si="40"/>
        <v>0.55000000000000004</v>
      </c>
      <c r="X128" s="388">
        <f t="shared" si="27"/>
        <v>1</v>
      </c>
      <c r="Y128" s="36"/>
      <c r="Z128" s="36">
        <f t="shared" si="30"/>
        <v>0.25919999999999999</v>
      </c>
      <c r="AA128" s="36"/>
      <c r="AB128" s="40">
        <f t="shared" si="33"/>
        <v>50.910000000000004</v>
      </c>
    </row>
    <row r="129" spans="1:28" x14ac:dyDescent="0.25">
      <c r="A129" s="36" t="s">
        <v>889</v>
      </c>
      <c r="B129" s="41" t="s">
        <v>380</v>
      </c>
      <c r="C129" s="39" t="s">
        <v>758</v>
      </c>
      <c r="D129" s="36"/>
      <c r="E129" s="39">
        <v>80</v>
      </c>
      <c r="F129" s="39">
        <v>10</v>
      </c>
      <c r="G129" s="39">
        <v>1</v>
      </c>
      <c r="H129" s="39">
        <v>350</v>
      </c>
      <c r="I129" s="39">
        <v>1100</v>
      </c>
      <c r="J129" s="39">
        <v>1600</v>
      </c>
      <c r="K129" s="39">
        <v>64</v>
      </c>
      <c r="L129" s="39" t="s">
        <v>746</v>
      </c>
      <c r="M129" s="36"/>
      <c r="N129" s="36"/>
      <c r="O129" s="36">
        <f t="shared" si="31"/>
        <v>3200</v>
      </c>
      <c r="P129" s="36">
        <f t="shared" si="24"/>
        <v>88000</v>
      </c>
      <c r="Q129" s="36">
        <f t="shared" si="25"/>
        <v>11000</v>
      </c>
      <c r="R129" s="36">
        <f t="shared" si="26"/>
        <v>1100</v>
      </c>
      <c r="S129" s="36">
        <f t="shared" si="39"/>
        <v>1100</v>
      </c>
      <c r="T129" s="36">
        <f t="shared" si="32"/>
        <v>204800</v>
      </c>
      <c r="U129" s="36"/>
      <c r="V129" s="36">
        <f t="shared" si="29"/>
        <v>0.40704597251086816</v>
      </c>
      <c r="W129" s="36">
        <f t="shared" si="40"/>
        <v>0.55000000000000004</v>
      </c>
      <c r="X129" s="388">
        <f t="shared" si="27"/>
        <v>1</v>
      </c>
      <c r="Y129" s="36"/>
      <c r="Z129" s="36">
        <f t="shared" si="30"/>
        <v>0.22160000000000002</v>
      </c>
      <c r="AA129" s="36"/>
      <c r="AB129" s="40">
        <f t="shared" si="33"/>
        <v>47.07</v>
      </c>
    </row>
    <row r="130" spans="1:28" x14ac:dyDescent="0.25">
      <c r="A130" s="36" t="s">
        <v>889</v>
      </c>
      <c r="B130" s="41" t="s">
        <v>380</v>
      </c>
      <c r="C130" s="39" t="s">
        <v>758</v>
      </c>
      <c r="D130" s="36"/>
      <c r="E130" s="39">
        <v>80</v>
      </c>
      <c r="F130" s="39">
        <v>10</v>
      </c>
      <c r="G130" s="39">
        <v>1</v>
      </c>
      <c r="H130" s="39">
        <v>350</v>
      </c>
      <c r="I130" s="39">
        <v>1100</v>
      </c>
      <c r="J130" s="39">
        <v>1333</v>
      </c>
      <c r="K130" s="39">
        <v>64</v>
      </c>
      <c r="L130" s="39" t="s">
        <v>746</v>
      </c>
      <c r="M130" s="36"/>
      <c r="N130" s="36"/>
      <c r="O130" s="36">
        <f t="shared" si="31"/>
        <v>2666</v>
      </c>
      <c r="P130" s="36">
        <f t="shared" si="24"/>
        <v>88000</v>
      </c>
      <c r="Q130" s="36">
        <f t="shared" si="25"/>
        <v>11000</v>
      </c>
      <c r="R130" s="36">
        <f t="shared" si="26"/>
        <v>1100</v>
      </c>
      <c r="S130" s="36">
        <f t="shared" si="39"/>
        <v>1100</v>
      </c>
      <c r="T130" s="36">
        <f t="shared" si="32"/>
        <v>170624</v>
      </c>
      <c r="U130" s="36"/>
      <c r="V130" s="36">
        <f t="shared" si="29"/>
        <v>0.39468486139975706</v>
      </c>
      <c r="W130" s="36">
        <f t="shared" si="40"/>
        <v>0.55000000000000004</v>
      </c>
      <c r="X130" s="388">
        <f t="shared" si="27"/>
        <v>1</v>
      </c>
      <c r="Y130" s="36"/>
      <c r="Z130" s="36">
        <f t="shared" si="30"/>
        <v>0.21490000000000001</v>
      </c>
      <c r="AA130" s="36"/>
      <c r="AB130" s="40">
        <f t="shared" si="33"/>
        <v>46.35</v>
      </c>
    </row>
    <row r="131" spans="1:28" x14ac:dyDescent="0.25">
      <c r="A131" s="36" t="s">
        <v>889</v>
      </c>
      <c r="B131" s="41" t="s">
        <v>470</v>
      </c>
      <c r="C131" s="39" t="s">
        <v>758</v>
      </c>
      <c r="D131" s="36"/>
      <c r="E131" s="39">
        <v>128</v>
      </c>
      <c r="F131" s="39">
        <v>16</v>
      </c>
      <c r="G131" s="39">
        <v>2</v>
      </c>
      <c r="H131" s="39">
        <v>650</v>
      </c>
      <c r="I131" s="39">
        <v>1250</v>
      </c>
      <c r="J131" s="39">
        <v>1600</v>
      </c>
      <c r="K131" s="39">
        <v>64</v>
      </c>
      <c r="L131" s="39" t="s">
        <v>746</v>
      </c>
      <c r="M131" s="36"/>
      <c r="N131" s="36"/>
      <c r="O131" s="36">
        <f t="shared" si="31"/>
        <v>3200</v>
      </c>
      <c r="P131" s="36">
        <f t="shared" ref="P131:P152" si="41">E131*I131</f>
        <v>160000</v>
      </c>
      <c r="Q131" s="36">
        <f t="shared" ref="Q131:Q152" si="42">F131*I131</f>
        <v>20000</v>
      </c>
      <c r="R131" s="36">
        <f t="shared" ref="R131:R152" si="43">G131*I131</f>
        <v>2500</v>
      </c>
      <c r="S131" s="36">
        <f t="shared" si="39"/>
        <v>1250</v>
      </c>
      <c r="T131" s="36">
        <f t="shared" si="32"/>
        <v>204800</v>
      </c>
      <c r="U131" s="36"/>
      <c r="V131" s="36">
        <f t="shared" si="29"/>
        <v>0.50455000385588722</v>
      </c>
      <c r="W131" s="36">
        <f t="shared" si="40"/>
        <v>0.55000000000000004</v>
      </c>
      <c r="X131" s="388">
        <f t="shared" ref="X131:X152" si="44">IF(M131="O",0.9,1)</f>
        <v>1</v>
      </c>
      <c r="Y131" s="36"/>
      <c r="Z131" s="36">
        <f t="shared" si="30"/>
        <v>0.2747</v>
      </c>
      <c r="AA131" s="36"/>
      <c r="AB131" s="40">
        <f t="shared" si="33"/>
        <v>52.410000000000004</v>
      </c>
    </row>
    <row r="132" spans="1:28" x14ac:dyDescent="0.25">
      <c r="A132" s="36" t="s">
        <v>889</v>
      </c>
      <c r="B132" s="41" t="s">
        <v>451</v>
      </c>
      <c r="C132" s="39" t="s">
        <v>758</v>
      </c>
      <c r="D132" s="36"/>
      <c r="E132" s="39">
        <v>128</v>
      </c>
      <c r="F132" s="39">
        <v>16</v>
      </c>
      <c r="G132" s="39">
        <v>2</v>
      </c>
      <c r="H132" s="39">
        <v>650</v>
      </c>
      <c r="I132" s="39">
        <v>1050</v>
      </c>
      <c r="J132" s="39">
        <v>1600</v>
      </c>
      <c r="K132" s="39">
        <v>64</v>
      </c>
      <c r="L132" s="39" t="s">
        <v>746</v>
      </c>
      <c r="M132" s="36"/>
      <c r="N132" s="36"/>
      <c r="O132" s="36">
        <f t="shared" si="31"/>
        <v>3200</v>
      </c>
      <c r="P132" s="36">
        <f t="shared" si="41"/>
        <v>134400</v>
      </c>
      <c r="Q132" s="36">
        <f t="shared" si="42"/>
        <v>16800</v>
      </c>
      <c r="R132" s="36">
        <f t="shared" si="43"/>
        <v>2100</v>
      </c>
      <c r="S132" s="36">
        <f t="shared" si="39"/>
        <v>1050</v>
      </c>
      <c r="T132" s="36">
        <f t="shared" si="32"/>
        <v>204800</v>
      </c>
      <c r="U132" s="36"/>
      <c r="V132" s="36">
        <f t="shared" si="29"/>
        <v>0.43567385509079709</v>
      </c>
      <c r="W132" s="36">
        <f t="shared" si="40"/>
        <v>0.55000000000000004</v>
      </c>
      <c r="X132" s="388">
        <f t="shared" si="44"/>
        <v>1</v>
      </c>
      <c r="Y132" s="36"/>
      <c r="Z132" s="36">
        <f t="shared" si="30"/>
        <v>0.23720000000000002</v>
      </c>
      <c r="AA132" s="36"/>
      <c r="AB132" s="40">
        <f t="shared" si="33"/>
        <v>48.7</v>
      </c>
    </row>
    <row r="133" spans="1:28" x14ac:dyDescent="0.25">
      <c r="A133" s="36" t="s">
        <v>889</v>
      </c>
      <c r="B133" s="41" t="s">
        <v>448</v>
      </c>
      <c r="C133" s="39" t="s">
        <v>758</v>
      </c>
      <c r="D133" s="36"/>
      <c r="E133" s="39">
        <v>48</v>
      </c>
      <c r="F133" s="39">
        <v>6</v>
      </c>
      <c r="G133" s="39">
        <v>1</v>
      </c>
      <c r="H133" s="39">
        <v>650</v>
      </c>
      <c r="I133" s="39">
        <v>1050</v>
      </c>
      <c r="J133" s="39">
        <v>1600</v>
      </c>
      <c r="K133" s="39">
        <v>64</v>
      </c>
      <c r="L133" s="39" t="s">
        <v>746</v>
      </c>
      <c r="M133" s="36"/>
      <c r="N133" s="36"/>
      <c r="O133" s="36">
        <f t="shared" si="31"/>
        <v>3200</v>
      </c>
      <c r="P133" s="36">
        <f t="shared" si="41"/>
        <v>50400</v>
      </c>
      <c r="Q133" s="36">
        <f t="shared" si="42"/>
        <v>6300</v>
      </c>
      <c r="R133" s="36">
        <f t="shared" si="43"/>
        <v>1050</v>
      </c>
      <c r="S133" s="36">
        <f t="shared" si="39"/>
        <v>1050</v>
      </c>
      <c r="T133" s="36">
        <f t="shared" si="32"/>
        <v>204800</v>
      </c>
      <c r="U133" s="36"/>
      <c r="V133" s="36">
        <f t="shared" si="29"/>
        <v>0.37445395038550511</v>
      </c>
      <c r="W133" s="36">
        <f t="shared" si="40"/>
        <v>0.55000000000000004</v>
      </c>
      <c r="X133" s="388">
        <f t="shared" si="44"/>
        <v>1</v>
      </c>
      <c r="Y133" s="36"/>
      <c r="Z133" s="36">
        <f t="shared" si="30"/>
        <v>0.2039</v>
      </c>
      <c r="AA133" s="36"/>
      <c r="AB133" s="40">
        <f t="shared" si="33"/>
        <v>45.15</v>
      </c>
    </row>
    <row r="134" spans="1:28" x14ac:dyDescent="0.25">
      <c r="A134" s="36" t="s">
        <v>889</v>
      </c>
      <c r="B134" s="41" t="s">
        <v>444</v>
      </c>
      <c r="C134" s="39" t="s">
        <v>758</v>
      </c>
      <c r="D134" s="36"/>
      <c r="E134" s="39">
        <v>48</v>
      </c>
      <c r="F134" s="39">
        <v>6</v>
      </c>
      <c r="G134" s="39">
        <v>1</v>
      </c>
      <c r="H134" s="39">
        <v>650</v>
      </c>
      <c r="I134" s="39">
        <v>1050</v>
      </c>
      <c r="J134" s="39">
        <v>1600</v>
      </c>
      <c r="K134" s="39">
        <v>64</v>
      </c>
      <c r="L134" s="39" t="s">
        <v>746</v>
      </c>
      <c r="M134" s="36"/>
      <c r="N134" s="36"/>
      <c r="O134" s="36">
        <f t="shared" si="31"/>
        <v>3200</v>
      </c>
      <c r="P134" s="36">
        <f t="shared" si="41"/>
        <v>50400</v>
      </c>
      <c r="Q134" s="36">
        <f t="shared" si="42"/>
        <v>6300</v>
      </c>
      <c r="R134" s="36">
        <f t="shared" si="43"/>
        <v>1050</v>
      </c>
      <c r="S134" s="36">
        <f t="shared" si="39"/>
        <v>1050</v>
      </c>
      <c r="T134" s="36">
        <f t="shared" si="32"/>
        <v>204800</v>
      </c>
      <c r="U134" s="36"/>
      <c r="V134" s="36">
        <f t="shared" ref="V134:V152" si="45">0.5*(POWER((P134*Q134*R134)/($P$23*$Q$23*$R$23),1/3)+0.5*(S134/$S$23)+0.5*(T134/$T$23))</f>
        <v>0.37445395038550511</v>
      </c>
      <c r="W134" s="36">
        <f t="shared" si="40"/>
        <v>0.55000000000000004</v>
      </c>
      <c r="X134" s="388">
        <f t="shared" si="44"/>
        <v>1</v>
      </c>
      <c r="Y134" s="36"/>
      <c r="Z134" s="36">
        <f t="shared" ref="Z134:Z152" si="46">FLOOR(V134*X134*W134/$W$23,0.0001)</f>
        <v>0.2039</v>
      </c>
      <c r="AA134" s="36"/>
      <c r="AB134" s="40">
        <f t="shared" si="33"/>
        <v>45.15</v>
      </c>
    </row>
    <row r="135" spans="1:28" x14ac:dyDescent="0.25">
      <c r="A135" s="36" t="s">
        <v>889</v>
      </c>
      <c r="B135" s="41" t="s">
        <v>514</v>
      </c>
      <c r="C135" s="39" t="s">
        <v>756</v>
      </c>
      <c r="D135" s="36"/>
      <c r="E135" s="39">
        <v>12</v>
      </c>
      <c r="F135" s="39">
        <v>2</v>
      </c>
      <c r="G135" s="39">
        <v>2</v>
      </c>
      <c r="H135" s="39">
        <v>850</v>
      </c>
      <c r="I135" s="39">
        <v>1350</v>
      </c>
      <c r="J135" s="39">
        <v>1600</v>
      </c>
      <c r="K135" s="39">
        <v>64</v>
      </c>
      <c r="L135" s="39" t="s">
        <v>746</v>
      </c>
      <c r="M135" s="36"/>
      <c r="N135" s="36"/>
      <c r="O135" s="36">
        <f t="shared" si="31"/>
        <v>3200</v>
      </c>
      <c r="P135" s="36">
        <f t="shared" si="41"/>
        <v>16200</v>
      </c>
      <c r="Q135" s="36">
        <f t="shared" si="42"/>
        <v>2700</v>
      </c>
      <c r="R135" s="36">
        <f t="shared" si="43"/>
        <v>2700</v>
      </c>
      <c r="S135" s="36">
        <f t="shared" si="39"/>
        <v>1350</v>
      </c>
      <c r="T135" s="36">
        <f t="shared" si="32"/>
        <v>204800</v>
      </c>
      <c r="U135" s="36"/>
      <c r="V135" s="36">
        <f t="shared" si="45"/>
        <v>0.43540038620636784</v>
      </c>
      <c r="W135" s="36">
        <v>0.39</v>
      </c>
      <c r="X135" s="388">
        <f t="shared" si="44"/>
        <v>1</v>
      </c>
      <c r="Y135" s="36"/>
      <c r="Z135" s="36">
        <f t="shared" si="46"/>
        <v>0.1681</v>
      </c>
      <c r="AA135" s="36"/>
      <c r="AB135" s="40">
        <f t="shared" si="33"/>
        <v>41</v>
      </c>
    </row>
    <row r="136" spans="1:28" x14ac:dyDescent="0.25">
      <c r="A136" s="36" t="s">
        <v>889</v>
      </c>
      <c r="B136" s="41" t="s">
        <v>486</v>
      </c>
      <c r="C136" s="39" t="s">
        <v>756</v>
      </c>
      <c r="D136" s="36"/>
      <c r="E136" s="39">
        <v>12</v>
      </c>
      <c r="F136" s="39">
        <v>2</v>
      </c>
      <c r="G136" s="39">
        <v>2</v>
      </c>
      <c r="H136" s="39">
        <v>850</v>
      </c>
      <c r="I136" s="39">
        <v>1100</v>
      </c>
      <c r="J136" s="39">
        <v>1333</v>
      </c>
      <c r="K136" s="39">
        <v>64</v>
      </c>
      <c r="L136" s="39" t="s">
        <v>746</v>
      </c>
      <c r="M136" s="36"/>
      <c r="N136" s="36"/>
      <c r="O136" s="36">
        <f t="shared" si="31"/>
        <v>2666</v>
      </c>
      <c r="P136" s="36">
        <f t="shared" si="41"/>
        <v>13200</v>
      </c>
      <c r="Q136" s="36">
        <f t="shared" si="42"/>
        <v>2200</v>
      </c>
      <c r="R136" s="36">
        <f t="shared" si="43"/>
        <v>2200</v>
      </c>
      <c r="S136" s="36">
        <f t="shared" si="39"/>
        <v>1100</v>
      </c>
      <c r="T136" s="36">
        <f t="shared" si="32"/>
        <v>170624</v>
      </c>
      <c r="U136" s="36"/>
      <c r="V136" s="36">
        <f t="shared" si="45"/>
        <v>0.3561269950707579</v>
      </c>
      <c r="W136" s="36">
        <f>W135</f>
        <v>0.39</v>
      </c>
      <c r="X136" s="388">
        <f t="shared" si="44"/>
        <v>1</v>
      </c>
      <c r="Y136" s="36"/>
      <c r="Z136" s="36">
        <f t="shared" si="46"/>
        <v>0.13750000000000001</v>
      </c>
      <c r="AA136" s="36"/>
      <c r="AB136" s="40">
        <f t="shared" si="33"/>
        <v>37.08</v>
      </c>
    </row>
    <row r="137" spans="1:28" x14ac:dyDescent="0.25">
      <c r="A137" s="36" t="s">
        <v>889</v>
      </c>
      <c r="B137" s="41" t="s">
        <v>484</v>
      </c>
      <c r="C137" s="39" t="s">
        <v>756</v>
      </c>
      <c r="D137" s="36"/>
      <c r="E137" s="39">
        <v>6</v>
      </c>
      <c r="F137" s="39">
        <v>1</v>
      </c>
      <c r="G137" s="39">
        <v>1</v>
      </c>
      <c r="H137" s="39">
        <v>850</v>
      </c>
      <c r="I137" s="39">
        <v>1100</v>
      </c>
      <c r="J137" s="39">
        <v>1333</v>
      </c>
      <c r="K137" s="39">
        <v>64</v>
      </c>
      <c r="L137" s="39" t="s">
        <v>746</v>
      </c>
      <c r="M137" s="36"/>
      <c r="N137" s="36"/>
      <c r="O137" s="36">
        <f t="shared" si="31"/>
        <v>2666</v>
      </c>
      <c r="P137" s="36">
        <f t="shared" si="41"/>
        <v>6600</v>
      </c>
      <c r="Q137" s="36">
        <f t="shared" si="42"/>
        <v>1100</v>
      </c>
      <c r="R137" s="36">
        <f t="shared" si="43"/>
        <v>1100</v>
      </c>
      <c r="S137" s="36">
        <f t="shared" si="39"/>
        <v>1100</v>
      </c>
      <c r="T137" s="36">
        <f t="shared" si="32"/>
        <v>170624</v>
      </c>
      <c r="U137" s="36"/>
      <c r="V137" s="36">
        <f t="shared" si="45"/>
        <v>0.34372390058548791</v>
      </c>
      <c r="W137" s="36">
        <f>W136</f>
        <v>0.39</v>
      </c>
      <c r="X137" s="388">
        <f t="shared" si="44"/>
        <v>1</v>
      </c>
      <c r="Y137" s="36"/>
      <c r="Z137" s="36">
        <f t="shared" si="46"/>
        <v>0.13270000000000001</v>
      </c>
      <c r="AA137" s="36"/>
      <c r="AB137" s="40">
        <f t="shared" si="33"/>
        <v>36.42</v>
      </c>
    </row>
    <row r="138" spans="1:28" x14ac:dyDescent="0.25">
      <c r="A138" s="36" t="s">
        <v>889</v>
      </c>
      <c r="B138" s="41" t="s">
        <v>502</v>
      </c>
      <c r="C138" s="39" t="s">
        <v>757</v>
      </c>
      <c r="D138" s="36"/>
      <c r="E138" s="39">
        <v>6</v>
      </c>
      <c r="F138" s="39">
        <v>1</v>
      </c>
      <c r="G138" s="39">
        <v>1</v>
      </c>
      <c r="H138" s="39">
        <v>850</v>
      </c>
      <c r="I138" s="39">
        <v>1100</v>
      </c>
      <c r="J138" s="39">
        <v>1333</v>
      </c>
      <c r="K138" s="39">
        <v>64</v>
      </c>
      <c r="L138" s="39" t="s">
        <v>746</v>
      </c>
      <c r="M138" s="36"/>
      <c r="N138" s="36"/>
      <c r="O138" s="36">
        <f t="shared" si="31"/>
        <v>2666</v>
      </c>
      <c r="P138" s="36">
        <f t="shared" si="41"/>
        <v>6600</v>
      </c>
      <c r="Q138" s="36">
        <f t="shared" si="42"/>
        <v>1100</v>
      </c>
      <c r="R138" s="36">
        <f t="shared" si="43"/>
        <v>1100</v>
      </c>
      <c r="S138" s="36">
        <f t="shared" si="39"/>
        <v>1100</v>
      </c>
      <c r="T138" s="36">
        <f t="shared" si="32"/>
        <v>170624</v>
      </c>
      <c r="U138" s="36"/>
      <c r="V138" s="36">
        <f t="shared" si="45"/>
        <v>0.34372390058548791</v>
      </c>
      <c r="W138" s="36">
        <f>W137</f>
        <v>0.39</v>
      </c>
      <c r="X138" s="388">
        <f t="shared" si="44"/>
        <v>1</v>
      </c>
      <c r="Y138" s="36"/>
      <c r="Z138" s="36">
        <f t="shared" si="46"/>
        <v>0.13270000000000001</v>
      </c>
      <c r="AA138" s="36"/>
      <c r="AB138" s="40">
        <f t="shared" si="33"/>
        <v>36.42</v>
      </c>
    </row>
    <row r="139" spans="1:28" x14ac:dyDescent="0.25">
      <c r="A139" s="42" t="s">
        <v>888</v>
      </c>
      <c r="B139" s="43" t="s">
        <v>553</v>
      </c>
      <c r="C139" s="44" t="s">
        <v>661</v>
      </c>
      <c r="D139" s="42"/>
      <c r="E139" s="44">
        <v>512</v>
      </c>
      <c r="F139" s="44">
        <v>32</v>
      </c>
      <c r="G139" s="44">
        <v>8</v>
      </c>
      <c r="H139" s="44">
        <v>756</v>
      </c>
      <c r="I139" s="44">
        <v>756</v>
      </c>
      <c r="J139" s="44">
        <v>1600</v>
      </c>
      <c r="K139" s="44">
        <v>64</v>
      </c>
      <c r="L139" s="44" t="s">
        <v>746</v>
      </c>
      <c r="M139" s="42"/>
      <c r="N139" s="42"/>
      <c r="O139" s="42">
        <f t="shared" si="31"/>
        <v>3200</v>
      </c>
      <c r="P139" s="42">
        <f t="shared" si="41"/>
        <v>387072</v>
      </c>
      <c r="Q139" s="42">
        <f t="shared" si="42"/>
        <v>24192</v>
      </c>
      <c r="R139" s="42">
        <f t="shared" si="43"/>
        <v>6048</v>
      </c>
      <c r="S139" s="42">
        <f t="shared" si="39"/>
        <v>756</v>
      </c>
      <c r="T139" s="42">
        <f t="shared" si="32"/>
        <v>204800</v>
      </c>
      <c r="U139" s="42"/>
      <c r="V139" s="42">
        <f t="shared" si="45"/>
        <v>0.49766161396769204</v>
      </c>
      <c r="W139" s="42">
        <f>W96</f>
        <v>0.94199999999999995</v>
      </c>
      <c r="X139" s="389">
        <f t="shared" si="44"/>
        <v>1</v>
      </c>
      <c r="Y139" s="42"/>
      <c r="Z139" s="42">
        <f t="shared" si="46"/>
        <v>0.46410000000000001</v>
      </c>
      <c r="AA139" s="42"/>
      <c r="AB139" s="45">
        <f t="shared" si="33"/>
        <v>68.12</v>
      </c>
    </row>
    <row r="140" spans="1:28" x14ac:dyDescent="0.25">
      <c r="A140" s="42" t="s">
        <v>888</v>
      </c>
      <c r="B140" s="43" t="s">
        <v>549</v>
      </c>
      <c r="C140" s="44" t="s">
        <v>661</v>
      </c>
      <c r="D140" s="42"/>
      <c r="E140" s="44">
        <v>384</v>
      </c>
      <c r="F140" s="44">
        <v>24</v>
      </c>
      <c r="G140" s="44">
        <v>8</v>
      </c>
      <c r="H140" s="44">
        <v>756</v>
      </c>
      <c r="I140" s="44">
        <v>756</v>
      </c>
      <c r="J140" s="44">
        <v>1600</v>
      </c>
      <c r="K140" s="44">
        <v>64</v>
      </c>
      <c r="L140" s="44" t="s">
        <v>746</v>
      </c>
      <c r="M140" s="42"/>
      <c r="N140" s="42"/>
      <c r="O140" s="42">
        <f t="shared" si="31"/>
        <v>3200</v>
      </c>
      <c r="P140" s="42">
        <f t="shared" si="41"/>
        <v>290304</v>
      </c>
      <c r="Q140" s="42">
        <f t="shared" si="42"/>
        <v>18144</v>
      </c>
      <c r="R140" s="42">
        <f t="shared" si="43"/>
        <v>6048</v>
      </c>
      <c r="S140" s="42">
        <f t="shared" si="39"/>
        <v>756</v>
      </c>
      <c r="T140" s="42">
        <f t="shared" si="32"/>
        <v>204800</v>
      </c>
      <c r="U140" s="42"/>
      <c r="V140" s="42">
        <f t="shared" si="45"/>
        <v>0.45607507775819955</v>
      </c>
      <c r="W140" s="42">
        <f>W139</f>
        <v>0.94199999999999995</v>
      </c>
      <c r="X140" s="389">
        <f t="shared" si="44"/>
        <v>1</v>
      </c>
      <c r="Y140" s="42"/>
      <c r="Z140" s="42">
        <f t="shared" si="46"/>
        <v>0.42530000000000001</v>
      </c>
      <c r="AA140" s="42"/>
      <c r="AB140" s="45">
        <f t="shared" si="33"/>
        <v>65.210000000000008</v>
      </c>
    </row>
    <row r="141" spans="1:28" x14ac:dyDescent="0.25">
      <c r="A141" s="42" t="s">
        <v>888</v>
      </c>
      <c r="B141" s="43" t="s">
        <v>547</v>
      </c>
      <c r="C141" s="44" t="s">
        <v>661</v>
      </c>
      <c r="D141" s="42"/>
      <c r="E141" s="44">
        <v>256</v>
      </c>
      <c r="F141" s="44">
        <v>16</v>
      </c>
      <c r="G141" s="44">
        <v>8</v>
      </c>
      <c r="H141" s="44">
        <v>756</v>
      </c>
      <c r="I141" s="44">
        <v>756</v>
      </c>
      <c r="J141" s="44">
        <v>1600</v>
      </c>
      <c r="K141" s="44">
        <v>64</v>
      </c>
      <c r="L141" s="44" t="s">
        <v>746</v>
      </c>
      <c r="M141" s="42"/>
      <c r="N141" s="42"/>
      <c r="O141" s="42">
        <f t="shared" si="31"/>
        <v>3200</v>
      </c>
      <c r="P141" s="42">
        <f t="shared" si="41"/>
        <v>193536</v>
      </c>
      <c r="Q141" s="42">
        <f t="shared" si="42"/>
        <v>12096</v>
      </c>
      <c r="R141" s="42">
        <f t="shared" si="43"/>
        <v>6048</v>
      </c>
      <c r="S141" s="42">
        <f t="shared" si="39"/>
        <v>756</v>
      </c>
      <c r="T141" s="42">
        <f t="shared" si="32"/>
        <v>204800</v>
      </c>
      <c r="U141" s="42"/>
      <c r="V141" s="42">
        <f t="shared" si="45"/>
        <v>0.40948364109109642</v>
      </c>
      <c r="W141" s="42">
        <f>W140</f>
        <v>0.94199999999999995</v>
      </c>
      <c r="X141" s="389">
        <f t="shared" si="44"/>
        <v>1</v>
      </c>
      <c r="Y141" s="42"/>
      <c r="Z141" s="42">
        <f t="shared" si="46"/>
        <v>0.38190000000000002</v>
      </c>
      <c r="AA141" s="42"/>
      <c r="AB141" s="45">
        <f t="shared" si="33"/>
        <v>61.79</v>
      </c>
    </row>
    <row r="142" spans="1:28" x14ac:dyDescent="0.25">
      <c r="A142" s="42" t="s">
        <v>888</v>
      </c>
      <c r="B142" s="43" t="s">
        <v>1010</v>
      </c>
      <c r="C142" s="44" t="s">
        <v>661</v>
      </c>
      <c r="D142" s="42"/>
      <c r="E142" s="44">
        <v>128</v>
      </c>
      <c r="F142" s="44">
        <v>8</v>
      </c>
      <c r="G142" s="44">
        <v>4</v>
      </c>
      <c r="H142" s="44">
        <v>600</v>
      </c>
      <c r="I142" s="44">
        <v>600</v>
      </c>
      <c r="J142" s="44">
        <v>1600</v>
      </c>
      <c r="K142" s="44">
        <v>64</v>
      </c>
      <c r="L142" s="44" t="s">
        <v>746</v>
      </c>
      <c r="M142" s="42"/>
      <c r="N142" s="42"/>
      <c r="O142" s="42">
        <f t="shared" si="31"/>
        <v>3200</v>
      </c>
      <c r="P142" s="42">
        <f t="shared" si="41"/>
        <v>76800</v>
      </c>
      <c r="Q142" s="42">
        <f t="shared" si="42"/>
        <v>4800</v>
      </c>
      <c r="R142" s="42">
        <f t="shared" si="43"/>
        <v>2400</v>
      </c>
      <c r="S142" s="42">
        <f t="shared" si="39"/>
        <v>600</v>
      </c>
      <c r="T142" s="42">
        <f>O142*K142</f>
        <v>204800</v>
      </c>
      <c r="U142" s="42"/>
      <c r="V142" s="42">
        <f t="shared" si="45"/>
        <v>0.2807025203693444</v>
      </c>
      <c r="W142" s="42">
        <f>W141</f>
        <v>0.94199999999999995</v>
      </c>
      <c r="X142" s="389">
        <f t="shared" si="44"/>
        <v>1</v>
      </c>
      <c r="Y142" s="42"/>
      <c r="Z142" s="42">
        <f t="shared" si="46"/>
        <v>0.26180000000000003</v>
      </c>
      <c r="AA142" s="42"/>
      <c r="AB142" s="45">
        <f>FLOOR(POWER(Z142,0.5)*100,0.01)</f>
        <v>51.160000000000004</v>
      </c>
    </row>
    <row r="143" spans="1:28" x14ac:dyDescent="0.25">
      <c r="A143" s="42" t="s">
        <v>888</v>
      </c>
      <c r="B143" s="42" t="s">
        <v>1008</v>
      </c>
      <c r="C143" s="44" t="s">
        <v>661</v>
      </c>
      <c r="D143" s="42"/>
      <c r="E143" s="44">
        <v>128</v>
      </c>
      <c r="F143" s="44">
        <v>8</v>
      </c>
      <c r="G143" s="44">
        <v>4</v>
      </c>
      <c r="H143" s="44">
        <v>450</v>
      </c>
      <c r="I143" s="44">
        <v>450</v>
      </c>
      <c r="J143" s="44">
        <v>1600</v>
      </c>
      <c r="K143" s="44">
        <v>64</v>
      </c>
      <c r="L143" s="44" t="s">
        <v>746</v>
      </c>
      <c r="M143" s="42"/>
      <c r="N143" s="42"/>
      <c r="O143" s="42">
        <f t="shared" si="31"/>
        <v>3200</v>
      </c>
      <c r="P143" s="42">
        <f t="shared" si="41"/>
        <v>57600</v>
      </c>
      <c r="Q143" s="42">
        <f t="shared" si="42"/>
        <v>3600</v>
      </c>
      <c r="R143" s="42">
        <f t="shared" si="43"/>
        <v>1800</v>
      </c>
      <c r="S143" s="42">
        <f t="shared" si="39"/>
        <v>450</v>
      </c>
      <c r="T143" s="42">
        <f>O143*K143</f>
        <v>204800</v>
      </c>
      <c r="U143" s="42"/>
      <c r="V143" s="42">
        <f t="shared" si="45"/>
        <v>0.22904540879552679</v>
      </c>
      <c r="W143" s="42">
        <f>W142</f>
        <v>0.94199999999999995</v>
      </c>
      <c r="X143" s="389">
        <f t="shared" si="44"/>
        <v>1</v>
      </c>
      <c r="Y143" s="42"/>
      <c r="Z143" s="42">
        <f t="shared" si="46"/>
        <v>0.21360000000000001</v>
      </c>
      <c r="AA143" s="42"/>
      <c r="AB143" s="45">
        <f>FLOOR(POWER(Z143,0.5)*100,0.01)</f>
        <v>46.21</v>
      </c>
    </row>
    <row r="144" spans="1:28" x14ac:dyDescent="0.25">
      <c r="A144" s="42" t="s">
        <v>888</v>
      </c>
      <c r="B144" s="43" t="s">
        <v>1007</v>
      </c>
      <c r="C144" s="44" t="s">
        <v>661</v>
      </c>
      <c r="D144" s="42"/>
      <c r="E144" s="44">
        <v>128</v>
      </c>
      <c r="F144" s="44">
        <v>8</v>
      </c>
      <c r="G144" s="44">
        <v>4</v>
      </c>
      <c r="H144" s="44">
        <v>400</v>
      </c>
      <c r="I144" s="44">
        <v>400</v>
      </c>
      <c r="J144" s="44">
        <v>1333</v>
      </c>
      <c r="K144" s="44">
        <v>64</v>
      </c>
      <c r="L144" s="44" t="s">
        <v>746</v>
      </c>
      <c r="M144" s="42"/>
      <c r="N144" s="42"/>
      <c r="O144" s="42">
        <f t="shared" si="31"/>
        <v>2666</v>
      </c>
      <c r="P144" s="42">
        <f t="shared" si="41"/>
        <v>51200</v>
      </c>
      <c r="Q144" s="42">
        <f t="shared" si="42"/>
        <v>3200</v>
      </c>
      <c r="R144" s="42">
        <f t="shared" si="43"/>
        <v>1600</v>
      </c>
      <c r="S144" s="42">
        <f t="shared" si="39"/>
        <v>400</v>
      </c>
      <c r="T144" s="42">
        <f>O144*K144</f>
        <v>170624</v>
      </c>
      <c r="U144" s="42"/>
      <c r="V144" s="42">
        <f t="shared" si="45"/>
        <v>0.19946526049314317</v>
      </c>
      <c r="W144" s="42">
        <f>W143</f>
        <v>0.94199999999999995</v>
      </c>
      <c r="X144" s="389">
        <f t="shared" si="44"/>
        <v>1</v>
      </c>
      <c r="Y144" s="42"/>
      <c r="Z144" s="42">
        <f t="shared" si="46"/>
        <v>0.186</v>
      </c>
      <c r="AA144" s="42"/>
      <c r="AB144" s="45">
        <f>FLOOR(POWER(Z144,0.5)*100,0.01)</f>
        <v>43.12</v>
      </c>
    </row>
    <row r="145" spans="1:28" x14ac:dyDescent="0.25">
      <c r="A145" s="42" t="s">
        <v>888</v>
      </c>
      <c r="B145" s="43" t="s">
        <v>774</v>
      </c>
      <c r="C145" s="46" t="s">
        <v>751</v>
      </c>
      <c r="D145" s="42"/>
      <c r="E145" s="44">
        <v>384</v>
      </c>
      <c r="F145" s="44">
        <v>24</v>
      </c>
      <c r="G145" s="44">
        <v>8</v>
      </c>
      <c r="H145" s="44">
        <v>844</v>
      </c>
      <c r="I145" s="44">
        <v>844</v>
      </c>
      <c r="J145" s="44">
        <v>1600</v>
      </c>
      <c r="K145" s="44">
        <v>64</v>
      </c>
      <c r="L145" s="44" t="s">
        <v>746</v>
      </c>
      <c r="M145" s="42"/>
      <c r="N145" s="42"/>
      <c r="O145" s="42">
        <f t="shared" si="31"/>
        <v>3200</v>
      </c>
      <c r="P145" s="42">
        <f t="shared" si="41"/>
        <v>324096</v>
      </c>
      <c r="Q145" s="42">
        <f t="shared" si="42"/>
        <v>20256</v>
      </c>
      <c r="R145" s="42">
        <f t="shared" si="43"/>
        <v>6752</v>
      </c>
      <c r="S145" s="42">
        <f t="shared" si="39"/>
        <v>844</v>
      </c>
      <c r="T145" s="42">
        <f t="shared" si="32"/>
        <v>204800</v>
      </c>
      <c r="U145" s="42"/>
      <c r="V145" s="42">
        <f t="shared" si="45"/>
        <v>0.50054080305476434</v>
      </c>
      <c r="W145" s="42">
        <f>W102</f>
        <v>0.69099999999999995</v>
      </c>
      <c r="X145" s="389">
        <f t="shared" si="44"/>
        <v>1</v>
      </c>
      <c r="Y145" s="42"/>
      <c r="Z145" s="42">
        <f t="shared" si="46"/>
        <v>0.34240000000000004</v>
      </c>
      <c r="AA145" s="42"/>
      <c r="AB145" s="45">
        <f t="shared" si="33"/>
        <v>58.51</v>
      </c>
    </row>
    <row r="146" spans="1:28" x14ac:dyDescent="0.25">
      <c r="A146" s="42" t="s">
        <v>888</v>
      </c>
      <c r="B146" s="43" t="s">
        <v>563</v>
      </c>
      <c r="C146" s="46" t="s">
        <v>751</v>
      </c>
      <c r="D146" s="42"/>
      <c r="E146" s="44">
        <v>256</v>
      </c>
      <c r="F146" s="44">
        <v>16</v>
      </c>
      <c r="G146" s="44">
        <v>8</v>
      </c>
      <c r="H146" s="44">
        <v>800</v>
      </c>
      <c r="I146" s="44">
        <v>800</v>
      </c>
      <c r="J146" s="44">
        <v>1600</v>
      </c>
      <c r="K146" s="44">
        <v>64</v>
      </c>
      <c r="L146" s="44" t="s">
        <v>746</v>
      </c>
      <c r="M146" s="42"/>
      <c r="N146" s="42"/>
      <c r="O146" s="42">
        <f t="shared" si="31"/>
        <v>3200</v>
      </c>
      <c r="P146" s="42">
        <f t="shared" si="41"/>
        <v>204800</v>
      </c>
      <c r="Q146" s="42">
        <f t="shared" si="42"/>
        <v>12800</v>
      </c>
      <c r="R146" s="42">
        <f t="shared" si="43"/>
        <v>6400</v>
      </c>
      <c r="S146" s="42">
        <f t="shared" si="39"/>
        <v>800</v>
      </c>
      <c r="T146" s="42">
        <f t="shared" si="32"/>
        <v>204800</v>
      </c>
      <c r="U146" s="42"/>
      <c r="V146" s="42">
        <f t="shared" si="45"/>
        <v>0.42900483282224589</v>
      </c>
      <c r="W146" s="42">
        <f>W145</f>
        <v>0.69099999999999995</v>
      </c>
      <c r="X146" s="389">
        <f t="shared" si="44"/>
        <v>1</v>
      </c>
      <c r="Y146" s="42"/>
      <c r="Z146" s="42">
        <f t="shared" si="46"/>
        <v>0.29350000000000004</v>
      </c>
      <c r="AA146" s="42"/>
      <c r="AB146" s="45">
        <f t="shared" si="33"/>
        <v>54.17</v>
      </c>
    </row>
    <row r="147" spans="1:28" x14ac:dyDescent="0.25">
      <c r="A147" s="42" t="s">
        <v>888</v>
      </c>
      <c r="B147" s="43" t="s">
        <v>566</v>
      </c>
      <c r="C147" s="46" t="s">
        <v>751</v>
      </c>
      <c r="D147" s="42"/>
      <c r="E147" s="44">
        <v>192</v>
      </c>
      <c r="F147" s="44">
        <v>12</v>
      </c>
      <c r="G147" s="44">
        <v>4</v>
      </c>
      <c r="H147" s="44">
        <v>800</v>
      </c>
      <c r="I147" s="44">
        <v>800</v>
      </c>
      <c r="J147" s="44">
        <v>1600</v>
      </c>
      <c r="K147" s="44">
        <v>64</v>
      </c>
      <c r="L147" s="44" t="s">
        <v>746</v>
      </c>
      <c r="M147" s="42"/>
      <c r="N147" s="42"/>
      <c r="O147" s="42">
        <f t="shared" si="31"/>
        <v>3200</v>
      </c>
      <c r="P147" s="42">
        <f t="shared" si="41"/>
        <v>153600</v>
      </c>
      <c r="Q147" s="42">
        <f t="shared" si="42"/>
        <v>9600</v>
      </c>
      <c r="R147" s="42">
        <f t="shared" si="43"/>
        <v>3200</v>
      </c>
      <c r="S147" s="42">
        <f t="shared" si="39"/>
        <v>800</v>
      </c>
      <c r="T147" s="42">
        <f t="shared" si="32"/>
        <v>204800</v>
      </c>
      <c r="U147" s="42"/>
      <c r="V147" s="42">
        <f t="shared" si="45"/>
        <v>0.3742302229265525</v>
      </c>
      <c r="W147" s="42">
        <f t="shared" ref="W147:W152" si="47">W146</f>
        <v>0.69099999999999995</v>
      </c>
      <c r="X147" s="389">
        <f t="shared" si="44"/>
        <v>1</v>
      </c>
      <c r="Y147" s="42"/>
      <c r="Z147" s="42">
        <f t="shared" si="46"/>
        <v>0.25600000000000001</v>
      </c>
      <c r="AA147" s="42"/>
      <c r="AB147" s="45">
        <f t="shared" si="33"/>
        <v>50.59</v>
      </c>
    </row>
    <row r="148" spans="1:28" x14ac:dyDescent="0.25">
      <c r="A148" s="42" t="s">
        <v>888</v>
      </c>
      <c r="B148" s="43" t="s">
        <v>569</v>
      </c>
      <c r="C148" s="46" t="s">
        <v>751</v>
      </c>
      <c r="D148" s="42"/>
      <c r="E148" s="44">
        <v>128</v>
      </c>
      <c r="F148" s="44">
        <v>8</v>
      </c>
      <c r="G148" s="44">
        <v>4</v>
      </c>
      <c r="H148" s="44">
        <v>800</v>
      </c>
      <c r="I148" s="44">
        <v>800</v>
      </c>
      <c r="J148" s="44">
        <v>1600</v>
      </c>
      <c r="K148" s="44">
        <v>64</v>
      </c>
      <c r="L148" s="44" t="s">
        <v>746</v>
      </c>
      <c r="M148" s="42"/>
      <c r="N148" s="42"/>
      <c r="O148" s="42">
        <f t="shared" si="31"/>
        <v>3200</v>
      </c>
      <c r="P148" s="42">
        <f t="shared" si="41"/>
        <v>102400</v>
      </c>
      <c r="Q148" s="42">
        <f t="shared" si="42"/>
        <v>6400</v>
      </c>
      <c r="R148" s="42">
        <f t="shared" si="43"/>
        <v>3200</v>
      </c>
      <c r="S148" s="42">
        <f t="shared" si="39"/>
        <v>800</v>
      </c>
      <c r="T148" s="42">
        <f t="shared" si="32"/>
        <v>204800</v>
      </c>
      <c r="U148" s="42"/>
      <c r="V148" s="42">
        <f t="shared" si="45"/>
        <v>0.34957866913443447</v>
      </c>
      <c r="W148" s="42">
        <f t="shared" si="47"/>
        <v>0.69099999999999995</v>
      </c>
      <c r="X148" s="389">
        <f t="shared" si="44"/>
        <v>1</v>
      </c>
      <c r="Y148" s="42"/>
      <c r="Z148" s="42">
        <f t="shared" si="46"/>
        <v>0.23910000000000001</v>
      </c>
      <c r="AA148" s="42"/>
      <c r="AB148" s="45">
        <f t="shared" si="33"/>
        <v>48.89</v>
      </c>
    </row>
    <row r="149" spans="1:28" x14ac:dyDescent="0.25">
      <c r="A149" s="42" t="s">
        <v>888</v>
      </c>
      <c r="B149" s="43" t="s">
        <v>583</v>
      </c>
      <c r="C149" s="46" t="s">
        <v>751</v>
      </c>
      <c r="D149" s="42"/>
      <c r="E149" s="44">
        <v>384</v>
      </c>
      <c r="F149" s="44">
        <v>24</v>
      </c>
      <c r="G149" s="44">
        <v>8</v>
      </c>
      <c r="H149" s="44">
        <v>760</v>
      </c>
      <c r="I149" s="44">
        <v>800</v>
      </c>
      <c r="J149" s="44">
        <v>1600</v>
      </c>
      <c r="K149" s="44">
        <v>64</v>
      </c>
      <c r="L149" s="44" t="s">
        <v>746</v>
      </c>
      <c r="M149" s="42"/>
      <c r="N149" s="42"/>
      <c r="O149" s="42">
        <f t="shared" si="31"/>
        <v>3200</v>
      </c>
      <c r="P149" s="42">
        <f t="shared" si="41"/>
        <v>307200</v>
      </c>
      <c r="Q149" s="42">
        <f t="shared" si="42"/>
        <v>19200</v>
      </c>
      <c r="R149" s="42">
        <f t="shared" si="43"/>
        <v>6400</v>
      </c>
      <c r="S149" s="42">
        <f t="shared" si="39"/>
        <v>800</v>
      </c>
      <c r="T149" s="42">
        <f t="shared" si="32"/>
        <v>204800</v>
      </c>
      <c r="U149" s="42"/>
      <c r="V149" s="42">
        <f t="shared" si="45"/>
        <v>0.47830794040648195</v>
      </c>
      <c r="W149" s="42">
        <f t="shared" si="47"/>
        <v>0.69099999999999995</v>
      </c>
      <c r="X149" s="389">
        <f t="shared" si="44"/>
        <v>1</v>
      </c>
      <c r="Y149" s="42"/>
      <c r="Z149" s="42">
        <f t="shared" si="46"/>
        <v>0.32719999999999999</v>
      </c>
      <c r="AA149" s="42"/>
      <c r="AB149" s="45">
        <f t="shared" si="33"/>
        <v>57.2</v>
      </c>
    </row>
    <row r="150" spans="1:28" x14ac:dyDescent="0.25">
      <c r="A150" s="42" t="s">
        <v>888</v>
      </c>
      <c r="B150" s="43" t="s">
        <v>577</v>
      </c>
      <c r="C150" s="46" t="s">
        <v>751</v>
      </c>
      <c r="D150" s="42"/>
      <c r="E150" s="44">
        <v>256</v>
      </c>
      <c r="F150" s="44">
        <v>16</v>
      </c>
      <c r="G150" s="44">
        <v>8</v>
      </c>
      <c r="H150" s="44">
        <v>760</v>
      </c>
      <c r="I150" s="44">
        <v>760</v>
      </c>
      <c r="J150" s="44">
        <v>1600</v>
      </c>
      <c r="K150" s="44">
        <v>64</v>
      </c>
      <c r="L150" s="44" t="s">
        <v>746</v>
      </c>
      <c r="M150" s="42"/>
      <c r="N150" s="42"/>
      <c r="O150" s="42">
        <f t="shared" si="31"/>
        <v>3200</v>
      </c>
      <c r="P150" s="42">
        <f t="shared" si="41"/>
        <v>194560</v>
      </c>
      <c r="Q150" s="42">
        <f t="shared" si="42"/>
        <v>12160</v>
      </c>
      <c r="R150" s="42">
        <f t="shared" si="43"/>
        <v>6080</v>
      </c>
      <c r="S150" s="42">
        <f t="shared" si="39"/>
        <v>760</v>
      </c>
      <c r="T150" s="42">
        <f t="shared" si="32"/>
        <v>204800</v>
      </c>
      <c r="U150" s="42"/>
      <c r="V150" s="42">
        <f t="shared" si="45"/>
        <v>0.41125829488483728</v>
      </c>
      <c r="W150" s="42">
        <f t="shared" si="47"/>
        <v>0.69099999999999995</v>
      </c>
      <c r="X150" s="389">
        <f t="shared" si="44"/>
        <v>1</v>
      </c>
      <c r="Y150" s="42"/>
      <c r="Z150" s="42">
        <f t="shared" si="46"/>
        <v>0.28129999999999999</v>
      </c>
      <c r="AA150" s="42"/>
      <c r="AB150" s="45">
        <f t="shared" si="33"/>
        <v>53.03</v>
      </c>
    </row>
    <row r="151" spans="1:28" x14ac:dyDescent="0.25">
      <c r="A151" s="42" t="s">
        <v>888</v>
      </c>
      <c r="B151" s="43" t="s">
        <v>580</v>
      </c>
      <c r="C151" s="46" t="s">
        <v>751</v>
      </c>
      <c r="D151" s="42"/>
      <c r="E151" s="44">
        <v>192</v>
      </c>
      <c r="F151" s="44">
        <v>12</v>
      </c>
      <c r="G151" s="44">
        <v>4</v>
      </c>
      <c r="H151" s="44">
        <v>760</v>
      </c>
      <c r="I151" s="44">
        <v>760</v>
      </c>
      <c r="J151" s="44">
        <v>1600</v>
      </c>
      <c r="K151" s="44">
        <v>64</v>
      </c>
      <c r="L151" s="44" t="s">
        <v>746</v>
      </c>
      <c r="M151" s="42"/>
      <c r="N151" s="42"/>
      <c r="O151" s="42">
        <f t="shared" si="31"/>
        <v>3200</v>
      </c>
      <c r="P151" s="42">
        <f t="shared" si="41"/>
        <v>145920</v>
      </c>
      <c r="Q151" s="42">
        <f t="shared" si="42"/>
        <v>9120</v>
      </c>
      <c r="R151" s="42">
        <f t="shared" si="43"/>
        <v>3040</v>
      </c>
      <c r="S151" s="42">
        <f t="shared" si="39"/>
        <v>760</v>
      </c>
      <c r="T151" s="42">
        <f t="shared" si="32"/>
        <v>204800</v>
      </c>
      <c r="U151" s="42"/>
      <c r="V151" s="42">
        <f t="shared" si="45"/>
        <v>0.35922241548392858</v>
      </c>
      <c r="W151" s="42">
        <f t="shared" si="47"/>
        <v>0.69099999999999995</v>
      </c>
      <c r="X151" s="389">
        <f t="shared" si="44"/>
        <v>1</v>
      </c>
      <c r="Y151" s="42"/>
      <c r="Z151" s="42">
        <f t="shared" si="46"/>
        <v>0.2457</v>
      </c>
      <c r="AA151" s="42"/>
      <c r="AB151" s="45">
        <f t="shared" si="33"/>
        <v>49.56</v>
      </c>
    </row>
    <row r="152" spans="1:28" x14ac:dyDescent="0.25">
      <c r="A152" s="42" t="s">
        <v>888</v>
      </c>
      <c r="B152" s="43" t="s">
        <v>752</v>
      </c>
      <c r="C152" s="46" t="s">
        <v>751</v>
      </c>
      <c r="D152" s="42"/>
      <c r="E152" s="44">
        <v>128</v>
      </c>
      <c r="F152" s="44">
        <v>8</v>
      </c>
      <c r="G152" s="44">
        <v>4</v>
      </c>
      <c r="H152" s="44">
        <v>723</v>
      </c>
      <c r="I152" s="44">
        <v>723</v>
      </c>
      <c r="J152" s="44">
        <v>1600</v>
      </c>
      <c r="K152" s="44">
        <v>64</v>
      </c>
      <c r="L152" s="44" t="s">
        <v>746</v>
      </c>
      <c r="M152" s="42"/>
      <c r="N152" s="42"/>
      <c r="O152" s="42">
        <f t="shared" si="31"/>
        <v>3200</v>
      </c>
      <c r="P152" s="42">
        <f t="shared" si="41"/>
        <v>92544</v>
      </c>
      <c r="Q152" s="42">
        <f t="shared" si="42"/>
        <v>5784</v>
      </c>
      <c r="R152" s="42">
        <f t="shared" si="43"/>
        <v>2892</v>
      </c>
      <c r="S152" s="42">
        <f t="shared" si="39"/>
        <v>723</v>
      </c>
      <c r="T152" s="42">
        <f t="shared" si="32"/>
        <v>204800</v>
      </c>
      <c r="U152" s="42"/>
      <c r="V152" s="42">
        <f t="shared" si="45"/>
        <v>0.32306135185987478</v>
      </c>
      <c r="W152" s="42">
        <f t="shared" si="47"/>
        <v>0.69099999999999995</v>
      </c>
      <c r="X152" s="389">
        <f t="shared" si="44"/>
        <v>1</v>
      </c>
      <c r="Y152" s="42"/>
      <c r="Z152" s="42">
        <f t="shared" si="46"/>
        <v>0.221</v>
      </c>
      <c r="AA152" s="42"/>
      <c r="AB152" s="45">
        <f t="shared" si="33"/>
        <v>47.01</v>
      </c>
    </row>
    <row r="153" spans="1:28" x14ac:dyDescent="0.25">
      <c r="B153" s="496">
        <v>0</v>
      </c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F1:BX52"/>
  <sheetViews>
    <sheetView zoomScale="85" zoomScaleNormal="85" workbookViewId="0">
      <selection activeCell="AJ6" sqref="AJ6"/>
    </sheetView>
  </sheetViews>
  <sheetFormatPr defaultColWidth="9" defaultRowHeight="10.8" x14ac:dyDescent="0.4"/>
  <cols>
    <col min="1" max="4" width="3" style="82" customWidth="1"/>
    <col min="5" max="5" width="2.3984375" style="82" customWidth="1"/>
    <col min="6" max="6" width="11.19921875" style="82" customWidth="1"/>
    <col min="7" max="7" width="27" style="82" bestFit="1" customWidth="1"/>
    <col min="8" max="8" width="5.59765625" style="82" bestFit="1" customWidth="1"/>
    <col min="9" max="9" width="9.69921875" style="82" bestFit="1" customWidth="1"/>
    <col min="10" max="10" width="2.296875" style="82" bestFit="1" customWidth="1"/>
    <col min="11" max="11" width="9.69921875" style="82" bestFit="1" customWidth="1"/>
    <col min="12" max="12" width="2.296875" style="82" bestFit="1" customWidth="1"/>
    <col min="13" max="13" width="9.69921875" style="214" bestFit="1" customWidth="1"/>
    <col min="14" max="14" width="2.296875" style="214" bestFit="1" customWidth="1"/>
    <col min="15" max="15" width="9.69921875" style="214" bestFit="1" customWidth="1"/>
    <col min="16" max="16" width="11.69921875" style="214" bestFit="1" customWidth="1"/>
    <col min="17" max="17" width="9.69921875" style="82" bestFit="1" customWidth="1"/>
    <col min="18" max="18" width="9.8984375" style="82" bestFit="1" customWidth="1"/>
    <col min="19" max="19" width="9.69921875" style="82" bestFit="1" customWidth="1"/>
    <col min="20" max="20" width="2.296875" style="82" bestFit="1" customWidth="1"/>
    <col min="21" max="21" width="9.69921875" style="214" bestFit="1" customWidth="1"/>
    <col min="22" max="22" width="2.296875" style="214" bestFit="1" customWidth="1"/>
    <col min="23" max="23" width="9.69921875" style="214" bestFit="1" customWidth="1"/>
    <col min="24" max="24" width="11.69921875" style="214" bestFit="1" customWidth="1"/>
    <col min="25" max="25" width="9.69921875" style="82" bestFit="1" customWidth="1"/>
    <col min="26" max="26" width="2.296875" style="82" bestFit="1" customWidth="1"/>
    <col min="27" max="27" width="9.69921875" style="82" bestFit="1" customWidth="1"/>
    <col min="28" max="28" width="13.3984375" style="82" bestFit="1" customWidth="1"/>
    <col min="29" max="29" width="9.69921875" style="214" bestFit="1" customWidth="1"/>
    <col min="30" max="30" width="9.8984375" style="214" bestFit="1" customWidth="1"/>
    <col min="31" max="31" width="8.296875" style="214" bestFit="1" customWidth="1"/>
    <col min="32" max="32" width="19.69921875" style="214" bestFit="1" customWidth="1"/>
    <col min="33" max="33" width="7.59765625" style="214" bestFit="1" customWidth="1"/>
    <col min="34" max="34" width="10.69921875" style="214" bestFit="1" customWidth="1"/>
    <col min="35" max="35" width="9.69921875" style="214" bestFit="1" customWidth="1"/>
    <col min="36" max="36" width="19.69921875" style="214" bestFit="1" customWidth="1"/>
    <col min="37" max="37" width="6.69921875" style="82" bestFit="1" customWidth="1"/>
    <col min="38" max="38" width="10" style="82" bestFit="1" customWidth="1"/>
    <col min="39" max="39" width="9.69921875" style="105" bestFit="1" customWidth="1"/>
    <col min="40" max="40" width="20.09765625" style="82" customWidth="1"/>
    <col min="41" max="43" width="2.5" style="82" customWidth="1"/>
    <col min="44" max="44" width="4" style="82" bestFit="1" customWidth="1"/>
    <col min="45" max="50" width="7.5" style="82" bestFit="1" customWidth="1"/>
    <col min="51" max="51" width="6.19921875" style="82" bestFit="1" customWidth="1"/>
    <col min="52" max="52" width="4.59765625" style="82" bestFit="1" customWidth="1"/>
    <col min="53" max="55" width="2.5" style="82" customWidth="1"/>
    <col min="56" max="56" width="11.5" style="82" bestFit="1" customWidth="1"/>
    <col min="57" max="57" width="5.19921875" style="82" bestFit="1" customWidth="1"/>
    <col min="58" max="58" width="4.5" style="82" bestFit="1" customWidth="1"/>
    <col min="59" max="59" width="11.5" style="82" bestFit="1" customWidth="1"/>
    <col min="60" max="60" width="5.19921875" style="105" bestFit="1" customWidth="1"/>
    <col min="61" max="61" width="6" style="105" bestFit="1" customWidth="1"/>
    <col min="62" max="62" width="11.5" style="105" bestFit="1" customWidth="1"/>
    <col min="63" max="63" width="5.19921875" style="105" bestFit="1" customWidth="1"/>
    <col min="64" max="64" width="6" style="105" bestFit="1" customWidth="1"/>
    <col min="65" max="65" width="4.59765625" style="82" customWidth="1"/>
    <col min="66" max="66" width="15.19921875" style="82" bestFit="1" customWidth="1"/>
    <col min="67" max="67" width="4.09765625" style="231" bestFit="1" customWidth="1"/>
    <col min="68" max="68" width="4.8984375" style="82" bestFit="1" customWidth="1"/>
    <col min="69" max="69" width="5.3984375" style="82" bestFit="1" customWidth="1"/>
    <col min="70" max="70" width="1.3984375" style="214" customWidth="1"/>
    <col min="71" max="71" width="16" style="82" bestFit="1" customWidth="1"/>
    <col min="72" max="72" width="4.59765625" style="82" bestFit="1" customWidth="1"/>
    <col min="73" max="73" width="4.8984375" style="82" bestFit="1" customWidth="1"/>
    <col min="74" max="74" width="6.09765625" style="82" bestFit="1" customWidth="1"/>
    <col min="75" max="16384" width="9" style="82"/>
  </cols>
  <sheetData>
    <row r="1" spans="6:76" x14ac:dyDescent="0.4">
      <c r="BD1" s="502" t="s">
        <v>891</v>
      </c>
      <c r="BE1" s="502"/>
      <c r="BF1" s="502"/>
      <c r="BG1" s="502"/>
      <c r="BH1" s="502"/>
      <c r="BI1" s="502"/>
      <c r="BJ1" s="502"/>
      <c r="BK1" s="502"/>
      <c r="BL1" s="502"/>
      <c r="BN1" s="497" t="s">
        <v>1011</v>
      </c>
      <c r="BO1" s="497"/>
      <c r="BP1" s="497"/>
      <c r="BQ1" s="497"/>
      <c r="BR1" s="497"/>
      <c r="BS1" s="497"/>
      <c r="BT1" s="497"/>
      <c r="BU1" s="497"/>
      <c r="BV1" s="497"/>
    </row>
    <row r="2" spans="6:76" x14ac:dyDescent="0.4">
      <c r="AG2" s="497" t="s">
        <v>1283</v>
      </c>
      <c r="AH2" s="497"/>
      <c r="AI2" s="497"/>
      <c r="AJ2" s="497"/>
      <c r="AK2" s="497" t="s">
        <v>1282</v>
      </c>
      <c r="AL2" s="497"/>
      <c r="AM2" s="497"/>
      <c r="AN2" s="497"/>
      <c r="BD2" s="499" t="s">
        <v>1187</v>
      </c>
      <c r="BE2" s="500"/>
      <c r="BF2" s="501"/>
      <c r="BG2" s="499" t="s">
        <v>1189</v>
      </c>
      <c r="BH2" s="500"/>
      <c r="BI2" s="501"/>
      <c r="BJ2" s="499" t="s">
        <v>1190</v>
      </c>
      <c r="BK2" s="500"/>
      <c r="BL2" s="501"/>
      <c r="BN2" s="497" t="s">
        <v>1013</v>
      </c>
      <c r="BO2" s="497"/>
      <c r="BP2" s="497"/>
      <c r="BQ2" s="497"/>
      <c r="BS2" s="497" t="s">
        <v>1012</v>
      </c>
      <c r="BT2" s="497"/>
      <c r="BU2" s="497"/>
      <c r="BV2" s="497"/>
    </row>
    <row r="3" spans="6:76" ht="11.4" thickBot="1" x14ac:dyDescent="0.45">
      <c r="I3" s="504" t="s">
        <v>2972</v>
      </c>
      <c r="J3" s="504"/>
      <c r="K3" s="504"/>
      <c r="L3" s="504"/>
      <c r="M3" s="504"/>
      <c r="N3" s="504"/>
      <c r="O3" s="504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4"/>
      <c r="AB3" s="504"/>
      <c r="AC3" s="504"/>
      <c r="AD3" s="504"/>
      <c r="AE3" s="504"/>
      <c r="AF3" s="504"/>
      <c r="AG3" s="504"/>
      <c r="AH3" s="504"/>
      <c r="AI3" s="504"/>
      <c r="AJ3" s="504"/>
      <c r="AK3" s="504"/>
      <c r="AL3" s="504"/>
      <c r="AM3" s="504"/>
      <c r="AN3" s="504"/>
      <c r="BD3" s="106" t="s">
        <v>1014</v>
      </c>
      <c r="BE3" s="107" t="s">
        <v>1252</v>
      </c>
      <c r="BF3" s="108" t="s">
        <v>1188</v>
      </c>
      <c r="BG3" s="106" t="s">
        <v>1014</v>
      </c>
      <c r="BH3" s="107" t="s">
        <v>1252</v>
      </c>
      <c r="BI3" s="108" t="s">
        <v>1188</v>
      </c>
      <c r="BJ3" s="106" t="s">
        <v>1014</v>
      </c>
      <c r="BK3" s="107" t="s">
        <v>1252</v>
      </c>
      <c r="BL3" s="108" t="s">
        <v>1188</v>
      </c>
      <c r="BN3" s="82" t="s">
        <v>1014</v>
      </c>
      <c r="BO3" s="231" t="s">
        <v>723</v>
      </c>
      <c r="BP3" s="82" t="s">
        <v>1015</v>
      </c>
      <c r="BQ3" s="82" t="s">
        <v>974</v>
      </c>
      <c r="BS3" s="82" t="s">
        <v>1014</v>
      </c>
      <c r="BT3" s="160" t="s">
        <v>2940</v>
      </c>
      <c r="BU3" s="82" t="s">
        <v>1015</v>
      </c>
      <c r="BV3" s="82" t="s">
        <v>974</v>
      </c>
    </row>
    <row r="4" spans="6:76" ht="16.5" customHeight="1" x14ac:dyDescent="0.4">
      <c r="G4" s="100"/>
      <c r="H4" s="101"/>
      <c r="I4" s="505" t="s">
        <v>1273</v>
      </c>
      <c r="J4" s="506"/>
      <c r="K4" s="506"/>
      <c r="L4" s="507"/>
      <c r="M4" s="521" t="s">
        <v>1274</v>
      </c>
      <c r="N4" s="522"/>
      <c r="O4" s="522"/>
      <c r="P4" s="523"/>
      <c r="Q4" s="508" t="s">
        <v>1275</v>
      </c>
      <c r="R4" s="509"/>
      <c r="S4" s="509"/>
      <c r="T4" s="510"/>
      <c r="U4" s="524" t="s">
        <v>1061</v>
      </c>
      <c r="V4" s="525"/>
      <c r="W4" s="525"/>
      <c r="X4" s="526"/>
      <c r="Y4" s="511" t="s">
        <v>909</v>
      </c>
      <c r="Z4" s="512"/>
      <c r="AA4" s="512"/>
      <c r="AB4" s="513"/>
      <c r="AC4" s="527" t="s">
        <v>2973</v>
      </c>
      <c r="AD4" s="528"/>
      <c r="AE4" s="528"/>
      <c r="AF4" s="529"/>
      <c r="AG4" s="530" t="s">
        <v>2971</v>
      </c>
      <c r="AH4" s="531"/>
      <c r="AI4" s="531"/>
      <c r="AJ4" s="532"/>
      <c r="AK4" s="514" t="s">
        <v>3016</v>
      </c>
      <c r="AL4" s="515"/>
      <c r="AM4" s="515"/>
      <c r="AN4" s="516"/>
      <c r="AR4" s="503" t="s">
        <v>1066</v>
      </c>
      <c r="AS4" s="503"/>
      <c r="AT4" s="503"/>
      <c r="AU4" s="503"/>
      <c r="AV4" s="503"/>
      <c r="AW4" s="503"/>
      <c r="AX4" s="503"/>
      <c r="AY4" s="503"/>
      <c r="AZ4" s="503"/>
      <c r="BD4" s="109" t="s">
        <v>798</v>
      </c>
      <c r="BE4" s="110">
        <v>4.2</v>
      </c>
      <c r="BF4" s="111">
        <v>2.4570000000000003</v>
      </c>
      <c r="BG4" s="109" t="s">
        <v>798</v>
      </c>
      <c r="BH4" s="110">
        <v>4.2</v>
      </c>
      <c r="BI4" s="111">
        <v>4.9140000000000006</v>
      </c>
      <c r="BJ4" s="109" t="s">
        <v>798</v>
      </c>
      <c r="BK4" s="110">
        <v>4.2</v>
      </c>
      <c r="BL4" s="111">
        <v>7.1744400000000006</v>
      </c>
      <c r="BN4" s="83" t="s">
        <v>1295</v>
      </c>
      <c r="BO4" s="75">
        <v>1150</v>
      </c>
      <c r="BP4" s="75">
        <v>2133</v>
      </c>
      <c r="BQ4" s="84">
        <v>86.9</v>
      </c>
      <c r="BS4" s="85" t="s">
        <v>2941</v>
      </c>
      <c r="BT4" s="205">
        <v>1733</v>
      </c>
      <c r="BU4" s="76">
        <v>10000</v>
      </c>
      <c r="BV4" s="86">
        <v>230.09</v>
      </c>
    </row>
    <row r="5" spans="6:76" ht="16.5" customHeight="1" thickBot="1" x14ac:dyDescent="0.45">
      <c r="G5" s="102" t="s">
        <v>1030</v>
      </c>
      <c r="H5" s="68" t="s">
        <v>1031</v>
      </c>
      <c r="I5" s="517" t="s">
        <v>1064</v>
      </c>
      <c r="J5" s="518"/>
      <c r="K5" s="519" t="s">
        <v>1065</v>
      </c>
      <c r="L5" s="520"/>
      <c r="M5" s="517" t="s">
        <v>891</v>
      </c>
      <c r="N5" s="518"/>
      <c r="O5" s="519" t="s">
        <v>1065</v>
      </c>
      <c r="P5" s="520"/>
      <c r="Q5" s="517" t="s">
        <v>1064</v>
      </c>
      <c r="R5" s="518"/>
      <c r="S5" s="519" t="s">
        <v>1065</v>
      </c>
      <c r="T5" s="520"/>
      <c r="U5" s="517" t="s">
        <v>891</v>
      </c>
      <c r="V5" s="518"/>
      <c r="W5" s="519" t="s">
        <v>1065</v>
      </c>
      <c r="X5" s="520"/>
      <c r="Y5" s="517" t="s">
        <v>1064</v>
      </c>
      <c r="Z5" s="518"/>
      <c r="AA5" s="519" t="s">
        <v>1065</v>
      </c>
      <c r="AB5" s="520"/>
      <c r="AC5" s="517" t="s">
        <v>891</v>
      </c>
      <c r="AD5" s="518"/>
      <c r="AE5" s="519" t="s">
        <v>1065</v>
      </c>
      <c r="AF5" s="520"/>
      <c r="AG5" s="517" t="s">
        <v>891</v>
      </c>
      <c r="AH5" s="518"/>
      <c r="AI5" s="519" t="s">
        <v>1065</v>
      </c>
      <c r="AJ5" s="520"/>
      <c r="AK5" s="517" t="s">
        <v>1064</v>
      </c>
      <c r="AL5" s="518"/>
      <c r="AM5" s="519" t="s">
        <v>1065</v>
      </c>
      <c r="AN5" s="520"/>
      <c r="AR5" s="98"/>
      <c r="AS5" s="99" t="s">
        <v>1276</v>
      </c>
      <c r="AT5" s="99" t="s">
        <v>1277</v>
      </c>
      <c r="AU5" s="99" t="s">
        <v>1278</v>
      </c>
      <c r="AV5" s="99" t="s">
        <v>1279</v>
      </c>
      <c r="AW5" s="99" t="s">
        <v>1280</v>
      </c>
      <c r="AX5" s="99" t="s">
        <v>1281</v>
      </c>
      <c r="AY5" s="99" t="s">
        <v>1129</v>
      </c>
      <c r="AZ5" s="99" t="s">
        <v>910</v>
      </c>
      <c r="BD5" s="109" t="s">
        <v>806</v>
      </c>
      <c r="BE5" s="110">
        <v>3.9</v>
      </c>
      <c r="BF5" s="111">
        <v>2.3330000000000002</v>
      </c>
      <c r="BG5" s="109" t="s">
        <v>815</v>
      </c>
      <c r="BH5" s="110">
        <v>4.4000000000000004</v>
      </c>
      <c r="BI5" s="111">
        <v>4.6320000000000006</v>
      </c>
      <c r="BJ5" s="109" t="s">
        <v>813</v>
      </c>
      <c r="BK5" s="110">
        <v>3.5</v>
      </c>
      <c r="BL5" s="111">
        <v>7.0072000000000001</v>
      </c>
      <c r="BN5" s="79" t="s">
        <v>553</v>
      </c>
      <c r="BO5" s="79">
        <v>756</v>
      </c>
      <c r="BP5" s="79">
        <v>1600</v>
      </c>
      <c r="BQ5" s="230">
        <v>68.12</v>
      </c>
      <c r="BS5" s="88" t="s">
        <v>3055</v>
      </c>
      <c r="BT5" s="207">
        <v>1000</v>
      </c>
      <c r="BU5" s="80">
        <v>1000</v>
      </c>
      <c r="BV5" s="87">
        <v>226.17</v>
      </c>
      <c r="BX5" s="211"/>
    </row>
    <row r="6" spans="6:76" ht="15.6" x14ac:dyDescent="0.4">
      <c r="F6" s="82" t="s">
        <v>1046</v>
      </c>
      <c r="G6" s="102" t="s">
        <v>1033</v>
      </c>
      <c r="H6" s="414">
        <v>8</v>
      </c>
      <c r="I6" s="226">
        <f ca="1">IF(J6="-",M6*OFFSET($AY$6,LOG(H6,2)-1,0),VLOOKUP(J6,$BD$4:$BL$51,OFFSET($BD$4,0,3*LOG(H6,2)-1,0)))</f>
        <v>1.2136206362609192</v>
      </c>
      <c r="J6" s="223" t="s">
        <v>1272</v>
      </c>
      <c r="K6" s="222">
        <f>O6*$AS$9</f>
        <v>60.753977841509418</v>
      </c>
      <c r="L6" s="225" t="s">
        <v>1272</v>
      </c>
      <c r="M6" s="224">
        <f ca="1">Q6*OFFSET($AY$6,LOG(H6,2)-1,0)</f>
        <v>1.3336490508361749</v>
      </c>
      <c r="N6" s="223" t="s">
        <v>1272</v>
      </c>
      <c r="O6" s="223">
        <f>S6*$AT$9</f>
        <v>61.930660388898488</v>
      </c>
      <c r="P6" s="223" t="s">
        <v>1272</v>
      </c>
      <c r="Q6" s="226">
        <f ca="1">U6*OFFSET($AY$6,LOG(H6,2)-1,0)</f>
        <v>1.46554840751228</v>
      </c>
      <c r="R6" s="223" t="s">
        <v>1272</v>
      </c>
      <c r="S6" s="227">
        <f>W6*$AU$9</f>
        <v>63.780288763026249</v>
      </c>
      <c r="T6" s="225" t="s">
        <v>1272</v>
      </c>
      <c r="U6" s="224">
        <f t="shared" ref="U6:U24" ca="1" si="0">Y6*OFFSET($AY$6,LOG(H6,2)-1,0)</f>
        <v>1.610492755508</v>
      </c>
      <c r="V6" s="223" t="s">
        <v>1272</v>
      </c>
      <c r="W6" s="223">
        <f>AA6*$AV$9</f>
        <v>67.06654969824001</v>
      </c>
      <c r="X6" s="223" t="s">
        <v>1272</v>
      </c>
      <c r="Y6" s="226">
        <f t="shared" ref="Y6:Y24" ca="1" si="1">AC6*OFFSET($AY$6,LOG(H6,2)-1,0)</f>
        <v>1.7697722588</v>
      </c>
      <c r="Z6" s="223" t="s">
        <v>1272</v>
      </c>
      <c r="AA6" s="222">
        <f>AE6*$AW$9</f>
        <v>74.435682240000006</v>
      </c>
      <c r="AB6" s="225" t="s">
        <v>1272</v>
      </c>
      <c r="AC6" s="224">
        <f t="shared" ref="AC6:AC24" ca="1" si="2">AG6*OFFSET($AY$6,LOG(H6,2)-1,0)</f>
        <v>1.9448046799999998</v>
      </c>
      <c r="AD6" s="223" t="s">
        <v>1272</v>
      </c>
      <c r="AE6" s="223">
        <f>AI6*$AX$9</f>
        <v>88.931520000000006</v>
      </c>
      <c r="AF6" s="223" t="s">
        <v>1272</v>
      </c>
      <c r="AG6" s="226">
        <f>VLOOKUP(AH6,CPU벤치마크!$B$2:$V$226,18+LOG($H$34,2),FALSE)</f>
        <v>2.1371479999999998</v>
      </c>
      <c r="AH6" s="394" t="s">
        <v>2968</v>
      </c>
      <c r="AI6" s="392">
        <f>VLOOKUP(AJ6,VGA벤치마크!$B$2:$AB$152,27,FALSE)</f>
        <v>118.26</v>
      </c>
      <c r="AJ6" s="395" t="s">
        <v>2998</v>
      </c>
      <c r="AK6" s="224">
        <f ca="1">AG6/OFFSET($AY$6,LOG($H6,2)-1,0)</f>
        <v>2.3485142857142853</v>
      </c>
      <c r="AL6" s="223" t="s">
        <v>918</v>
      </c>
      <c r="AM6" s="412">
        <f t="shared" ref="AM6:AM42" si="3">AI6/$AY$9</f>
        <v>129.95604395604397</v>
      </c>
      <c r="AN6" s="223" t="s">
        <v>918</v>
      </c>
      <c r="AR6" s="97" t="s">
        <v>1100</v>
      </c>
      <c r="AS6" s="215">
        <v>0.97889999999999999</v>
      </c>
      <c r="AT6" s="215">
        <v>0.97889999999999999</v>
      </c>
      <c r="AU6" s="215">
        <v>0.97899999999999998</v>
      </c>
      <c r="AV6" s="215">
        <v>0.97909999999999997</v>
      </c>
      <c r="AW6" s="215">
        <v>0.97919999999999996</v>
      </c>
      <c r="AX6" s="215">
        <v>0.97919999999999996</v>
      </c>
      <c r="AY6" s="215">
        <v>0.91</v>
      </c>
      <c r="AZ6" s="216">
        <v>1</v>
      </c>
      <c r="BD6" s="109" t="s">
        <v>815</v>
      </c>
      <c r="BE6" s="110">
        <v>4.4000000000000004</v>
      </c>
      <c r="BF6" s="111">
        <v>2.3160000000000003</v>
      </c>
      <c r="BG6" s="109" t="s">
        <v>802</v>
      </c>
      <c r="BH6" s="110">
        <v>3.9</v>
      </c>
      <c r="BI6" s="111">
        <v>4.2624000000000004</v>
      </c>
      <c r="BJ6" s="109" t="s">
        <v>815</v>
      </c>
      <c r="BK6" s="110">
        <v>4.4000000000000004</v>
      </c>
      <c r="BL6" s="111">
        <v>6.7627200000000007</v>
      </c>
      <c r="BN6" s="77" t="s">
        <v>530</v>
      </c>
      <c r="BO6" s="77">
        <v>1050</v>
      </c>
      <c r="BP6" s="77">
        <v>2133</v>
      </c>
      <c r="BQ6" s="84">
        <v>65.81</v>
      </c>
      <c r="BS6" s="85" t="s">
        <v>2942</v>
      </c>
      <c r="BT6" s="205">
        <v>1683</v>
      </c>
      <c r="BU6" s="76">
        <v>8008</v>
      </c>
      <c r="BV6" s="86">
        <v>207.5</v>
      </c>
      <c r="BX6" s="211"/>
    </row>
    <row r="7" spans="6:76" ht="15.6" x14ac:dyDescent="0.4">
      <c r="G7" s="102" t="s">
        <v>1035</v>
      </c>
      <c r="H7" s="382">
        <v>4</v>
      </c>
      <c r="I7" s="226">
        <f t="shared" ref="I7:I24" ca="1" si="4">M7*OFFSET($AS$6,LOG(H7,2)-1,0)</f>
        <v>1.2251087399347371</v>
      </c>
      <c r="J7" s="223" t="s">
        <v>1272</v>
      </c>
      <c r="K7" s="222">
        <f t="shared" ref="K7:K24" si="5">O7*$AS$9</f>
        <v>33.808720461269523</v>
      </c>
      <c r="L7" s="225" t="s">
        <v>1272</v>
      </c>
      <c r="M7" s="224">
        <f t="shared" ref="M7:M24" ca="1" si="6">Q7*OFFSET($AT$6,LOG(H7,2)-1,0)</f>
        <v>1.3190231911442045</v>
      </c>
      <c r="N7" s="223" t="s">
        <v>1272</v>
      </c>
      <c r="O7" s="223">
        <f t="shared" ref="O7:O24" si="7">S7*$AT$9</f>
        <v>34.463527483455174</v>
      </c>
      <c r="P7" s="223" t="s">
        <v>1272</v>
      </c>
      <c r="Q7" s="226">
        <f t="shared" ref="Q7:Q24" ca="1" si="8">U7*OFFSET($AY$6,LOG(H7,2)-1,0)</f>
        <v>1.4225875659450005</v>
      </c>
      <c r="R7" s="223" t="s">
        <v>1272</v>
      </c>
      <c r="S7" s="227">
        <f t="shared" ref="S7:S24" si="9">W7*$AU$9</f>
        <v>35.49281924145744</v>
      </c>
      <c r="T7" s="225" t="s">
        <v>1272</v>
      </c>
      <c r="U7" s="224">
        <f t="shared" ca="1" si="0"/>
        <v>1.5632830395000004</v>
      </c>
      <c r="V7" s="223" t="s">
        <v>1272</v>
      </c>
      <c r="W7" s="223">
        <f t="shared" ref="W7:W24" si="10">AA7*$AV$9</f>
        <v>37.321576489439998</v>
      </c>
      <c r="X7" s="223" t="s">
        <v>1272</v>
      </c>
      <c r="Y7" s="226">
        <f t="shared" ca="1" si="1"/>
        <v>1.7178934500000003</v>
      </c>
      <c r="Z7" s="223" t="s">
        <v>1272</v>
      </c>
      <c r="AA7" s="222">
        <f t="shared" ref="AA7:AA24" si="11">AE7*$AW$9</f>
        <v>41.42239344</v>
      </c>
      <c r="AB7" s="225" t="s">
        <v>1272</v>
      </c>
      <c r="AC7" s="224">
        <f t="shared" ca="1" si="2"/>
        <v>1.8877950000000001</v>
      </c>
      <c r="AD7" s="223" t="s">
        <v>1272</v>
      </c>
      <c r="AE7" s="223">
        <f t="shared" ref="AE7:AE24" si="12">AI7*$AX$9</f>
        <v>49.48912</v>
      </c>
      <c r="AF7" s="223" t="s">
        <v>1272</v>
      </c>
      <c r="AG7" s="226">
        <f>VLOOKUP(AH7,CPU벤치마크!$B$2:$V$226,18+LOG($H$34,2),FALSE)</f>
        <v>2.0745</v>
      </c>
      <c r="AH7" s="394" t="s">
        <v>3031</v>
      </c>
      <c r="AI7" s="392">
        <f>VLOOKUP(AJ7,VGA벤치마크!$B$2:$AB$152,27,FALSE)</f>
        <v>65.81</v>
      </c>
      <c r="AJ7" s="395" t="s">
        <v>2981</v>
      </c>
      <c r="AK7" s="224">
        <f t="shared" ref="AK7:AK45" ca="1" si="13">AG7/OFFSET($AY$6,LOG($H7,2)-1,0)</f>
        <v>2.2796703296703296</v>
      </c>
      <c r="AL7" s="223" t="s">
        <v>918</v>
      </c>
      <c r="AM7" s="412">
        <f t="shared" si="3"/>
        <v>72.318681318681314</v>
      </c>
      <c r="AN7" s="223" t="s">
        <v>918</v>
      </c>
      <c r="AR7" s="97" t="s">
        <v>1101</v>
      </c>
      <c r="AS7" s="215">
        <v>0.92879999999999996</v>
      </c>
      <c r="AT7" s="215">
        <v>0.92720000000000002</v>
      </c>
      <c r="AU7" s="215">
        <v>0.9254</v>
      </c>
      <c r="AV7" s="215">
        <v>0.9234</v>
      </c>
      <c r="AW7" s="215">
        <v>0.92120000000000002</v>
      </c>
      <c r="AX7" s="215">
        <v>0.91869999999999996</v>
      </c>
      <c r="AY7" s="215">
        <v>0.91</v>
      </c>
      <c r="AZ7" s="216">
        <v>1</v>
      </c>
      <c r="BD7" s="109" t="s">
        <v>808</v>
      </c>
      <c r="BE7" s="110">
        <v>3.8</v>
      </c>
      <c r="BF7" s="111">
        <v>2.2732000000000001</v>
      </c>
      <c r="BG7" s="109" t="s">
        <v>801</v>
      </c>
      <c r="BH7" s="110">
        <v>4</v>
      </c>
      <c r="BI7" s="111">
        <v>4.1768000000000001</v>
      </c>
      <c r="BJ7" s="109" t="s">
        <v>814</v>
      </c>
      <c r="BK7" s="110">
        <v>3.6</v>
      </c>
      <c r="BL7" s="111">
        <v>6.6632680000000004</v>
      </c>
      <c r="BN7" s="79" t="s">
        <v>549</v>
      </c>
      <c r="BO7" s="79">
        <v>756</v>
      </c>
      <c r="BP7" s="79">
        <v>1600</v>
      </c>
      <c r="BQ7" s="230">
        <v>65.210000000000008</v>
      </c>
      <c r="BS7" s="78" t="s">
        <v>2943</v>
      </c>
      <c r="BT7" s="206">
        <v>1000</v>
      </c>
      <c r="BU7" s="78">
        <v>7012</v>
      </c>
      <c r="BV7" s="87">
        <v>202.5</v>
      </c>
      <c r="BX7" s="211"/>
    </row>
    <row r="8" spans="6:76" ht="15.6" x14ac:dyDescent="0.4">
      <c r="G8" s="102" t="s">
        <v>1037</v>
      </c>
      <c r="H8" s="382">
        <v>4</v>
      </c>
      <c r="I8" s="226">
        <f t="shared" ca="1" si="4"/>
        <v>1.2251087399347371</v>
      </c>
      <c r="J8" s="223" t="s">
        <v>1272</v>
      </c>
      <c r="K8" s="222">
        <f t="shared" si="5"/>
        <v>33.808720461269523</v>
      </c>
      <c r="L8" s="225" t="s">
        <v>1272</v>
      </c>
      <c r="M8" s="224">
        <f t="shared" ca="1" si="6"/>
        <v>1.3190231911442045</v>
      </c>
      <c r="N8" s="223" t="s">
        <v>1272</v>
      </c>
      <c r="O8" s="223">
        <f t="shared" si="7"/>
        <v>34.463527483455174</v>
      </c>
      <c r="P8" s="223" t="s">
        <v>1272</v>
      </c>
      <c r="Q8" s="226">
        <f t="shared" ca="1" si="8"/>
        <v>1.4225875659450005</v>
      </c>
      <c r="R8" s="223" t="s">
        <v>1272</v>
      </c>
      <c r="S8" s="227">
        <f t="shared" si="9"/>
        <v>35.49281924145744</v>
      </c>
      <c r="T8" s="225" t="s">
        <v>1272</v>
      </c>
      <c r="U8" s="224">
        <f t="shared" ca="1" si="0"/>
        <v>1.5632830395000004</v>
      </c>
      <c r="V8" s="223" t="s">
        <v>1272</v>
      </c>
      <c r="W8" s="223">
        <f t="shared" si="10"/>
        <v>37.321576489439998</v>
      </c>
      <c r="X8" s="223" t="s">
        <v>1272</v>
      </c>
      <c r="Y8" s="226">
        <f t="shared" ca="1" si="1"/>
        <v>1.7178934500000003</v>
      </c>
      <c r="Z8" s="223" t="s">
        <v>1272</v>
      </c>
      <c r="AA8" s="222">
        <f t="shared" si="11"/>
        <v>41.42239344</v>
      </c>
      <c r="AB8" s="225" t="s">
        <v>1272</v>
      </c>
      <c r="AC8" s="224">
        <f ca="1">AG8*OFFSET($AY$6,LOG(H8,2)-1,0)</f>
        <v>1.8877950000000001</v>
      </c>
      <c r="AD8" s="223" t="s">
        <v>1272</v>
      </c>
      <c r="AE8" s="223">
        <f t="shared" si="12"/>
        <v>49.48912</v>
      </c>
      <c r="AF8" s="223" t="s">
        <v>1272</v>
      </c>
      <c r="AG8" s="226">
        <f>VLOOKUP(AH8,CPU벤치마크!$B$2:$V$226,18+LOG($H$34,2),FALSE)</f>
        <v>2.0745</v>
      </c>
      <c r="AH8" s="394" t="s">
        <v>3031</v>
      </c>
      <c r="AI8" s="392">
        <f>VLOOKUP(AJ8,VGA벤치마크!$B$2:$AB$152,27,FALSE)</f>
        <v>65.81</v>
      </c>
      <c r="AJ8" s="395" t="s">
        <v>2981</v>
      </c>
      <c r="AK8" s="224">
        <f t="shared" ca="1" si="13"/>
        <v>2.2796703296703296</v>
      </c>
      <c r="AL8" s="223" t="s">
        <v>918</v>
      </c>
      <c r="AM8" s="412">
        <f t="shared" si="3"/>
        <v>72.318681318681314</v>
      </c>
      <c r="AN8" s="223" t="s">
        <v>918</v>
      </c>
      <c r="AR8" s="97" t="s">
        <v>1102</v>
      </c>
      <c r="AS8" s="215">
        <v>0.8962</v>
      </c>
      <c r="AT8" s="215">
        <v>0.89180000000000004</v>
      </c>
      <c r="AU8" s="215">
        <v>0.88660000000000005</v>
      </c>
      <c r="AV8" s="215">
        <v>0.88049999999999995</v>
      </c>
      <c r="AW8" s="215">
        <v>0.87309999999999999</v>
      </c>
      <c r="AX8" s="215">
        <v>0.86429999999999996</v>
      </c>
      <c r="AY8" s="215">
        <v>0.91</v>
      </c>
      <c r="AZ8" s="216">
        <v>1</v>
      </c>
      <c r="BD8" s="109" t="s">
        <v>809</v>
      </c>
      <c r="BE8" s="110">
        <v>3.7</v>
      </c>
      <c r="BF8" s="111">
        <v>2.1806000000000001</v>
      </c>
      <c r="BG8" s="109" t="s">
        <v>817</v>
      </c>
      <c r="BH8" s="110">
        <v>3.9</v>
      </c>
      <c r="BI8" s="111">
        <v>4.0528000000000004</v>
      </c>
      <c r="BJ8" s="109" t="s">
        <v>801</v>
      </c>
      <c r="BK8" s="110">
        <v>4</v>
      </c>
      <c r="BL8" s="111">
        <v>6.098128</v>
      </c>
      <c r="BN8" s="77" t="s">
        <v>376</v>
      </c>
      <c r="BO8" s="77">
        <v>1100</v>
      </c>
      <c r="BP8" s="77">
        <v>2133</v>
      </c>
      <c r="BQ8" s="84">
        <v>64.290000000000006</v>
      </c>
      <c r="BS8" s="85" t="s">
        <v>3059</v>
      </c>
      <c r="BT8" s="205">
        <v>1000</v>
      </c>
      <c r="BU8" s="76">
        <v>7012</v>
      </c>
      <c r="BV8" s="86">
        <v>198.69</v>
      </c>
      <c r="BX8" s="211"/>
    </row>
    <row r="9" spans="6:76" ht="15.6" x14ac:dyDescent="0.4">
      <c r="G9" s="102" t="s">
        <v>1039</v>
      </c>
      <c r="H9" s="382">
        <v>4</v>
      </c>
      <c r="I9" s="226">
        <f t="shared" ca="1" si="4"/>
        <v>1.7244239675147897</v>
      </c>
      <c r="J9" s="223" t="s">
        <v>1272</v>
      </c>
      <c r="K9" s="222">
        <f t="shared" si="5"/>
        <v>69.615859439395734</v>
      </c>
      <c r="L9" s="225" t="s">
        <v>1272</v>
      </c>
      <c r="M9" s="224">
        <f t="shared" ca="1" si="6"/>
        <v>1.85661495210464</v>
      </c>
      <c r="N9" s="223" t="s">
        <v>1272</v>
      </c>
      <c r="O9" s="223">
        <f t="shared" si="7"/>
        <v>70.964178837304516</v>
      </c>
      <c r="P9" s="223" t="s">
        <v>1272</v>
      </c>
      <c r="Q9" s="226">
        <f t="shared" ca="1" si="8"/>
        <v>2.0023888612</v>
      </c>
      <c r="R9" s="223" t="s">
        <v>1272</v>
      </c>
      <c r="S9" s="227">
        <f t="shared" si="9"/>
        <v>73.08360333399024</v>
      </c>
      <c r="T9" s="225" t="s">
        <v>1272</v>
      </c>
      <c r="U9" s="224">
        <f t="shared" ca="1" si="0"/>
        <v>2.2004273199999997</v>
      </c>
      <c r="V9" s="223" t="s">
        <v>1272</v>
      </c>
      <c r="W9" s="223">
        <f t="shared" si="10"/>
        <v>76.849214862240004</v>
      </c>
      <c r="X9" s="223" t="s">
        <v>1272</v>
      </c>
      <c r="Y9" s="226">
        <f t="shared" ca="1" si="1"/>
        <v>2.4180519999999999</v>
      </c>
      <c r="Z9" s="223" t="s">
        <v>1272</v>
      </c>
      <c r="AA9" s="222">
        <f t="shared" si="11"/>
        <v>85.293246240000002</v>
      </c>
      <c r="AB9" s="225" t="s">
        <v>1272</v>
      </c>
      <c r="AC9" s="224">
        <f t="shared" ca="1" si="2"/>
        <v>2.6572</v>
      </c>
      <c r="AD9" s="223" t="s">
        <v>1272</v>
      </c>
      <c r="AE9" s="223">
        <f t="shared" si="12"/>
        <v>101.90352</v>
      </c>
      <c r="AF9" s="223" t="s">
        <v>1272</v>
      </c>
      <c r="AG9" s="226">
        <f>VLOOKUP(AH9,CPU벤치마크!$B$2:$V$226,18+LOG($H$34,2),FALSE)</f>
        <v>2.92</v>
      </c>
      <c r="AH9" s="394" t="s">
        <v>3030</v>
      </c>
      <c r="AI9" s="392">
        <f>VLOOKUP(AJ9,VGA벤치마크!$B$2:$AB$152,27,FALSE)</f>
        <v>135.51</v>
      </c>
      <c r="AJ9" s="395" t="s">
        <v>2999</v>
      </c>
      <c r="AK9" s="224">
        <f t="shared" ca="1" si="13"/>
        <v>3.2087912087912085</v>
      </c>
      <c r="AL9" s="223" t="s">
        <v>918</v>
      </c>
      <c r="AM9" s="412">
        <f>AI9/$AY$9</f>
        <v>148.91208791208788</v>
      </c>
      <c r="AN9" s="223" t="s">
        <v>918</v>
      </c>
      <c r="AR9" s="97" t="s">
        <v>1065</v>
      </c>
      <c r="AS9" s="215">
        <v>0.98099999999999998</v>
      </c>
      <c r="AT9" s="215">
        <v>0.97099999999999997</v>
      </c>
      <c r="AU9" s="215">
        <v>0.95099999999999996</v>
      </c>
      <c r="AV9" s="215">
        <v>0.90100000000000002</v>
      </c>
      <c r="AW9" s="215">
        <v>0.83699999999999997</v>
      </c>
      <c r="AX9" s="215">
        <v>0.752</v>
      </c>
      <c r="AY9" s="215">
        <v>0.91</v>
      </c>
      <c r="AZ9" s="216">
        <v>1</v>
      </c>
      <c r="BD9" s="109" t="s">
        <v>823</v>
      </c>
      <c r="BE9" s="110">
        <v>3.8</v>
      </c>
      <c r="BF9" s="111">
        <v>2.1428000000000003</v>
      </c>
      <c r="BG9" s="109" t="s">
        <v>803</v>
      </c>
      <c r="BH9" s="110">
        <v>3.9</v>
      </c>
      <c r="BI9" s="111">
        <v>4.0188000000000006</v>
      </c>
      <c r="BJ9" s="109" t="s">
        <v>817</v>
      </c>
      <c r="BK9" s="110">
        <v>3.9</v>
      </c>
      <c r="BL9" s="111">
        <v>5.9170880000000006</v>
      </c>
      <c r="BN9" s="79" t="s">
        <v>547</v>
      </c>
      <c r="BO9" s="79">
        <v>756</v>
      </c>
      <c r="BP9" s="79">
        <v>1600</v>
      </c>
      <c r="BQ9" s="230">
        <v>61.79</v>
      </c>
      <c r="BR9" s="79"/>
      <c r="BS9" s="85" t="s">
        <v>2944</v>
      </c>
      <c r="BT9" s="205">
        <v>1050</v>
      </c>
      <c r="BU9" s="76">
        <v>1000</v>
      </c>
      <c r="BV9" s="86">
        <v>191.9</v>
      </c>
      <c r="BX9" s="211"/>
    </row>
    <row r="10" spans="6:76" ht="15.6" x14ac:dyDescent="0.4">
      <c r="G10" s="102" t="s">
        <v>1041</v>
      </c>
      <c r="H10" s="414">
        <v>4</v>
      </c>
      <c r="I10" s="226">
        <f t="shared" ca="1" si="4"/>
        <v>1.2621059018240746</v>
      </c>
      <c r="J10" s="223" t="s">
        <v>1272</v>
      </c>
      <c r="K10" s="222">
        <f t="shared" si="5"/>
        <v>63.831234118108775</v>
      </c>
      <c r="L10" s="225" t="s">
        <v>1272</v>
      </c>
      <c r="M10" s="224">
        <f t="shared" ca="1" si="6"/>
        <v>1.358856483445386</v>
      </c>
      <c r="N10" s="223" t="s">
        <v>1272</v>
      </c>
      <c r="O10" s="223">
        <f t="shared" si="7"/>
        <v>65.067516939968172</v>
      </c>
      <c r="P10" s="223" t="s">
        <v>1272</v>
      </c>
      <c r="Q10" s="226">
        <f t="shared" ca="1" si="8"/>
        <v>1.46554840751228</v>
      </c>
      <c r="R10" s="223" t="s">
        <v>1272</v>
      </c>
      <c r="S10" s="227">
        <f t="shared" si="9"/>
        <v>67.010831040132004</v>
      </c>
      <c r="T10" s="225" t="s">
        <v>1272</v>
      </c>
      <c r="U10" s="224">
        <f t="shared" ca="1" si="0"/>
        <v>1.610492755508</v>
      </c>
      <c r="V10" s="223" t="s">
        <v>1272</v>
      </c>
      <c r="W10" s="223">
        <f t="shared" si="10"/>
        <v>70.463544732000003</v>
      </c>
      <c r="X10" s="223" t="s">
        <v>1272</v>
      </c>
      <c r="Y10" s="226">
        <f t="shared" ca="1" si="1"/>
        <v>1.7697722588</v>
      </c>
      <c r="Z10" s="223" t="s">
        <v>1272</v>
      </c>
      <c r="AA10" s="222">
        <f t="shared" si="11"/>
        <v>78.205932000000004</v>
      </c>
      <c r="AB10" s="225" t="s">
        <v>1272</v>
      </c>
      <c r="AC10" s="224">
        <f t="shared" ca="1" si="2"/>
        <v>1.9448046799999998</v>
      </c>
      <c r="AD10" s="223" t="s">
        <v>1272</v>
      </c>
      <c r="AE10" s="223">
        <f t="shared" si="12"/>
        <v>93.436000000000007</v>
      </c>
      <c r="AF10" s="223" t="s">
        <v>1272</v>
      </c>
      <c r="AG10" s="226">
        <f>VLOOKUP(AH10,CPU벤치마크!$B$2:$V$226,18+LOG($H$34,2),FALSE)</f>
        <v>2.1371479999999998</v>
      </c>
      <c r="AH10" s="394" t="s">
        <v>2968</v>
      </c>
      <c r="AI10" s="392">
        <f>VLOOKUP(AJ10,VGA벤치마크!$B$2:$AB$152,27,FALSE)</f>
        <v>124.25</v>
      </c>
      <c r="AJ10" s="395" t="s">
        <v>2983</v>
      </c>
      <c r="AK10" s="224">
        <f t="shared" ca="1" si="13"/>
        <v>2.3485142857142853</v>
      </c>
      <c r="AL10" s="223" t="s">
        <v>918</v>
      </c>
      <c r="AM10" s="412">
        <f t="shared" si="3"/>
        <v>136.53846153846155</v>
      </c>
      <c r="AN10" s="223" t="s">
        <v>918</v>
      </c>
      <c r="AS10" s="396"/>
      <c r="AT10" s="396"/>
      <c r="AU10" s="396"/>
      <c r="AV10" s="396"/>
      <c r="AW10" s="396"/>
      <c r="AX10" s="396"/>
      <c r="AY10" s="397"/>
      <c r="BD10" s="109" t="s">
        <v>802</v>
      </c>
      <c r="BE10" s="110">
        <v>3.9</v>
      </c>
      <c r="BF10" s="111">
        <v>2.1312000000000002</v>
      </c>
      <c r="BG10" s="109" t="s">
        <v>819</v>
      </c>
      <c r="BH10" s="110">
        <v>3.9</v>
      </c>
      <c r="BI10" s="111">
        <v>3.9372000000000003</v>
      </c>
      <c r="BJ10" s="109" t="s">
        <v>819</v>
      </c>
      <c r="BK10" s="110">
        <v>3.9</v>
      </c>
      <c r="BL10" s="111">
        <v>5.7483120000000003</v>
      </c>
      <c r="BN10" s="77" t="s">
        <v>539</v>
      </c>
      <c r="BO10" s="77">
        <v>1000</v>
      </c>
      <c r="BP10" s="77">
        <v>2133</v>
      </c>
      <c r="BQ10" s="84">
        <v>60.79</v>
      </c>
      <c r="BS10" s="85" t="s">
        <v>2945</v>
      </c>
      <c r="BT10" s="205">
        <v>1000</v>
      </c>
      <c r="BU10" s="76">
        <v>1000</v>
      </c>
      <c r="BV10" s="86">
        <v>184.02</v>
      </c>
      <c r="BX10" s="211"/>
    </row>
    <row r="11" spans="6:76" ht="15.6" x14ac:dyDescent="0.4">
      <c r="G11" s="102" t="s">
        <v>1043</v>
      </c>
      <c r="H11" s="382">
        <v>8</v>
      </c>
      <c r="I11" s="226">
        <f t="shared" ca="1" si="4"/>
        <v>1.6003715723079552</v>
      </c>
      <c r="J11" s="223" t="s">
        <v>1272</v>
      </c>
      <c r="K11" s="222">
        <f t="shared" si="5"/>
        <v>61.411555142685891</v>
      </c>
      <c r="L11" s="225" t="s">
        <v>1272</v>
      </c>
      <c r="M11" s="224">
        <f t="shared" ca="1" si="6"/>
        <v>1.7857303864181602</v>
      </c>
      <c r="N11" s="223" t="s">
        <v>1272</v>
      </c>
      <c r="O11" s="223">
        <f t="shared" si="7"/>
        <v>62.600973641881644</v>
      </c>
      <c r="P11" s="223" t="s">
        <v>1272</v>
      </c>
      <c r="Q11" s="226">
        <f t="shared" ca="1" si="8"/>
        <v>2.0023888612</v>
      </c>
      <c r="R11" s="223" t="s">
        <v>1272</v>
      </c>
      <c r="S11" s="227">
        <f t="shared" si="9"/>
        <v>64.470621670320952</v>
      </c>
      <c r="T11" s="225" t="s">
        <v>1272</v>
      </c>
      <c r="U11" s="224">
        <f t="shared" ca="1" si="0"/>
        <v>2.2004273199999997</v>
      </c>
      <c r="V11" s="223" t="s">
        <v>1272</v>
      </c>
      <c r="W11" s="223">
        <f t="shared" si="10"/>
        <v>67.792451808959996</v>
      </c>
      <c r="X11" s="223" t="s">
        <v>1272</v>
      </c>
      <c r="Y11" s="226">
        <f t="shared" ca="1" si="1"/>
        <v>2.4180519999999999</v>
      </c>
      <c r="Z11" s="223" t="s">
        <v>1272</v>
      </c>
      <c r="AA11" s="222">
        <f t="shared" si="11"/>
        <v>75.241344959999992</v>
      </c>
      <c r="AB11" s="225" t="s">
        <v>1272</v>
      </c>
      <c r="AC11" s="224">
        <f t="shared" ca="1" si="2"/>
        <v>2.6572</v>
      </c>
      <c r="AD11" s="223" t="s">
        <v>1272</v>
      </c>
      <c r="AE11" s="223">
        <f t="shared" si="12"/>
        <v>89.894080000000002</v>
      </c>
      <c r="AF11" s="223" t="s">
        <v>1272</v>
      </c>
      <c r="AG11" s="226">
        <f>VLOOKUP(AH11,CPU벤치마크!$B$2:$V$226,18+LOG($H$34,2),FALSE)</f>
        <v>2.92</v>
      </c>
      <c r="AH11" s="423" t="s">
        <v>3030</v>
      </c>
      <c r="AI11" s="392">
        <f>VLOOKUP(AJ11,VGA벤치마크!$B$2:$AB$152,27,FALSE)</f>
        <v>119.54</v>
      </c>
      <c r="AJ11" s="395" t="s">
        <v>3000</v>
      </c>
      <c r="AK11" s="224">
        <f t="shared" ca="1" si="13"/>
        <v>3.2087912087912085</v>
      </c>
      <c r="AL11" s="223" t="s">
        <v>918</v>
      </c>
      <c r="AM11" s="412">
        <f t="shared" si="3"/>
        <v>131.36263736263737</v>
      </c>
      <c r="AN11" s="223" t="s">
        <v>918</v>
      </c>
      <c r="AS11" s="398"/>
      <c r="AT11" s="398"/>
      <c r="AU11" s="398"/>
      <c r="AV11" s="398"/>
      <c r="AW11" s="398"/>
      <c r="AX11" s="398"/>
      <c r="AY11" s="397"/>
      <c r="BD11" s="109" t="s">
        <v>541</v>
      </c>
      <c r="BE11" s="110">
        <v>3.6</v>
      </c>
      <c r="BF11" s="111">
        <v>2.1215999999999999</v>
      </c>
      <c r="BG11" s="109" t="s">
        <v>820</v>
      </c>
      <c r="BH11" s="110">
        <v>3.8</v>
      </c>
      <c r="BI11" s="111">
        <v>3.9028</v>
      </c>
      <c r="BJ11" s="115" t="s">
        <v>839</v>
      </c>
      <c r="BK11" s="116">
        <v>4.3</v>
      </c>
      <c r="BL11" s="117">
        <v>5.0226000000000006</v>
      </c>
      <c r="BN11" s="77" t="s">
        <v>388</v>
      </c>
      <c r="BO11" s="77">
        <v>1250</v>
      </c>
      <c r="BP11" s="77">
        <v>1600</v>
      </c>
      <c r="BQ11" s="84">
        <v>53.43</v>
      </c>
      <c r="BS11" s="88" t="s">
        <v>2946</v>
      </c>
      <c r="BT11" s="207">
        <v>850</v>
      </c>
      <c r="BU11" s="80">
        <v>1000</v>
      </c>
      <c r="BV11" s="87">
        <v>179.39000000000001</v>
      </c>
      <c r="BX11" s="211"/>
    </row>
    <row r="12" spans="6:76" ht="17.25" customHeight="1" thickBot="1" x14ac:dyDescent="0.45">
      <c r="G12" s="102" t="s">
        <v>1045</v>
      </c>
      <c r="H12" s="382">
        <v>8</v>
      </c>
      <c r="I12" s="226">
        <f t="shared" ca="1" si="4"/>
        <v>1.1713119537721921</v>
      </c>
      <c r="J12" s="223" t="s">
        <v>1272</v>
      </c>
      <c r="K12" s="222">
        <f t="shared" si="5"/>
        <v>56.567059869174692</v>
      </c>
      <c r="L12" s="225" t="s">
        <v>1272</v>
      </c>
      <c r="M12" s="224">
        <f t="shared" ca="1" si="6"/>
        <v>1.3069760698194512</v>
      </c>
      <c r="N12" s="223" t="s">
        <v>1272</v>
      </c>
      <c r="O12" s="223">
        <f t="shared" si="7"/>
        <v>57.662650223419668</v>
      </c>
      <c r="P12" s="223" t="s">
        <v>1272</v>
      </c>
      <c r="Q12" s="226">
        <f t="shared" ca="1" si="8"/>
        <v>1.46554840751228</v>
      </c>
      <c r="R12" s="223" t="s">
        <v>1272</v>
      </c>
      <c r="S12" s="227">
        <f t="shared" si="9"/>
        <v>59.384809704860629</v>
      </c>
      <c r="T12" s="225" t="s">
        <v>1272</v>
      </c>
      <c r="U12" s="224">
        <f t="shared" ca="1" si="0"/>
        <v>1.610492755508</v>
      </c>
      <c r="V12" s="223" t="s">
        <v>1272</v>
      </c>
      <c r="W12" s="223">
        <f t="shared" si="10"/>
        <v>62.444594852639995</v>
      </c>
      <c r="X12" s="223" t="s">
        <v>1272</v>
      </c>
      <c r="Y12" s="226">
        <f t="shared" ca="1" si="1"/>
        <v>1.7697722588</v>
      </c>
      <c r="Z12" s="223" t="s">
        <v>1272</v>
      </c>
      <c r="AA12" s="222">
        <f t="shared" si="11"/>
        <v>69.305876639999994</v>
      </c>
      <c r="AB12" s="225" t="s">
        <v>1272</v>
      </c>
      <c r="AC12" s="224">
        <f t="shared" ca="1" si="2"/>
        <v>1.9448046799999998</v>
      </c>
      <c r="AD12" s="223" t="s">
        <v>1272</v>
      </c>
      <c r="AE12" s="223">
        <f t="shared" si="12"/>
        <v>82.802719999999994</v>
      </c>
      <c r="AF12" s="223" t="s">
        <v>1272</v>
      </c>
      <c r="AG12" s="226">
        <f>VLOOKUP(AH12,CPU벤치마크!$B$2:$V$226,18+LOG($H$34,2),FALSE)</f>
        <v>2.1371479999999998</v>
      </c>
      <c r="AH12" s="423" t="s">
        <v>482</v>
      </c>
      <c r="AI12" s="392">
        <f>VLOOKUP(AJ12,VGA벤치마크!$B$2:$AB$152,27,FALSE)</f>
        <v>110.11</v>
      </c>
      <c r="AJ12" s="395" t="s">
        <v>842</v>
      </c>
      <c r="AK12" s="224">
        <f t="shared" ca="1" si="13"/>
        <v>2.3485142857142853</v>
      </c>
      <c r="AL12" s="223" t="s">
        <v>918</v>
      </c>
      <c r="AM12" s="412">
        <f t="shared" si="3"/>
        <v>121</v>
      </c>
      <c r="AN12" s="223" t="s">
        <v>918</v>
      </c>
      <c r="AR12" s="498" t="s">
        <v>1243</v>
      </c>
      <c r="AS12" s="498"/>
      <c r="AT12" s="498"/>
      <c r="AV12" s="103" t="s">
        <v>3211</v>
      </c>
      <c r="BD12" s="109" t="s">
        <v>801</v>
      </c>
      <c r="BE12" s="110">
        <v>4</v>
      </c>
      <c r="BF12" s="111">
        <v>2.0884</v>
      </c>
      <c r="BG12" s="109" t="s">
        <v>804</v>
      </c>
      <c r="BH12" s="110">
        <v>3.6</v>
      </c>
      <c r="BI12" s="111">
        <v>3.8968000000000003</v>
      </c>
      <c r="BJ12" s="109" t="s">
        <v>802</v>
      </c>
      <c r="BK12" s="110">
        <v>3.9</v>
      </c>
      <c r="BL12" s="111">
        <v>4.2624000000000004</v>
      </c>
      <c r="BN12" s="79" t="s">
        <v>1009</v>
      </c>
      <c r="BO12" s="79">
        <v>600</v>
      </c>
      <c r="BP12" s="79">
        <v>1600</v>
      </c>
      <c r="BQ12" s="230">
        <v>51.160000000000004</v>
      </c>
      <c r="BS12" s="88" t="s">
        <v>2947</v>
      </c>
      <c r="BT12" s="207">
        <v>1050</v>
      </c>
      <c r="BU12" s="80">
        <v>6000</v>
      </c>
      <c r="BV12" s="87">
        <v>178.88</v>
      </c>
      <c r="BX12" s="211"/>
    </row>
    <row r="13" spans="6:76" ht="16.2" thickTop="1" x14ac:dyDescent="0.4">
      <c r="F13" s="82" t="s">
        <v>1054</v>
      </c>
      <c r="G13" s="102" t="s">
        <v>1050</v>
      </c>
      <c r="H13" s="414">
        <v>8</v>
      </c>
      <c r="I13" s="226">
        <f t="shared" ca="1" si="4"/>
        <v>1.6003715723079552</v>
      </c>
      <c r="J13" s="223" t="s">
        <v>1272</v>
      </c>
      <c r="K13" s="222">
        <f t="shared" si="5"/>
        <v>102.07346403965418</v>
      </c>
      <c r="L13" s="225" t="s">
        <v>1272</v>
      </c>
      <c r="M13" s="224">
        <f t="shared" ca="1" si="6"/>
        <v>1.7857303864181602</v>
      </c>
      <c r="N13" s="223" t="s">
        <v>1272</v>
      </c>
      <c r="O13" s="223">
        <f t="shared" si="7"/>
        <v>104.05042205877083</v>
      </c>
      <c r="P13" s="223" t="s">
        <v>1272</v>
      </c>
      <c r="Q13" s="226">
        <f t="shared" ca="1" si="8"/>
        <v>2.0023888612</v>
      </c>
      <c r="R13" s="223" t="s">
        <v>1272</v>
      </c>
      <c r="S13" s="227">
        <f t="shared" si="9"/>
        <v>107.15800417999057</v>
      </c>
      <c r="T13" s="225" t="s">
        <v>1272</v>
      </c>
      <c r="U13" s="224">
        <f t="shared" ca="1" si="0"/>
        <v>2.2004273199999997</v>
      </c>
      <c r="V13" s="223" t="s">
        <v>1272</v>
      </c>
      <c r="W13" s="223">
        <f t="shared" si="10"/>
        <v>112.67928935856001</v>
      </c>
      <c r="X13" s="223" t="s">
        <v>1272</v>
      </c>
      <c r="Y13" s="226">
        <f t="shared" ca="1" si="1"/>
        <v>2.4180519999999999</v>
      </c>
      <c r="Z13" s="223" t="s">
        <v>1272</v>
      </c>
      <c r="AA13" s="222">
        <f t="shared" si="11"/>
        <v>125.06025456</v>
      </c>
      <c r="AB13" s="225" t="s">
        <v>1272</v>
      </c>
      <c r="AC13" s="224">
        <f t="shared" ca="1" si="2"/>
        <v>2.6572</v>
      </c>
      <c r="AD13" s="223" t="s">
        <v>1272</v>
      </c>
      <c r="AE13" s="223">
        <f t="shared" si="12"/>
        <v>149.41488000000001</v>
      </c>
      <c r="AF13" s="223" t="s">
        <v>1272</v>
      </c>
      <c r="AG13" s="226">
        <f>VLOOKUP(AH13,CPU벤치마크!$B$2:$V$226,18+LOG($H$34,2),FALSE)</f>
        <v>2.92</v>
      </c>
      <c r="AH13" s="394" t="s">
        <v>3030</v>
      </c>
      <c r="AI13" s="392">
        <f>VLOOKUP(AJ13,VGA벤치마크!$B$2:$AB$152,27,FALSE)</f>
        <v>198.69</v>
      </c>
      <c r="AJ13" s="395" t="s">
        <v>3001</v>
      </c>
      <c r="AK13" s="224">
        <f t="shared" ca="1" si="13"/>
        <v>3.2087912087912085</v>
      </c>
      <c r="AL13" s="223" t="s">
        <v>918</v>
      </c>
      <c r="AM13" s="412">
        <f t="shared" si="3"/>
        <v>218.34065934065933</v>
      </c>
      <c r="AN13" s="223" t="s">
        <v>918</v>
      </c>
      <c r="AR13" s="98"/>
      <c r="AS13" s="99" t="s">
        <v>1241</v>
      </c>
      <c r="AT13" s="99" t="s">
        <v>1242</v>
      </c>
      <c r="AU13" s="491" t="s">
        <v>3210</v>
      </c>
      <c r="AV13" s="103"/>
      <c r="BD13" s="109" t="s">
        <v>540</v>
      </c>
      <c r="BE13" s="110">
        <v>3.5</v>
      </c>
      <c r="BF13" s="111">
        <v>2.0628000000000002</v>
      </c>
      <c r="BG13" s="109" t="s">
        <v>814</v>
      </c>
      <c r="BH13" s="110">
        <v>3.6</v>
      </c>
      <c r="BI13" s="111">
        <v>3.8516000000000004</v>
      </c>
      <c r="BJ13" s="115" t="s">
        <v>838</v>
      </c>
      <c r="BK13" s="116">
        <v>4.3</v>
      </c>
      <c r="BL13" s="117">
        <v>4.1436000000000002</v>
      </c>
      <c r="BN13" s="77" t="s">
        <v>385</v>
      </c>
      <c r="BO13" s="77">
        <v>1150</v>
      </c>
      <c r="BP13" s="77">
        <v>1333</v>
      </c>
      <c r="BQ13" s="84">
        <v>50.910000000000004</v>
      </c>
      <c r="BS13" s="85" t="s">
        <v>2987</v>
      </c>
      <c r="BT13" s="205">
        <v>1708</v>
      </c>
      <c r="BU13" s="76">
        <v>8008</v>
      </c>
      <c r="BV13" s="86">
        <v>178.84</v>
      </c>
      <c r="BX13" s="211"/>
    </row>
    <row r="14" spans="6:76" ht="15.6" x14ac:dyDescent="0.4">
      <c r="G14" s="102" t="s">
        <v>1094</v>
      </c>
      <c r="H14" s="382">
        <v>8</v>
      </c>
      <c r="I14" s="226">
        <f t="shared" ca="1" si="4"/>
        <v>1.6003715723079552</v>
      </c>
      <c r="J14" s="223" t="s">
        <v>1272</v>
      </c>
      <c r="K14" s="222">
        <f t="shared" si="5"/>
        <v>72.554408004028176</v>
      </c>
      <c r="L14" s="225" t="s">
        <v>1272</v>
      </c>
      <c r="M14" s="224">
        <f t="shared" ca="1" si="6"/>
        <v>1.7857303864181602</v>
      </c>
      <c r="N14" s="223" t="s">
        <v>1272</v>
      </c>
      <c r="O14" s="223">
        <f t="shared" si="7"/>
        <v>73.959641186573066</v>
      </c>
      <c r="P14" s="223" t="s">
        <v>1272</v>
      </c>
      <c r="Q14" s="226">
        <f t="shared" ca="1" si="8"/>
        <v>2.0023888612</v>
      </c>
      <c r="R14" s="223" t="s">
        <v>1272</v>
      </c>
      <c r="S14" s="227">
        <f t="shared" si="9"/>
        <v>76.168528513463514</v>
      </c>
      <c r="T14" s="225" t="s">
        <v>1272</v>
      </c>
      <c r="U14" s="224">
        <f t="shared" ca="1" si="0"/>
        <v>2.2004273199999997</v>
      </c>
      <c r="V14" s="223" t="s">
        <v>1272</v>
      </c>
      <c r="W14" s="223">
        <f t="shared" si="10"/>
        <v>80.093089919519997</v>
      </c>
      <c r="X14" s="223" t="s">
        <v>1272</v>
      </c>
      <c r="Y14" s="226">
        <f t="shared" ca="1" si="1"/>
        <v>2.4180519999999999</v>
      </c>
      <c r="Z14" s="223" t="s">
        <v>1272</v>
      </c>
      <c r="AA14" s="222">
        <f t="shared" si="11"/>
        <v>88.893551519999988</v>
      </c>
      <c r="AB14" s="225" t="s">
        <v>1272</v>
      </c>
      <c r="AC14" s="224">
        <f t="shared" ca="1" si="2"/>
        <v>2.6572</v>
      </c>
      <c r="AD14" s="223" t="s">
        <v>1272</v>
      </c>
      <c r="AE14" s="223">
        <f t="shared" si="12"/>
        <v>106.20495999999999</v>
      </c>
      <c r="AF14" s="223" t="s">
        <v>1272</v>
      </c>
      <c r="AG14" s="226">
        <f>VLOOKUP(AH14,CPU벤치마크!$B$2:$V$226,18+LOG($H$34,2),FALSE)</f>
        <v>2.92</v>
      </c>
      <c r="AH14" s="423" t="s">
        <v>3030</v>
      </c>
      <c r="AI14" s="392">
        <f>VLOOKUP(AJ14,VGA벤치마크!$B$2:$AB$152,27,FALSE)</f>
        <v>141.22999999999999</v>
      </c>
      <c r="AJ14" s="395" t="s">
        <v>3002</v>
      </c>
      <c r="AK14" s="224">
        <f t="shared" ca="1" si="13"/>
        <v>3.2087912087912085</v>
      </c>
      <c r="AL14" s="223" t="s">
        <v>918</v>
      </c>
      <c r="AM14" s="412">
        <f t="shared" si="3"/>
        <v>155.19780219780219</v>
      </c>
      <c r="AN14" s="223" t="s">
        <v>918</v>
      </c>
      <c r="AR14" s="97">
        <v>1</v>
      </c>
      <c r="AS14" s="215">
        <v>1</v>
      </c>
      <c r="AT14" s="215">
        <v>1</v>
      </c>
      <c r="AU14" s="215">
        <v>1</v>
      </c>
      <c r="AV14" s="103"/>
      <c r="BD14" s="109" t="s">
        <v>824</v>
      </c>
      <c r="BE14" s="110">
        <v>3.7</v>
      </c>
      <c r="BF14" s="111">
        <v>2.0554000000000001</v>
      </c>
      <c r="BG14" s="109" t="s">
        <v>821</v>
      </c>
      <c r="BH14" s="110">
        <v>3.6</v>
      </c>
      <c r="BI14" s="111">
        <v>3.6732</v>
      </c>
      <c r="BJ14" s="115" t="s">
        <v>841</v>
      </c>
      <c r="BK14" s="116">
        <v>3.9</v>
      </c>
      <c r="BL14" s="117">
        <v>4.1436000000000002</v>
      </c>
      <c r="BN14" s="77" t="s">
        <v>380</v>
      </c>
      <c r="BO14" s="77">
        <v>1100</v>
      </c>
      <c r="BP14" s="77">
        <v>1600</v>
      </c>
      <c r="BQ14" s="84">
        <v>47.07</v>
      </c>
      <c r="BS14" s="88" t="s">
        <v>2948</v>
      </c>
      <c r="BT14" s="207">
        <v>1127</v>
      </c>
      <c r="BU14" s="80">
        <v>7012</v>
      </c>
      <c r="BV14" s="87">
        <v>175.84</v>
      </c>
      <c r="BX14" s="211"/>
    </row>
    <row r="15" spans="6:76" ht="15.6" x14ac:dyDescent="0.4">
      <c r="G15" s="102" t="s">
        <v>1053</v>
      </c>
      <c r="H15" s="382">
        <v>4</v>
      </c>
      <c r="I15" s="226">
        <f t="shared" ca="1" si="4"/>
        <v>1.2621059018240746</v>
      </c>
      <c r="J15" s="223" t="s">
        <v>1272</v>
      </c>
      <c r="K15" s="222">
        <f t="shared" si="5"/>
        <v>54.424796317685654</v>
      </c>
      <c r="L15" s="225" t="s">
        <v>1272</v>
      </c>
      <c r="M15" s="224">
        <f t="shared" ca="1" si="6"/>
        <v>1.358856483445386</v>
      </c>
      <c r="N15" s="223" t="s">
        <v>1272</v>
      </c>
      <c r="O15" s="223">
        <f t="shared" si="7"/>
        <v>55.47889532893543</v>
      </c>
      <c r="P15" s="223" t="s">
        <v>1272</v>
      </c>
      <c r="Q15" s="226">
        <f t="shared" ca="1" si="8"/>
        <v>1.46554840751228</v>
      </c>
      <c r="R15" s="223" t="s">
        <v>1272</v>
      </c>
      <c r="S15" s="227">
        <f t="shared" si="9"/>
        <v>57.135834530314554</v>
      </c>
      <c r="T15" s="225" t="s">
        <v>1272</v>
      </c>
      <c r="U15" s="224">
        <f t="shared" ca="1" si="0"/>
        <v>1.610492755508</v>
      </c>
      <c r="V15" s="223" t="s">
        <v>1272</v>
      </c>
      <c r="W15" s="223">
        <f t="shared" si="10"/>
        <v>60.079741882559993</v>
      </c>
      <c r="X15" s="223" t="s">
        <v>1272</v>
      </c>
      <c r="Y15" s="226">
        <f t="shared" ca="1" si="1"/>
        <v>1.7697722588</v>
      </c>
      <c r="Z15" s="223" t="s">
        <v>1272</v>
      </c>
      <c r="AA15" s="222">
        <f t="shared" si="11"/>
        <v>66.681178559999992</v>
      </c>
      <c r="AB15" s="225" t="s">
        <v>1272</v>
      </c>
      <c r="AC15" s="224">
        <f t="shared" ca="1" si="2"/>
        <v>1.9448046799999998</v>
      </c>
      <c r="AD15" s="223" t="s">
        <v>1272</v>
      </c>
      <c r="AE15" s="223">
        <f t="shared" si="12"/>
        <v>79.666879999999992</v>
      </c>
      <c r="AF15" s="223" t="s">
        <v>1272</v>
      </c>
      <c r="AG15" s="226">
        <f>VLOOKUP(AH15,CPU벤치마크!$B$2:$V$226,18+LOG($H$34,2),FALSE)</f>
        <v>2.1371479999999998</v>
      </c>
      <c r="AH15" s="423" t="s">
        <v>482</v>
      </c>
      <c r="AI15" s="392">
        <f>VLOOKUP(AJ15,VGA벤치마크!$B$2:$AB$152,27,FALSE)</f>
        <v>105.94</v>
      </c>
      <c r="AJ15" s="395" t="s">
        <v>3003</v>
      </c>
      <c r="AK15" s="224">
        <f t="shared" ca="1" si="13"/>
        <v>2.3485142857142853</v>
      </c>
      <c r="AL15" s="223" t="s">
        <v>918</v>
      </c>
      <c r="AM15" s="412">
        <f t="shared" si="3"/>
        <v>116.41758241758241</v>
      </c>
      <c r="AN15" s="223" t="s">
        <v>918</v>
      </c>
      <c r="AR15" s="97">
        <v>2</v>
      </c>
      <c r="AS15" s="215">
        <v>1.37</v>
      </c>
      <c r="AT15" s="215">
        <v>1.36</v>
      </c>
      <c r="AU15" s="215">
        <v>1</v>
      </c>
      <c r="AV15" s="103"/>
      <c r="BD15" s="109" t="s">
        <v>817</v>
      </c>
      <c r="BE15" s="110">
        <v>3.9</v>
      </c>
      <c r="BF15" s="111">
        <v>2.0264000000000002</v>
      </c>
      <c r="BG15" s="109" t="s">
        <v>822</v>
      </c>
      <c r="BH15" s="110">
        <v>3.4</v>
      </c>
      <c r="BI15" s="111">
        <v>3.6732</v>
      </c>
      <c r="BJ15" s="109" t="s">
        <v>803</v>
      </c>
      <c r="BK15" s="110">
        <v>3.9</v>
      </c>
      <c r="BL15" s="111">
        <v>4.0188000000000006</v>
      </c>
      <c r="BN15" s="82" t="s">
        <v>1269</v>
      </c>
      <c r="BO15" s="231">
        <v>0</v>
      </c>
      <c r="BP15" s="82">
        <v>0</v>
      </c>
      <c r="BQ15" s="82">
        <v>0</v>
      </c>
      <c r="BS15" s="85" t="s">
        <v>2988</v>
      </c>
      <c r="BT15" s="205">
        <v>1708</v>
      </c>
      <c r="BU15" s="76">
        <v>8008</v>
      </c>
      <c r="BV15" s="86">
        <v>174.78</v>
      </c>
      <c r="BX15" s="211"/>
    </row>
    <row r="16" spans="6:76" ht="15.6" x14ac:dyDescent="0.4">
      <c r="G16" s="102" t="s">
        <v>1056</v>
      </c>
      <c r="H16" s="382">
        <v>4</v>
      </c>
      <c r="I16" s="226">
        <f t="shared" ca="1" si="4"/>
        <v>1.2621059018240746</v>
      </c>
      <c r="J16" s="223" t="s">
        <v>1272</v>
      </c>
      <c r="K16" s="222">
        <f t="shared" si="5"/>
        <v>73.473988761142195</v>
      </c>
      <c r="L16" s="225" t="s">
        <v>1272</v>
      </c>
      <c r="M16" s="224">
        <f t="shared" ca="1" si="6"/>
        <v>1.358856483445386</v>
      </c>
      <c r="N16" s="223" t="s">
        <v>1272</v>
      </c>
      <c r="O16" s="223">
        <f t="shared" si="7"/>
        <v>74.897032376291733</v>
      </c>
      <c r="P16" s="223" t="s">
        <v>1272</v>
      </c>
      <c r="Q16" s="226">
        <f t="shared" ca="1" si="8"/>
        <v>1.46554840751228</v>
      </c>
      <c r="R16" s="223" t="s">
        <v>1272</v>
      </c>
      <c r="S16" s="227">
        <f t="shared" si="9"/>
        <v>77.13391593850848</v>
      </c>
      <c r="T16" s="225" t="s">
        <v>1272</v>
      </c>
      <c r="U16" s="224">
        <f t="shared" ca="1" si="0"/>
        <v>1.610492755508</v>
      </c>
      <c r="V16" s="223" t="s">
        <v>1272</v>
      </c>
      <c r="W16" s="223">
        <f t="shared" si="10"/>
        <v>81.108218652480005</v>
      </c>
      <c r="X16" s="223" t="s">
        <v>1272</v>
      </c>
      <c r="Y16" s="226">
        <f t="shared" ca="1" si="1"/>
        <v>1.7697722588</v>
      </c>
      <c r="Z16" s="223" t="s">
        <v>1272</v>
      </c>
      <c r="AA16" s="222">
        <f t="shared" si="11"/>
        <v>90.020220480000006</v>
      </c>
      <c r="AB16" s="225" t="s">
        <v>1272</v>
      </c>
      <c r="AC16" s="224">
        <f t="shared" ca="1" si="2"/>
        <v>1.9448046799999998</v>
      </c>
      <c r="AD16" s="223" t="s">
        <v>1272</v>
      </c>
      <c r="AE16" s="223">
        <f t="shared" si="12"/>
        <v>107.55104000000001</v>
      </c>
      <c r="AF16" s="223" t="s">
        <v>1272</v>
      </c>
      <c r="AG16" s="226">
        <f>VLOOKUP(AH16,CPU벤치마크!$B$2:$V$226,18+LOG($H$34,2),FALSE)</f>
        <v>2.1371479999999998</v>
      </c>
      <c r="AH16" s="423" t="s">
        <v>482</v>
      </c>
      <c r="AI16" s="392">
        <f>VLOOKUP(AJ16,VGA벤치마크!$B$2:$AB$152,27,FALSE)</f>
        <v>143.02000000000001</v>
      </c>
      <c r="AJ16" s="393" t="s">
        <v>2996</v>
      </c>
      <c r="AK16" s="224">
        <f t="shared" ca="1" si="13"/>
        <v>2.3485142857142853</v>
      </c>
      <c r="AL16" s="223" t="s">
        <v>918</v>
      </c>
      <c r="AM16" s="412">
        <f t="shared" si="3"/>
        <v>157.16483516483518</v>
      </c>
      <c r="AN16" s="223" t="s">
        <v>918</v>
      </c>
      <c r="AR16" s="97">
        <v>3</v>
      </c>
      <c r="AS16" s="215">
        <v>1.62</v>
      </c>
      <c r="AT16" s="215">
        <v>1.58</v>
      </c>
      <c r="AU16" s="215">
        <v>1</v>
      </c>
      <c r="AV16" s="473"/>
      <c r="BD16" s="109" t="s">
        <v>803</v>
      </c>
      <c r="BE16" s="110">
        <v>3.9</v>
      </c>
      <c r="BF16" s="111">
        <v>2.0094000000000003</v>
      </c>
      <c r="BG16" s="109" t="s">
        <v>813</v>
      </c>
      <c r="BH16" s="110">
        <v>3.5</v>
      </c>
      <c r="BI16" s="111">
        <v>3.5036</v>
      </c>
      <c r="BJ16" s="115" t="s">
        <v>840</v>
      </c>
      <c r="BK16" s="116">
        <v>4</v>
      </c>
      <c r="BL16" s="117">
        <v>4.0176000000000007</v>
      </c>
      <c r="BS16" s="85" t="s">
        <v>2949</v>
      </c>
      <c r="BT16" s="205">
        <v>1000</v>
      </c>
      <c r="BU16" s="76">
        <v>6000</v>
      </c>
      <c r="BV16" s="86">
        <v>172.74</v>
      </c>
      <c r="BX16" s="211"/>
    </row>
    <row r="17" spans="6:76" ht="15.6" x14ac:dyDescent="0.4">
      <c r="G17" s="102" t="s">
        <v>1058</v>
      </c>
      <c r="H17" s="414">
        <v>4</v>
      </c>
      <c r="I17" s="226">
        <f t="shared" ca="1" si="4"/>
        <v>1.2621059018240746</v>
      </c>
      <c r="J17" s="223" t="s">
        <v>1272</v>
      </c>
      <c r="K17" s="222">
        <f t="shared" si="5"/>
        <v>51.373226654413507</v>
      </c>
      <c r="L17" s="225" t="s">
        <v>1272</v>
      </c>
      <c r="M17" s="224">
        <f t="shared" ca="1" si="6"/>
        <v>1.358856483445386</v>
      </c>
      <c r="N17" s="223" t="s">
        <v>1272</v>
      </c>
      <c r="O17" s="223">
        <f t="shared" si="7"/>
        <v>52.368222889310402</v>
      </c>
      <c r="P17" s="223" t="s">
        <v>1272</v>
      </c>
      <c r="Q17" s="226">
        <f t="shared" ca="1" si="8"/>
        <v>1.46554840751228</v>
      </c>
      <c r="R17" s="223" t="s">
        <v>1272</v>
      </c>
      <c r="S17" s="227">
        <f t="shared" si="9"/>
        <v>53.932258382400001</v>
      </c>
      <c r="T17" s="225" t="s">
        <v>1272</v>
      </c>
      <c r="U17" s="224">
        <f t="shared" ca="1" si="0"/>
        <v>1.610492755508</v>
      </c>
      <c r="V17" s="223" t="s">
        <v>1272</v>
      </c>
      <c r="W17" s="223">
        <f t="shared" si="10"/>
        <v>56.711102400000001</v>
      </c>
      <c r="X17" s="223" t="s">
        <v>1272</v>
      </c>
      <c r="Y17" s="226">
        <f t="shared" ca="1" si="1"/>
        <v>1.7697722588</v>
      </c>
      <c r="Z17" s="223" t="s">
        <v>1272</v>
      </c>
      <c r="AA17" s="222">
        <f t="shared" si="11"/>
        <v>62.942399999999999</v>
      </c>
      <c r="AB17" s="225" t="s">
        <v>1272</v>
      </c>
      <c r="AC17" s="224">
        <f t="shared" ca="1" si="2"/>
        <v>1.9448046799999998</v>
      </c>
      <c r="AD17" s="223" t="s">
        <v>1272</v>
      </c>
      <c r="AE17" s="223">
        <f t="shared" si="12"/>
        <v>75.2</v>
      </c>
      <c r="AF17" s="223" t="s">
        <v>1272</v>
      </c>
      <c r="AG17" s="226">
        <f>VLOOKUP(AH17,CPU벤치마크!$B$2:$V$226,18+LOG($H$34,2),FALSE)</f>
        <v>2.1371479999999998</v>
      </c>
      <c r="AH17" s="423" t="s">
        <v>482</v>
      </c>
      <c r="AI17" s="392">
        <f>VLOOKUP(AJ17,VGA벤치마크!$B$2:$AB$152,27,FALSE)</f>
        <v>100</v>
      </c>
      <c r="AJ17" s="424" t="s">
        <v>637</v>
      </c>
      <c r="AK17" s="224">
        <f t="shared" ca="1" si="13"/>
        <v>2.3485142857142853</v>
      </c>
      <c r="AL17" s="223" t="s">
        <v>918</v>
      </c>
      <c r="AM17" s="412">
        <f t="shared" si="3"/>
        <v>109.89010989010988</v>
      </c>
      <c r="AN17" s="223" t="s">
        <v>918</v>
      </c>
      <c r="AR17" s="97">
        <v>4</v>
      </c>
      <c r="AS17" s="215">
        <v>1.88</v>
      </c>
      <c r="AT17" s="215">
        <v>1.78</v>
      </c>
      <c r="AU17" s="215">
        <v>1</v>
      </c>
      <c r="AV17" s="473"/>
      <c r="BD17" s="109" t="s">
        <v>1170</v>
      </c>
      <c r="BE17" s="110">
        <v>3.6</v>
      </c>
      <c r="BF17" s="111">
        <v>2</v>
      </c>
      <c r="BG17" s="109" t="s">
        <v>806</v>
      </c>
      <c r="BH17" s="110">
        <v>3.9</v>
      </c>
      <c r="BI17" s="111">
        <v>3.40618</v>
      </c>
      <c r="BJ17" s="109" t="s">
        <v>820</v>
      </c>
      <c r="BK17" s="110">
        <v>3.8</v>
      </c>
      <c r="BL17" s="111">
        <v>3.9028</v>
      </c>
      <c r="BS17" s="78" t="s">
        <v>2950</v>
      </c>
      <c r="BT17" s="206">
        <v>1266</v>
      </c>
      <c r="BU17" s="78">
        <v>7000</v>
      </c>
      <c r="BV17" s="87">
        <v>170.93</v>
      </c>
      <c r="BX17" s="211"/>
    </row>
    <row r="18" spans="6:76" ht="15.6" x14ac:dyDescent="0.4">
      <c r="F18" s="416" t="s">
        <v>1060</v>
      </c>
      <c r="G18" s="102" t="s">
        <v>1096</v>
      </c>
      <c r="H18" s="419">
        <v>4</v>
      </c>
      <c r="I18" s="226">
        <f ca="1">M18*OFFSET($AS$6,LOG(H18,2)-1,0)</f>
        <v>1.2621059018240746</v>
      </c>
      <c r="J18" s="223" t="s">
        <v>918</v>
      </c>
      <c r="K18" s="417">
        <f>O18*$AS$9</f>
        <v>49.081980745626659</v>
      </c>
      <c r="L18" s="225" t="s">
        <v>918</v>
      </c>
      <c r="M18" s="224">
        <f ca="1">Q18*OFFSET($AT$6,LOG(H18,2)-1,0)</f>
        <v>1.358856483445386</v>
      </c>
      <c r="N18" s="223" t="s">
        <v>918</v>
      </c>
      <c r="O18" s="223">
        <f>S18*$AT$9</f>
        <v>50.032600148447159</v>
      </c>
      <c r="P18" s="223" t="s">
        <v>918</v>
      </c>
      <c r="Q18" s="226">
        <f ca="1">U18*OFFSET($AY$6,LOG(H18,2)-1,0)</f>
        <v>1.46554840751228</v>
      </c>
      <c r="R18" s="223" t="s">
        <v>918</v>
      </c>
      <c r="S18" s="227">
        <f>W18*$AU$9</f>
        <v>51.526879658544964</v>
      </c>
      <c r="T18" s="225" t="s">
        <v>918</v>
      </c>
      <c r="U18" s="224">
        <f ca="1">Y18*OFFSET($AY$6,LOG(H18,2)-1,0)</f>
        <v>1.610492755508</v>
      </c>
      <c r="V18" s="223" t="s">
        <v>918</v>
      </c>
      <c r="W18" s="223">
        <f>AA18*$AV$9</f>
        <v>54.181787232960005</v>
      </c>
      <c r="X18" s="223" t="s">
        <v>918</v>
      </c>
      <c r="Y18" s="226">
        <f ca="1">AC18*OFFSET($AY$6,LOG(H18,2)-1,0)</f>
        <v>1.7697722588</v>
      </c>
      <c r="Z18" s="223" t="s">
        <v>918</v>
      </c>
      <c r="AA18" s="417">
        <f>AE18*$AW$9</f>
        <v>60.135168960000001</v>
      </c>
      <c r="AB18" s="225" t="s">
        <v>918</v>
      </c>
      <c r="AC18" s="224">
        <f ca="1">AG18*OFFSET($AY$6,LOG(H18,2)-1,0)</f>
        <v>1.9448046799999998</v>
      </c>
      <c r="AD18" s="223" t="s">
        <v>918</v>
      </c>
      <c r="AE18" s="223">
        <f>AI18*$AX$9</f>
        <v>71.846080000000001</v>
      </c>
      <c r="AF18" s="223" t="s">
        <v>918</v>
      </c>
      <c r="AG18" s="226">
        <f>VLOOKUP(AH18,CPU벤치마크!$B$2:$V$226,18+LOG($H$34,2),FALSE)</f>
        <v>2.1371479999999998</v>
      </c>
      <c r="AH18" s="423" t="s">
        <v>482</v>
      </c>
      <c r="AI18" s="392">
        <f>VLOOKUP(AJ18,VGA벤치마크!$B$2:$AB$152,27,FALSE)</f>
        <v>95.54</v>
      </c>
      <c r="AJ18" s="395" t="s">
        <v>3008</v>
      </c>
      <c r="AK18" s="224">
        <f t="shared" ca="1" si="13"/>
        <v>2.3485142857142853</v>
      </c>
      <c r="AL18" s="223" t="s">
        <v>918</v>
      </c>
      <c r="AM18" s="412">
        <f t="shared" si="3"/>
        <v>104.98901098901099</v>
      </c>
      <c r="AN18" s="223" t="s">
        <v>918</v>
      </c>
      <c r="AR18" s="428"/>
      <c r="AS18" s="427"/>
      <c r="AT18" s="427"/>
      <c r="AU18" s="427"/>
      <c r="AV18" s="427"/>
      <c r="AW18" s="427"/>
      <c r="AX18" s="427"/>
      <c r="AY18" s="427"/>
      <c r="AZ18" s="469"/>
      <c r="BD18" s="112" t="s">
        <v>825</v>
      </c>
      <c r="BE18" s="113">
        <v>3.6</v>
      </c>
      <c r="BF18" s="114">
        <v>2</v>
      </c>
      <c r="BG18" s="115" t="s">
        <v>839</v>
      </c>
      <c r="BH18" s="116">
        <v>4.3</v>
      </c>
      <c r="BI18" s="117">
        <v>3.3484000000000003</v>
      </c>
      <c r="BJ18" s="109" t="s">
        <v>804</v>
      </c>
      <c r="BK18" s="110">
        <v>3.6</v>
      </c>
      <c r="BL18" s="111">
        <v>3.8968000000000003</v>
      </c>
      <c r="BS18" s="88" t="s">
        <v>3141</v>
      </c>
      <c r="BT18" s="207">
        <v>1050</v>
      </c>
      <c r="BU18" s="80">
        <v>7012</v>
      </c>
      <c r="BV18" s="87">
        <v>161.67000000000002</v>
      </c>
      <c r="BX18" s="211"/>
    </row>
    <row r="19" spans="6:76" ht="15.6" x14ac:dyDescent="0.4">
      <c r="F19" s="416"/>
      <c r="G19" s="102" t="s">
        <v>1059</v>
      </c>
      <c r="H19" s="419">
        <v>4</v>
      </c>
      <c r="I19" s="226">
        <f ca="1">M19*OFFSET($AS$6,LOG(H19,2)-1,0)</f>
        <v>1.2621059018240746</v>
      </c>
      <c r="J19" s="223" t="s">
        <v>918</v>
      </c>
      <c r="K19" s="417">
        <f>O19*$AS$9</f>
        <v>44.958404868709479</v>
      </c>
      <c r="L19" s="225" t="s">
        <v>918</v>
      </c>
      <c r="M19" s="224">
        <f ca="1">Q19*OFFSET($AT$6,LOG(H19,2)-1,0)</f>
        <v>1.358856483445386</v>
      </c>
      <c r="N19" s="223" t="s">
        <v>918</v>
      </c>
      <c r="O19" s="223">
        <f>S19*$AT$9</f>
        <v>45.829158887573371</v>
      </c>
      <c r="P19" s="223" t="s">
        <v>918</v>
      </c>
      <c r="Q19" s="226">
        <f ca="1">U19*OFFSET($AY$6,LOG(H19,2)-1,0)</f>
        <v>1.46554840751228</v>
      </c>
      <c r="R19" s="223" t="s">
        <v>918</v>
      </c>
      <c r="S19" s="227">
        <f>W19*$AU$9</f>
        <v>47.197897927470002</v>
      </c>
      <c r="T19" s="225" t="s">
        <v>918</v>
      </c>
      <c r="U19" s="224">
        <f ca="1">Y19*OFFSET($AY$6,LOG(H19,2)-1,0)</f>
        <v>1.610492755508</v>
      </c>
      <c r="V19" s="223" t="s">
        <v>918</v>
      </c>
      <c r="W19" s="223">
        <f>AA19*$AV$9</f>
        <v>49.629755970000005</v>
      </c>
      <c r="X19" s="223" t="s">
        <v>918</v>
      </c>
      <c r="Y19" s="226">
        <f ca="1">AC19*OFFSET($AY$6,LOG(H19,2)-1,0)</f>
        <v>1.7697722588</v>
      </c>
      <c r="Z19" s="223" t="s">
        <v>918</v>
      </c>
      <c r="AA19" s="417">
        <f>AE19*$AW$9</f>
        <v>55.082970000000003</v>
      </c>
      <c r="AB19" s="225" t="s">
        <v>918</v>
      </c>
      <c r="AC19" s="224">
        <f ca="1">AG19*OFFSET($AY$6,LOG(H19,2)-1,0)</f>
        <v>1.9448046799999998</v>
      </c>
      <c r="AD19" s="223" t="s">
        <v>918</v>
      </c>
      <c r="AE19" s="392">
        <f>VLOOKUP(AF19,VGA벤치마크!$B$2:$AB$152,27,FALSE)</f>
        <v>65.81</v>
      </c>
      <c r="AF19" s="395" t="s">
        <v>2981</v>
      </c>
      <c r="AG19" s="226">
        <f>VLOOKUP(AH19,CPU벤치마크!$B$2:$V$226,18+LOG($H$34,2),FALSE)</f>
        <v>2.1371479999999998</v>
      </c>
      <c r="AH19" s="423" t="s">
        <v>482</v>
      </c>
      <c r="AI19" s="223">
        <f>AE19/$AY$9</f>
        <v>72.318681318681314</v>
      </c>
      <c r="AJ19" s="223" t="s">
        <v>918</v>
      </c>
      <c r="AK19" s="224">
        <f t="shared" ca="1" si="13"/>
        <v>2.3485142857142853</v>
      </c>
      <c r="AL19" s="223" t="s">
        <v>918</v>
      </c>
      <c r="AM19" s="412">
        <f t="shared" si="3"/>
        <v>79.47107837217726</v>
      </c>
      <c r="AN19" s="223" t="s">
        <v>918</v>
      </c>
      <c r="AR19" s="428"/>
      <c r="AS19" s="427"/>
      <c r="AT19" s="427"/>
      <c r="AU19" s="427"/>
      <c r="AV19" s="427"/>
      <c r="AW19" s="427"/>
      <c r="AX19" s="427"/>
      <c r="AY19" s="427"/>
      <c r="AZ19" s="469"/>
      <c r="BD19" s="109" t="s">
        <v>819</v>
      </c>
      <c r="BE19" s="110">
        <v>3.9</v>
      </c>
      <c r="BF19" s="111">
        <v>1.9686000000000001</v>
      </c>
      <c r="BG19" s="109" t="s">
        <v>808</v>
      </c>
      <c r="BH19" s="110">
        <v>3.8</v>
      </c>
      <c r="BI19" s="111">
        <v>3.3188720000000003</v>
      </c>
      <c r="BJ19" s="109" t="s">
        <v>821</v>
      </c>
      <c r="BK19" s="110">
        <v>3.6</v>
      </c>
      <c r="BL19" s="111">
        <v>3.6732</v>
      </c>
      <c r="BS19" s="85" t="s">
        <v>2951</v>
      </c>
      <c r="BT19" s="205">
        <v>1206</v>
      </c>
      <c r="BU19" s="76">
        <v>6600</v>
      </c>
      <c r="BV19" s="86">
        <v>161.28</v>
      </c>
      <c r="BX19" s="211"/>
    </row>
    <row r="20" spans="6:76" ht="15.6" x14ac:dyDescent="0.25">
      <c r="F20" s="416"/>
      <c r="G20" s="102" t="s">
        <v>1097</v>
      </c>
      <c r="H20" s="419">
        <v>4</v>
      </c>
      <c r="I20" s="226">
        <f ca="1">M20*OFFSET($AS$6,LOG(H20,2)-1,0)</f>
        <v>1.2621059018240746</v>
      </c>
      <c r="J20" s="223" t="s">
        <v>918</v>
      </c>
      <c r="K20" s="417">
        <f>O20*$AS$9</f>
        <v>59.803573148402741</v>
      </c>
      <c r="L20" s="225" t="s">
        <v>918</v>
      </c>
      <c r="M20" s="224">
        <f ca="1">Q20*OFFSET($AT$6,LOG(H20,2)-1,0)</f>
        <v>1.358856483445386</v>
      </c>
      <c r="N20" s="223" t="s">
        <v>918</v>
      </c>
      <c r="O20" s="223">
        <f>S20*$AT$9</f>
        <v>60.961848265446221</v>
      </c>
      <c r="P20" s="223" t="s">
        <v>918</v>
      </c>
      <c r="Q20" s="226">
        <f ca="1">U20*OFFSET($AY$6,LOG(H20,2)-1,0)</f>
        <v>1.46554840751228</v>
      </c>
      <c r="R20" s="223" t="s">
        <v>918</v>
      </c>
      <c r="S20" s="227">
        <f>W20*$AU$9</f>
        <v>62.782541982951827</v>
      </c>
      <c r="T20" s="225" t="s">
        <v>918</v>
      </c>
      <c r="U20" s="224">
        <f ca="1">Y20*OFFSET($AY$6,LOG(H20,2)-1,0)</f>
        <v>1.610492755508</v>
      </c>
      <c r="V20" s="223" t="s">
        <v>918</v>
      </c>
      <c r="W20" s="223">
        <f>AA20*$AV$9</f>
        <v>66.017394303839993</v>
      </c>
      <c r="X20" s="223" t="s">
        <v>918</v>
      </c>
      <c r="Y20" s="226">
        <f ca="1">AC20*OFFSET($AY$6,LOG(H20,2)-1,0)</f>
        <v>1.7697722588</v>
      </c>
      <c r="Z20" s="223" t="s">
        <v>918</v>
      </c>
      <c r="AA20" s="417">
        <f>AE20*$AW$9</f>
        <v>73.271247839999987</v>
      </c>
      <c r="AB20" s="225" t="s">
        <v>918</v>
      </c>
      <c r="AC20" s="224">
        <f ca="1">AG20*OFFSET($AY$6,LOG(H20,2)-1,0)</f>
        <v>1.9448046799999998</v>
      </c>
      <c r="AD20" s="223" t="s">
        <v>918</v>
      </c>
      <c r="AE20" s="223">
        <f>AI20*$AX$9</f>
        <v>87.540319999999994</v>
      </c>
      <c r="AF20" s="223" t="s">
        <v>918</v>
      </c>
      <c r="AG20" s="226">
        <f>VLOOKUP(AH20,CPU벤치마크!$B$2:$V$226,18+LOG($H$34,2),FALSE)</f>
        <v>2.1371479999999998</v>
      </c>
      <c r="AH20" s="423" t="s">
        <v>482</v>
      </c>
      <c r="AI20" s="392">
        <f>VLOOKUP(AJ20,VGA벤치마크!$B$2:$AB$152,27,FALSE)</f>
        <v>116.41</v>
      </c>
      <c r="AJ20" s="395" t="s">
        <v>2975</v>
      </c>
      <c r="AK20" s="224">
        <f t="shared" ca="1" si="13"/>
        <v>2.3485142857142853</v>
      </c>
      <c r="AL20" s="223" t="s">
        <v>918</v>
      </c>
      <c r="AM20" s="412">
        <f t="shared" si="3"/>
        <v>127.92307692307692</v>
      </c>
      <c r="AN20" s="223" t="s">
        <v>918</v>
      </c>
      <c r="AR20" s="428"/>
      <c r="AS20" s="427"/>
      <c r="AT20" s="427"/>
      <c r="AU20" s="427"/>
      <c r="AV20" s="427"/>
      <c r="AW20" s="427"/>
      <c r="AX20" s="427"/>
      <c r="AY20" s="427"/>
      <c r="AZ20" s="469"/>
      <c r="BD20" s="109" t="s">
        <v>820</v>
      </c>
      <c r="BE20" s="110">
        <v>3.8</v>
      </c>
      <c r="BF20" s="111">
        <v>1.9514</v>
      </c>
      <c r="BG20" s="109" t="s">
        <v>1293</v>
      </c>
      <c r="BH20" s="38">
        <v>2.7</v>
      </c>
      <c r="BI20" s="111">
        <v>3.2880000000000003</v>
      </c>
      <c r="BJ20" s="109" t="s">
        <v>822</v>
      </c>
      <c r="BK20" s="110">
        <v>3.4</v>
      </c>
      <c r="BL20" s="111">
        <v>3.6732</v>
      </c>
      <c r="BS20" s="78" t="s">
        <v>3058</v>
      </c>
      <c r="BT20" s="206">
        <v>1382</v>
      </c>
      <c r="BU20" s="78">
        <v>7008</v>
      </c>
      <c r="BV20" s="87">
        <v>134.68</v>
      </c>
      <c r="BX20" s="211"/>
    </row>
    <row r="21" spans="6:76" ht="15.6" x14ac:dyDescent="0.4">
      <c r="F21" s="416"/>
      <c r="G21" s="102" t="s">
        <v>2995</v>
      </c>
      <c r="H21" s="419">
        <v>4</v>
      </c>
      <c r="I21" s="226">
        <f ca="1">M21*OFFSET($AS$6,LOG(H21,2)-1,0)</f>
        <v>1.2621059018240746</v>
      </c>
      <c r="J21" s="223" t="s">
        <v>918</v>
      </c>
      <c r="K21" s="417">
        <f>O21*$AS$9</f>
        <v>44.340231925424291</v>
      </c>
      <c r="L21" s="225" t="s">
        <v>918</v>
      </c>
      <c r="M21" s="224">
        <f ca="1">Q21*OFFSET($AT$6,LOG(H21,2)-1,0)</f>
        <v>1.358856483445386</v>
      </c>
      <c r="N21" s="223" t="s">
        <v>918</v>
      </c>
      <c r="O21" s="223">
        <f>S21*$AT$9</f>
        <v>45.199013175763803</v>
      </c>
      <c r="P21" s="223" t="s">
        <v>918</v>
      </c>
      <c r="Q21" s="226">
        <f ca="1">U21*OFFSET($AY$6,LOG(H21,2)-1,0)</f>
        <v>1.46554840751228</v>
      </c>
      <c r="R21" s="223" t="s">
        <v>918</v>
      </c>
      <c r="S21" s="227">
        <f>W21*$AU$9</f>
        <v>46.54893220984944</v>
      </c>
      <c r="T21" s="225" t="s">
        <v>918</v>
      </c>
      <c r="U21" s="224">
        <f ca="1">Y21*OFFSET($AY$6,LOG(H21,2)-1,0)</f>
        <v>1.610492755508</v>
      </c>
      <c r="V21" s="223" t="s">
        <v>918</v>
      </c>
      <c r="W21" s="223">
        <f>AA21*$AV$9</f>
        <v>48.947352481439999</v>
      </c>
      <c r="X21" s="223" t="s">
        <v>918</v>
      </c>
      <c r="Y21" s="226">
        <f ca="1">AC21*OFFSET($AY$6,LOG(H21,2)-1,0)</f>
        <v>1.7697722588</v>
      </c>
      <c r="Z21" s="223" t="s">
        <v>918</v>
      </c>
      <c r="AA21" s="417">
        <f>AE21*$AW$9</f>
        <v>54.325585439999998</v>
      </c>
      <c r="AB21" s="225" t="s">
        <v>918</v>
      </c>
      <c r="AC21" s="224">
        <f ca="1">AG21*OFFSET($AY$6,LOG(H21,2)-1,0)</f>
        <v>1.9448046799999998</v>
      </c>
      <c r="AD21" s="223" t="s">
        <v>918</v>
      </c>
      <c r="AE21" s="223">
        <f>AI21*$AX$9</f>
        <v>64.905119999999997</v>
      </c>
      <c r="AF21" s="223" t="s">
        <v>918</v>
      </c>
      <c r="AG21" s="226">
        <f>VLOOKUP(AH21,CPU벤치마크!$B$2:$V$226,18+LOG($H$34,2),FALSE)</f>
        <v>2.1371479999999998</v>
      </c>
      <c r="AH21" s="394" t="s">
        <v>2968</v>
      </c>
      <c r="AI21" s="392">
        <f>VLOOKUP(AJ21,VGA벤치마크!$B$2:$AB$152,27,FALSE)</f>
        <v>86.31</v>
      </c>
      <c r="AJ21" s="395" t="s">
        <v>3009</v>
      </c>
      <c r="AK21" s="224">
        <f t="shared" ca="1" si="13"/>
        <v>2.3485142857142853</v>
      </c>
      <c r="AL21" s="223" t="s">
        <v>918</v>
      </c>
      <c r="AM21" s="412">
        <f t="shared" si="3"/>
        <v>94.84615384615384</v>
      </c>
      <c r="AN21" s="223" t="s">
        <v>918</v>
      </c>
      <c r="AR21" s="428"/>
      <c r="AS21" s="427"/>
      <c r="AT21" s="427"/>
      <c r="AU21" s="427"/>
      <c r="AV21" s="427"/>
      <c r="AW21" s="427"/>
      <c r="AX21" s="427"/>
      <c r="AY21" s="427"/>
      <c r="AZ21" s="469"/>
      <c r="BD21" s="109" t="s">
        <v>804</v>
      </c>
      <c r="BE21" s="110">
        <v>3.6</v>
      </c>
      <c r="BF21" s="111">
        <v>1.9484000000000001</v>
      </c>
      <c r="BG21" s="109" t="s">
        <v>809</v>
      </c>
      <c r="BH21" s="110">
        <v>3.7</v>
      </c>
      <c r="BI21" s="111">
        <v>3.1836760000000002</v>
      </c>
      <c r="BJ21" s="109" t="s">
        <v>806</v>
      </c>
      <c r="BK21" s="110">
        <v>3.9</v>
      </c>
      <c r="BL21" s="111">
        <v>3.40618</v>
      </c>
      <c r="BS21" s="88" t="s">
        <v>2952</v>
      </c>
      <c r="BT21" s="207">
        <v>1455</v>
      </c>
      <c r="BU21" s="80">
        <v>7000</v>
      </c>
      <c r="BV21" s="87">
        <v>132.66</v>
      </c>
      <c r="BX21" s="211"/>
    </row>
    <row r="22" spans="6:76" ht="15.6" x14ac:dyDescent="0.25">
      <c r="F22" s="383"/>
      <c r="G22" s="102" t="s">
        <v>3026</v>
      </c>
      <c r="H22" s="419">
        <v>4</v>
      </c>
      <c r="I22" s="226">
        <f ca="1">M22*OFFSET($AS$6,LOG(H22,2)-1,0)</f>
        <v>1.2251087399347371</v>
      </c>
      <c r="J22" s="223" t="s">
        <v>918</v>
      </c>
      <c r="K22" s="417">
        <f>O22*$AS$9</f>
        <v>44.340231925424291</v>
      </c>
      <c r="L22" s="225" t="s">
        <v>918</v>
      </c>
      <c r="M22" s="224">
        <f ca="1">Q22*OFFSET($AT$6,LOG(H22,2)-1,0)</f>
        <v>1.3190231911442045</v>
      </c>
      <c r="N22" s="223" t="s">
        <v>918</v>
      </c>
      <c r="O22" s="223">
        <f>S22*$AT$9</f>
        <v>45.199013175763803</v>
      </c>
      <c r="P22" s="223" t="s">
        <v>918</v>
      </c>
      <c r="Q22" s="226">
        <f ca="1">U22*OFFSET($AY$6,LOG(H22,2)-1,0)</f>
        <v>1.4225875659450005</v>
      </c>
      <c r="R22" s="223" t="s">
        <v>918</v>
      </c>
      <c r="S22" s="227">
        <f>W22*$AU$9</f>
        <v>46.54893220984944</v>
      </c>
      <c r="T22" s="225" t="s">
        <v>918</v>
      </c>
      <c r="U22" s="224">
        <f ca="1">Y22*OFFSET($AY$6,LOG(H22,2)-1,0)</f>
        <v>1.5632830395000004</v>
      </c>
      <c r="V22" s="223" t="s">
        <v>918</v>
      </c>
      <c r="W22" s="223">
        <f>AA22*$AV$9</f>
        <v>48.947352481439999</v>
      </c>
      <c r="X22" s="223" t="s">
        <v>918</v>
      </c>
      <c r="Y22" s="226">
        <f ca="1">AC22*OFFSET($AY$6,LOG(H22,2)-1,0)</f>
        <v>1.7178934500000003</v>
      </c>
      <c r="Z22" s="223" t="s">
        <v>918</v>
      </c>
      <c r="AA22" s="417">
        <f>AE22*$AW$9</f>
        <v>54.325585439999998</v>
      </c>
      <c r="AB22" s="225" t="s">
        <v>918</v>
      </c>
      <c r="AC22" s="224">
        <f ca="1">AG22*OFFSET($AY$6,LOG(H22,2)-1,0)</f>
        <v>1.8877950000000001</v>
      </c>
      <c r="AD22" s="223" t="s">
        <v>918</v>
      </c>
      <c r="AE22" s="223">
        <f>AI22*$AX$9</f>
        <v>64.905119999999997</v>
      </c>
      <c r="AF22" s="223" t="s">
        <v>918</v>
      </c>
      <c r="AG22" s="226">
        <f>VLOOKUP(AH22,CPU벤치마크!$B$2:$V$226,18+LOG($H$34,2),FALSE)</f>
        <v>2.0745</v>
      </c>
      <c r="AH22" s="394" t="s">
        <v>3027</v>
      </c>
      <c r="AI22" s="392">
        <f>VLOOKUP(AJ22,VGA벤치마크!$B$2:$AB$152,27,FALSE)</f>
        <v>86.31</v>
      </c>
      <c r="AJ22" s="395" t="s">
        <v>3009</v>
      </c>
      <c r="AK22" s="224">
        <f t="shared" ca="1" si="13"/>
        <v>2.2796703296703296</v>
      </c>
      <c r="AL22" s="223" t="s">
        <v>918</v>
      </c>
      <c r="AM22" s="412">
        <f t="shared" si="3"/>
        <v>94.84615384615384</v>
      </c>
      <c r="AN22" s="223" t="s">
        <v>918</v>
      </c>
      <c r="BD22" s="109" t="s">
        <v>1292</v>
      </c>
      <c r="BE22" s="38">
        <v>3.3</v>
      </c>
      <c r="BF22" s="111">
        <v>1.9448000000000001</v>
      </c>
      <c r="BG22" s="109" t="s">
        <v>823</v>
      </c>
      <c r="BH22" s="110">
        <v>3.8</v>
      </c>
      <c r="BI22" s="111">
        <v>3.1284880000000004</v>
      </c>
      <c r="BJ22" s="109" t="s">
        <v>808</v>
      </c>
      <c r="BK22" s="110">
        <v>3.8</v>
      </c>
      <c r="BL22" s="111">
        <v>3.3188720000000003</v>
      </c>
      <c r="BS22" s="85" t="s">
        <v>2953</v>
      </c>
      <c r="BT22" s="205">
        <v>1127</v>
      </c>
      <c r="BU22" s="76">
        <v>7012</v>
      </c>
      <c r="BV22" s="86">
        <v>130.51</v>
      </c>
      <c r="BX22" s="211"/>
    </row>
    <row r="23" spans="6:76" ht="15.6" x14ac:dyDescent="0.25">
      <c r="F23" s="82" t="s">
        <v>1048</v>
      </c>
      <c r="G23" s="102" t="s">
        <v>1296</v>
      </c>
      <c r="H23" s="414">
        <v>4</v>
      </c>
      <c r="I23" s="226">
        <f t="shared" ca="1" si="4"/>
        <v>1.2621059018240746</v>
      </c>
      <c r="J23" s="223" t="s">
        <v>1272</v>
      </c>
      <c r="K23" s="222">
        <f t="shared" si="5"/>
        <v>60.753977841509418</v>
      </c>
      <c r="L23" s="225" t="s">
        <v>1272</v>
      </c>
      <c r="M23" s="224">
        <f t="shared" ca="1" si="6"/>
        <v>1.358856483445386</v>
      </c>
      <c r="N23" s="223" t="s">
        <v>1272</v>
      </c>
      <c r="O23" s="223">
        <f t="shared" si="7"/>
        <v>61.930660388898488</v>
      </c>
      <c r="P23" s="223" t="s">
        <v>1272</v>
      </c>
      <c r="Q23" s="226">
        <f t="shared" ca="1" si="8"/>
        <v>1.46554840751228</v>
      </c>
      <c r="R23" s="223" t="s">
        <v>1272</v>
      </c>
      <c r="S23" s="227">
        <f t="shared" si="9"/>
        <v>63.780288763026249</v>
      </c>
      <c r="T23" s="225" t="s">
        <v>1272</v>
      </c>
      <c r="U23" s="224">
        <f t="shared" ca="1" si="0"/>
        <v>1.610492755508</v>
      </c>
      <c r="V23" s="223" t="s">
        <v>1272</v>
      </c>
      <c r="W23" s="223">
        <f t="shared" si="10"/>
        <v>67.06654969824001</v>
      </c>
      <c r="X23" s="223" t="s">
        <v>1272</v>
      </c>
      <c r="Y23" s="226">
        <f t="shared" ca="1" si="1"/>
        <v>1.7697722588</v>
      </c>
      <c r="Z23" s="223" t="s">
        <v>1272</v>
      </c>
      <c r="AA23" s="222">
        <f t="shared" si="11"/>
        <v>74.435682240000006</v>
      </c>
      <c r="AB23" s="225" t="s">
        <v>1272</v>
      </c>
      <c r="AC23" s="224">
        <f t="shared" ca="1" si="2"/>
        <v>1.9448046799999998</v>
      </c>
      <c r="AD23" s="223" t="s">
        <v>1272</v>
      </c>
      <c r="AE23" s="223">
        <f t="shared" si="12"/>
        <v>88.931520000000006</v>
      </c>
      <c r="AF23" s="223" t="s">
        <v>1272</v>
      </c>
      <c r="AG23" s="226">
        <f>VLOOKUP(AH23,CPU벤치마크!$B$2:$V$226,18+LOG($H$34,2),FALSE)</f>
        <v>2.1371479999999998</v>
      </c>
      <c r="AH23" s="394" t="s">
        <v>2968</v>
      </c>
      <c r="AI23" s="392">
        <f>VLOOKUP(AJ23,VGA벤치마크!$B$2:$AB$152,27,FALSE)</f>
        <v>118.26</v>
      </c>
      <c r="AJ23" s="395" t="s">
        <v>2998</v>
      </c>
      <c r="AK23" s="224">
        <f t="shared" ca="1" si="13"/>
        <v>2.3485142857142853</v>
      </c>
      <c r="AL23" s="223" t="s">
        <v>918</v>
      </c>
      <c r="AM23" s="412">
        <f t="shared" si="3"/>
        <v>129.95604395604397</v>
      </c>
      <c r="AN23" s="223" t="s">
        <v>918</v>
      </c>
      <c r="BD23" s="109" t="s">
        <v>416</v>
      </c>
      <c r="BE23" s="110">
        <v>3.5</v>
      </c>
      <c r="BF23" s="111">
        <v>1.9444000000000001</v>
      </c>
      <c r="BG23" s="109" t="s">
        <v>824</v>
      </c>
      <c r="BH23" s="110">
        <v>3.7</v>
      </c>
      <c r="BI23" s="111">
        <v>3.0008840000000001</v>
      </c>
      <c r="BJ23" s="109" t="s">
        <v>1294</v>
      </c>
      <c r="BK23" s="38">
        <v>2.7</v>
      </c>
      <c r="BL23" s="111">
        <v>3.2880000000000003</v>
      </c>
      <c r="BS23" s="88" t="s">
        <v>2954</v>
      </c>
      <c r="BT23" s="207">
        <v>1000</v>
      </c>
      <c r="BU23" s="80">
        <v>5600</v>
      </c>
      <c r="BV23" s="87">
        <v>119.78</v>
      </c>
      <c r="BX23" s="211"/>
    </row>
    <row r="24" spans="6:76" ht="15.6" x14ac:dyDescent="0.4">
      <c r="G24" s="102" t="s">
        <v>1297</v>
      </c>
      <c r="H24" s="400">
        <v>8</v>
      </c>
      <c r="I24" s="226">
        <f t="shared" ca="1" si="4"/>
        <v>1.1713119537721921</v>
      </c>
      <c r="J24" s="223" t="s">
        <v>1272</v>
      </c>
      <c r="K24" s="222">
        <f t="shared" si="5"/>
        <v>51.373226654413507</v>
      </c>
      <c r="L24" s="225" t="s">
        <v>1272</v>
      </c>
      <c r="M24" s="224">
        <f t="shared" ca="1" si="6"/>
        <v>1.3069760698194512</v>
      </c>
      <c r="N24" s="223" t="s">
        <v>1272</v>
      </c>
      <c r="O24" s="223">
        <f t="shared" si="7"/>
        <v>52.368222889310402</v>
      </c>
      <c r="P24" s="223" t="s">
        <v>1272</v>
      </c>
      <c r="Q24" s="226">
        <f t="shared" ca="1" si="8"/>
        <v>1.46554840751228</v>
      </c>
      <c r="R24" s="223" t="s">
        <v>1272</v>
      </c>
      <c r="S24" s="227">
        <f t="shared" si="9"/>
        <v>53.932258382400001</v>
      </c>
      <c r="T24" s="225" t="s">
        <v>1272</v>
      </c>
      <c r="U24" s="224">
        <f t="shared" ca="1" si="0"/>
        <v>1.610492755508</v>
      </c>
      <c r="V24" s="223" t="s">
        <v>1272</v>
      </c>
      <c r="W24" s="223">
        <f t="shared" si="10"/>
        <v>56.711102400000001</v>
      </c>
      <c r="X24" s="223" t="s">
        <v>1272</v>
      </c>
      <c r="Y24" s="226">
        <f t="shared" ca="1" si="1"/>
        <v>1.7697722588</v>
      </c>
      <c r="Z24" s="223" t="s">
        <v>1272</v>
      </c>
      <c r="AA24" s="222">
        <f t="shared" si="11"/>
        <v>62.942399999999999</v>
      </c>
      <c r="AB24" s="225" t="s">
        <v>1272</v>
      </c>
      <c r="AC24" s="224">
        <f t="shared" ca="1" si="2"/>
        <v>1.9448046799999998</v>
      </c>
      <c r="AD24" s="223" t="s">
        <v>1272</v>
      </c>
      <c r="AE24" s="223">
        <f t="shared" si="12"/>
        <v>75.2</v>
      </c>
      <c r="AF24" s="223" t="s">
        <v>1272</v>
      </c>
      <c r="AG24" s="226">
        <f>VLOOKUP(AH24,CPU벤치마크!$B$2:$V$226,18+LOG($H$34,2),FALSE)</f>
        <v>2.1371479999999998</v>
      </c>
      <c r="AH24" s="394" t="s">
        <v>2968</v>
      </c>
      <c r="AI24" s="392">
        <f>VLOOKUP(AJ24,VGA벤치마크!$B$2:$AB$152,27,FALSE)</f>
        <v>100</v>
      </c>
      <c r="AJ24" s="395" t="s">
        <v>2974</v>
      </c>
      <c r="AK24" s="224">
        <f t="shared" ca="1" si="13"/>
        <v>2.3485142857142853</v>
      </c>
      <c r="AL24" s="223" t="s">
        <v>918</v>
      </c>
      <c r="AM24" s="412">
        <f t="shared" si="3"/>
        <v>109.89010989010988</v>
      </c>
      <c r="AN24" s="223" t="s">
        <v>918</v>
      </c>
      <c r="BD24" s="109" t="s">
        <v>826</v>
      </c>
      <c r="BE24" s="110">
        <v>3.5</v>
      </c>
      <c r="BF24" s="111">
        <v>1.9444000000000001</v>
      </c>
      <c r="BG24" s="112" t="s">
        <v>825</v>
      </c>
      <c r="BH24" s="113">
        <v>3.6</v>
      </c>
      <c r="BI24" s="114">
        <v>2.92</v>
      </c>
      <c r="BJ24" s="109" t="s">
        <v>809</v>
      </c>
      <c r="BK24" s="110">
        <v>3.7</v>
      </c>
      <c r="BL24" s="111">
        <v>3.1836760000000002</v>
      </c>
      <c r="BS24" s="85" t="s">
        <v>2955</v>
      </c>
      <c r="BT24" s="205">
        <v>1200</v>
      </c>
      <c r="BU24" s="76">
        <v>7000</v>
      </c>
      <c r="BV24" s="86">
        <v>118.97</v>
      </c>
      <c r="BX24" s="211"/>
    </row>
    <row r="25" spans="6:76" ht="15.6" x14ac:dyDescent="0.4">
      <c r="G25" s="402" t="s">
        <v>2834</v>
      </c>
      <c r="H25" s="415">
        <v>8</v>
      </c>
      <c r="I25" s="403">
        <f ca="1">M25*OFFSET($AS$6,LOG(H25,2)-1,0)</f>
        <v>1.1713119537721921</v>
      </c>
      <c r="J25" s="404" t="s">
        <v>918</v>
      </c>
      <c r="K25" s="405">
        <f>O25*$AS$9</f>
        <v>63.831234118108775</v>
      </c>
      <c r="L25" s="406" t="s">
        <v>918</v>
      </c>
      <c r="M25" s="407">
        <f ca="1">Q25*OFFSET($AT$6,LOG(H25,2)-1,0)</f>
        <v>1.3069760698194512</v>
      </c>
      <c r="N25" s="404" t="s">
        <v>918</v>
      </c>
      <c r="O25" s="404">
        <f>S25*$AT$9</f>
        <v>65.067516939968172</v>
      </c>
      <c r="P25" s="404" t="s">
        <v>918</v>
      </c>
      <c r="Q25" s="403">
        <f ca="1">U25*OFFSET($AY$6,LOG(H25,2)-1,0)</f>
        <v>1.46554840751228</v>
      </c>
      <c r="R25" s="404" t="s">
        <v>918</v>
      </c>
      <c r="S25" s="408">
        <f>W25*$AU$9</f>
        <v>67.010831040132004</v>
      </c>
      <c r="T25" s="406" t="s">
        <v>918</v>
      </c>
      <c r="U25" s="407">
        <f ca="1">Y25*OFFSET($AY$6,LOG(H25,2)-1,0)</f>
        <v>1.610492755508</v>
      </c>
      <c r="V25" s="404" t="s">
        <v>918</v>
      </c>
      <c r="W25" s="404">
        <f>AA25*$AV$9</f>
        <v>70.463544732000003</v>
      </c>
      <c r="X25" s="404" t="s">
        <v>918</v>
      </c>
      <c r="Y25" s="403">
        <f ca="1">AC25*OFFSET($AY$6,LOG(H25,2)-1,0)</f>
        <v>1.7697722588</v>
      </c>
      <c r="Z25" s="404" t="s">
        <v>918</v>
      </c>
      <c r="AA25" s="405">
        <f>AE25*$AW$9</f>
        <v>78.205932000000004</v>
      </c>
      <c r="AB25" s="406" t="s">
        <v>918</v>
      </c>
      <c r="AC25" s="407">
        <f ca="1">AG25*OFFSET($AY$6,LOG(H25,2)-1,0)</f>
        <v>1.9448046799999998</v>
      </c>
      <c r="AD25" s="404" t="s">
        <v>918</v>
      </c>
      <c r="AE25" s="404">
        <f>AI25*$AX$9</f>
        <v>93.436000000000007</v>
      </c>
      <c r="AF25" s="404" t="s">
        <v>918</v>
      </c>
      <c r="AG25" s="226">
        <f>VLOOKUP(AH25,CPU벤치마크!$B$2:$V$226,18+LOG($H$34,2),FALSE)</f>
        <v>2.1371479999999998</v>
      </c>
      <c r="AH25" s="394" t="s">
        <v>2968</v>
      </c>
      <c r="AI25" s="392">
        <f>VLOOKUP(AJ25,VGA벤치마크!$B$2:$AB$152,27,FALSE)</f>
        <v>124.25</v>
      </c>
      <c r="AJ25" s="409" t="s">
        <v>2983</v>
      </c>
      <c r="AK25" s="224">
        <f t="shared" ca="1" si="13"/>
        <v>2.3485142857142853</v>
      </c>
      <c r="AL25" s="223" t="s">
        <v>918</v>
      </c>
      <c r="AM25" s="412">
        <f t="shared" si="3"/>
        <v>136.53846153846155</v>
      </c>
      <c r="AN25" s="223" t="s">
        <v>918</v>
      </c>
      <c r="BD25" s="109" t="s">
        <v>814</v>
      </c>
      <c r="BE25" s="110">
        <v>3.6</v>
      </c>
      <c r="BF25" s="111">
        <v>1.9258000000000002</v>
      </c>
      <c r="BG25" s="109" t="s">
        <v>826</v>
      </c>
      <c r="BH25" s="110">
        <v>3.5</v>
      </c>
      <c r="BI25" s="111">
        <v>2.8388240000000002</v>
      </c>
      <c r="BJ25" s="109" t="s">
        <v>823</v>
      </c>
      <c r="BK25" s="110">
        <v>3.8</v>
      </c>
      <c r="BL25" s="111">
        <v>3.1284880000000004</v>
      </c>
      <c r="BS25" s="78" t="s">
        <v>2956</v>
      </c>
      <c r="BT25" s="206">
        <v>1024</v>
      </c>
      <c r="BU25" s="78">
        <v>6612</v>
      </c>
      <c r="BV25" s="87">
        <v>118.26</v>
      </c>
      <c r="BX25" s="211"/>
    </row>
    <row r="26" spans="6:76" ht="15.6" x14ac:dyDescent="0.4">
      <c r="F26" s="82" t="s">
        <v>1047</v>
      </c>
      <c r="G26" s="228" t="s">
        <v>2997</v>
      </c>
      <c r="H26" s="414">
        <v>8</v>
      </c>
      <c r="I26" s="226">
        <f ca="1">M26*OFFSET($AS$6,LOG(H26,2)-1,0)</f>
        <v>1.1713119537721921</v>
      </c>
      <c r="J26" s="223" t="s">
        <v>918</v>
      </c>
      <c r="K26" s="399">
        <f>O26*$AS$9</f>
        <v>82.854739948238105</v>
      </c>
      <c r="L26" s="225" t="s">
        <v>918</v>
      </c>
      <c r="M26" s="224">
        <f ca="1">Q26*OFFSET($AT$6,LOG(H26,2)-1,0)</f>
        <v>1.3069760698194512</v>
      </c>
      <c r="N26" s="223" t="s">
        <v>918</v>
      </c>
      <c r="O26" s="223">
        <f>S26*$AT$9</f>
        <v>84.459469875879819</v>
      </c>
      <c r="P26" s="223" t="s">
        <v>918</v>
      </c>
      <c r="Q26" s="226">
        <f ca="1">U26*OFFSET($AY$6,LOG(H26,2)-1,0)</f>
        <v>1.46554840751228</v>
      </c>
      <c r="R26" s="223" t="s">
        <v>918</v>
      </c>
      <c r="S26" s="227">
        <f>W26*$AU$9</f>
        <v>86.981946319134735</v>
      </c>
      <c r="T26" s="225" t="s">
        <v>918</v>
      </c>
      <c r="U26" s="224">
        <f ca="1">Y26*OFFSET($AY$6,LOG(H26,2)-1,0)</f>
        <v>1.610492755508</v>
      </c>
      <c r="V26" s="223" t="s">
        <v>918</v>
      </c>
      <c r="W26" s="223">
        <f>AA26*$AV$9</f>
        <v>91.463665950720014</v>
      </c>
      <c r="X26" s="223" t="s">
        <v>918</v>
      </c>
      <c r="Y26" s="226">
        <f ca="1">AC26*OFFSET($AY$6,LOG(H26,2)-1,0)</f>
        <v>1.7697722588</v>
      </c>
      <c r="Z26" s="223" t="s">
        <v>918</v>
      </c>
      <c r="AA26" s="399">
        <f>AE26*$AW$9</f>
        <v>101.51350272000001</v>
      </c>
      <c r="AB26" s="225" t="s">
        <v>918</v>
      </c>
      <c r="AC26" s="224">
        <f ca="1">AG26*OFFSET($AY$6,LOG(H26,2)-1,0)</f>
        <v>1.9448046799999998</v>
      </c>
      <c r="AD26" s="223" t="s">
        <v>918</v>
      </c>
      <c r="AE26" s="223">
        <f>AI26*$AX$9</f>
        <v>121.28256</v>
      </c>
      <c r="AF26" s="223" t="s">
        <v>918</v>
      </c>
      <c r="AG26" s="226">
        <f>VLOOKUP(AH26,CPU벤치마크!$B$2:$V$226,18+LOG($H$34,2),FALSE)</f>
        <v>2.1371479999999998</v>
      </c>
      <c r="AH26" s="394" t="s">
        <v>2968</v>
      </c>
      <c r="AI26" s="392">
        <f>VLOOKUP(AJ26,VGA벤치마크!$B$2:$AB$152,27,FALSE)</f>
        <v>161.28</v>
      </c>
      <c r="AJ26" s="395" t="s">
        <v>788</v>
      </c>
      <c r="AK26" s="224">
        <f t="shared" ca="1" si="13"/>
        <v>2.3485142857142853</v>
      </c>
      <c r="AL26" s="223" t="s">
        <v>918</v>
      </c>
      <c r="AM26" s="412">
        <f t="shared" si="3"/>
        <v>177.23076923076923</v>
      </c>
      <c r="AN26" s="223" t="s">
        <v>918</v>
      </c>
      <c r="BD26" s="109" t="s">
        <v>415</v>
      </c>
      <c r="BE26" s="110">
        <v>3.4</v>
      </c>
      <c r="BF26" s="111">
        <v>1.8888</v>
      </c>
      <c r="BG26" s="115" t="s">
        <v>838</v>
      </c>
      <c r="BH26" s="116">
        <v>4.3</v>
      </c>
      <c r="BI26" s="117">
        <v>2.7624</v>
      </c>
      <c r="BJ26" s="109" t="s">
        <v>824</v>
      </c>
      <c r="BK26" s="110">
        <v>3.7</v>
      </c>
      <c r="BL26" s="111">
        <v>3.0008840000000001</v>
      </c>
      <c r="BS26" s="88" t="s">
        <v>2938</v>
      </c>
      <c r="BT26" s="207">
        <v>925</v>
      </c>
      <c r="BU26" s="80">
        <v>5600</v>
      </c>
      <c r="BV26" s="87">
        <v>112.25</v>
      </c>
      <c r="BX26" s="211"/>
    </row>
    <row r="27" spans="6:76" ht="15.6" x14ac:dyDescent="0.4">
      <c r="G27" s="228" t="s">
        <v>3014</v>
      </c>
      <c r="H27" s="401">
        <v>8</v>
      </c>
      <c r="I27" s="226">
        <f ca="1">M27*OFFSET($AS$6,LOG(H27,2)-1,0)</f>
        <v>1.7645740802064016</v>
      </c>
      <c r="J27" s="223" t="s">
        <v>918</v>
      </c>
      <c r="K27" s="399">
        <f>O27*$AS$9</f>
        <v>72.554408004028176</v>
      </c>
      <c r="L27" s="225" t="s">
        <v>918</v>
      </c>
      <c r="M27" s="224">
        <f ca="1">Q27*OFFSET($AT$6,LOG(H27,2)-1,0)</f>
        <v>1.9689512164766811</v>
      </c>
      <c r="N27" s="223" t="s">
        <v>918</v>
      </c>
      <c r="O27" s="223">
        <f>S27*$AT$9</f>
        <v>73.959641186573066</v>
      </c>
      <c r="P27" s="223" t="s">
        <v>918</v>
      </c>
      <c r="Q27" s="226">
        <f ca="1">U27*OFFSET($AY$6,LOG(H27,2)-1,0)</f>
        <v>2.2078394443560003</v>
      </c>
      <c r="R27" s="223" t="s">
        <v>918</v>
      </c>
      <c r="S27" s="227">
        <f>W27*$AU$9</f>
        <v>76.168528513463514</v>
      </c>
      <c r="T27" s="225" t="s">
        <v>918</v>
      </c>
      <c r="U27" s="224">
        <f ca="1">Y27*OFFSET($AY$6,LOG(H27,2)-1,0)</f>
        <v>2.4261971916000005</v>
      </c>
      <c r="V27" s="223" t="s">
        <v>918</v>
      </c>
      <c r="W27" s="223">
        <f>AA27*$AV$9</f>
        <v>80.093089919519997</v>
      </c>
      <c r="X27" s="223" t="s">
        <v>918</v>
      </c>
      <c r="Y27" s="226">
        <f ca="1">AC27*OFFSET($AY$6,LOG(H27,2)-1,0)</f>
        <v>2.6661507600000003</v>
      </c>
      <c r="Z27" s="223" t="s">
        <v>918</v>
      </c>
      <c r="AA27" s="399">
        <f>AE27*$AW$9</f>
        <v>88.893551519999988</v>
      </c>
      <c r="AB27" s="225" t="s">
        <v>918</v>
      </c>
      <c r="AC27" s="224">
        <f ca="1">AG27*OFFSET($AY$6,LOG(H27,2)-1,0)</f>
        <v>2.9298360000000003</v>
      </c>
      <c r="AD27" s="223" t="s">
        <v>918</v>
      </c>
      <c r="AE27" s="223">
        <f>AI27*$AX$9</f>
        <v>106.20495999999999</v>
      </c>
      <c r="AF27" s="223" t="s">
        <v>918</v>
      </c>
      <c r="AG27" s="226">
        <f>VLOOKUP(AH27,CPU벤치마크!$B$2:$V$226,18+LOG($H$34,2),FALSE)</f>
        <v>3.2196000000000002</v>
      </c>
      <c r="AH27" s="394" t="s">
        <v>3015</v>
      </c>
      <c r="AI27" s="392">
        <f>VLOOKUP(AJ27,VGA벤치마크!$B$2:$AB$152,27,FALSE)</f>
        <v>141.22999999999999</v>
      </c>
      <c r="AJ27" s="393" t="s">
        <v>3002</v>
      </c>
      <c r="AK27" s="224">
        <f t="shared" ca="1" si="13"/>
        <v>3.5380219780219782</v>
      </c>
      <c r="AL27" s="223" t="s">
        <v>918</v>
      </c>
      <c r="AM27" s="412">
        <f t="shared" si="3"/>
        <v>155.19780219780219</v>
      </c>
      <c r="AN27" s="223" t="s">
        <v>918</v>
      </c>
      <c r="BD27" s="109" t="s">
        <v>821</v>
      </c>
      <c r="BE27" s="110">
        <v>3.6</v>
      </c>
      <c r="BF27" s="111">
        <v>1.8366</v>
      </c>
      <c r="BG27" s="115" t="s">
        <v>841</v>
      </c>
      <c r="BH27" s="116">
        <v>3.9</v>
      </c>
      <c r="BI27" s="117">
        <v>2.7624</v>
      </c>
      <c r="BJ27" s="112" t="s">
        <v>825</v>
      </c>
      <c r="BK27" s="113">
        <v>3.6</v>
      </c>
      <c r="BL27" s="114">
        <v>2.92</v>
      </c>
      <c r="BS27" s="88" t="s">
        <v>2957</v>
      </c>
      <c r="BT27" s="207">
        <v>1085</v>
      </c>
      <c r="BU27" s="80">
        <v>5400</v>
      </c>
      <c r="BV27" s="87">
        <v>100</v>
      </c>
      <c r="BX27" s="211"/>
    </row>
    <row r="28" spans="6:76" ht="15.6" x14ac:dyDescent="0.4">
      <c r="G28" s="228" t="s">
        <v>1082</v>
      </c>
      <c r="H28" s="419">
        <v>8</v>
      </c>
      <c r="I28" s="226">
        <f t="shared" ref="I28:I36" ca="1" si="14">M28*OFFSET($AS$6,LOG(H28,2)-1,0)</f>
        <v>1.1713119537721921</v>
      </c>
      <c r="J28" s="223" t="s">
        <v>918</v>
      </c>
      <c r="K28" s="417">
        <f t="shared" ref="K28:K36" si="15">O28*$AS$9</f>
        <v>54.455620253678312</v>
      </c>
      <c r="L28" s="225" t="s">
        <v>918</v>
      </c>
      <c r="M28" s="224">
        <f t="shared" ref="M28:M36" ca="1" si="16">Q28*OFFSET($AT$6,LOG(H28,2)-1,0)</f>
        <v>1.3069760698194512</v>
      </c>
      <c r="N28" s="223" t="s">
        <v>918</v>
      </c>
      <c r="O28" s="223">
        <f t="shared" ref="O28:O36" si="17">S28*$AT$9</f>
        <v>55.510316262669022</v>
      </c>
      <c r="P28" s="223" t="s">
        <v>918</v>
      </c>
      <c r="Q28" s="226">
        <f t="shared" ref="Q28:Q36" ca="1" si="18">U28*OFFSET($AY$6,LOG(H28,2)-1,0)</f>
        <v>1.46554840751228</v>
      </c>
      <c r="R28" s="223" t="s">
        <v>918</v>
      </c>
      <c r="S28" s="227">
        <f t="shared" ref="S28:S36" si="19">W28*$AU$9</f>
        <v>57.168193885343996</v>
      </c>
      <c r="T28" s="225" t="s">
        <v>918</v>
      </c>
      <c r="U28" s="224">
        <f t="shared" ref="U28:U36" ca="1" si="20">Y28*OFFSET($AY$6,LOG(H28,2)-1,0)</f>
        <v>1.610492755508</v>
      </c>
      <c r="V28" s="223" t="s">
        <v>918</v>
      </c>
      <c r="W28" s="223">
        <f t="shared" ref="W28:W34" si="21">AA28*$AV$9</f>
        <v>60.113768543999996</v>
      </c>
      <c r="X28" s="223" t="s">
        <v>918</v>
      </c>
      <c r="Y28" s="226">
        <f t="shared" ref="Y28:Y36" ca="1" si="22">AC28*OFFSET($AY$6,LOG(H28,2)-1,0)</f>
        <v>1.7697722588</v>
      </c>
      <c r="Z28" s="223" t="s">
        <v>918</v>
      </c>
      <c r="AA28" s="417">
        <f t="shared" ref="AA28:AA36" si="23">AE28*$AW$9</f>
        <v>66.718943999999993</v>
      </c>
      <c r="AB28" s="225" t="s">
        <v>918</v>
      </c>
      <c r="AC28" s="224">
        <f t="shared" ref="AC28:AC36" ca="1" si="24">AG28*OFFSET($AY$6,LOG(H28,2)-1,0)</f>
        <v>1.9448046799999998</v>
      </c>
      <c r="AD28" s="223" t="s">
        <v>918</v>
      </c>
      <c r="AE28" s="223">
        <f>AI28*$AX$9</f>
        <v>79.712000000000003</v>
      </c>
      <c r="AF28" s="223" t="s">
        <v>918</v>
      </c>
      <c r="AG28" s="226">
        <f>VLOOKUP(AH28,CPU벤치마크!$B$2:$V$226,18+LOG($H$34,2),FALSE)</f>
        <v>2.1371479999999998</v>
      </c>
      <c r="AH28" s="394" t="s">
        <v>2968</v>
      </c>
      <c r="AI28" s="392">
        <f>VLOOKUP(AJ28,VGA벤치마크!$B$2:$AB$152,27,FALSE)</f>
        <v>106</v>
      </c>
      <c r="AJ28" s="395" t="s">
        <v>2980</v>
      </c>
      <c r="AK28" s="224">
        <f t="shared" ca="1" si="13"/>
        <v>2.3485142857142853</v>
      </c>
      <c r="AL28" s="223" t="s">
        <v>918</v>
      </c>
      <c r="AM28" s="412">
        <f t="shared" si="3"/>
        <v>116.48351648351648</v>
      </c>
      <c r="AN28" s="223" t="s">
        <v>918</v>
      </c>
      <c r="BD28" s="109" t="s">
        <v>822</v>
      </c>
      <c r="BE28" s="110">
        <v>3.4</v>
      </c>
      <c r="BF28" s="111">
        <v>1.8366</v>
      </c>
      <c r="BG28" s="115" t="s">
        <v>840</v>
      </c>
      <c r="BH28" s="116">
        <v>4</v>
      </c>
      <c r="BI28" s="117">
        <v>2.6784000000000003</v>
      </c>
      <c r="BJ28" s="109" t="s">
        <v>826</v>
      </c>
      <c r="BK28" s="110">
        <v>3.5</v>
      </c>
      <c r="BL28" s="111">
        <v>2.8388240000000002</v>
      </c>
      <c r="BS28" s="89" t="s">
        <v>2958</v>
      </c>
      <c r="BT28" s="208">
        <v>1085</v>
      </c>
      <c r="BU28" s="81">
        <v>5012</v>
      </c>
      <c r="BV28" s="90">
        <v>95.54</v>
      </c>
      <c r="BX28" s="211"/>
    </row>
    <row r="29" spans="6:76" ht="15.6" x14ac:dyDescent="0.4">
      <c r="G29" s="68" t="s">
        <v>1078</v>
      </c>
      <c r="H29" s="414">
        <v>8</v>
      </c>
      <c r="I29" s="418">
        <f t="shared" ca="1" si="14"/>
        <v>1.1713119537721921</v>
      </c>
      <c r="J29" s="223" t="s">
        <v>918</v>
      </c>
      <c r="K29" s="418">
        <f t="shared" si="15"/>
        <v>63.831234118108775</v>
      </c>
      <c r="L29" s="223" t="s">
        <v>918</v>
      </c>
      <c r="M29" s="223">
        <f t="shared" ca="1" si="16"/>
        <v>1.3069760698194512</v>
      </c>
      <c r="N29" s="223" t="s">
        <v>918</v>
      </c>
      <c r="O29" s="223">
        <f t="shared" si="17"/>
        <v>65.067516939968172</v>
      </c>
      <c r="P29" s="223" t="s">
        <v>918</v>
      </c>
      <c r="Q29" s="418">
        <f t="shared" ca="1" si="18"/>
        <v>1.46554840751228</v>
      </c>
      <c r="R29" s="223" t="s">
        <v>918</v>
      </c>
      <c r="S29" s="410">
        <f t="shared" si="19"/>
        <v>67.010831040132004</v>
      </c>
      <c r="T29" s="223" t="s">
        <v>918</v>
      </c>
      <c r="U29" s="223">
        <f t="shared" ca="1" si="20"/>
        <v>1.610492755508</v>
      </c>
      <c r="V29" s="223" t="s">
        <v>918</v>
      </c>
      <c r="W29" s="223">
        <f t="shared" si="21"/>
        <v>70.463544732000003</v>
      </c>
      <c r="X29" s="223" t="s">
        <v>918</v>
      </c>
      <c r="Y29" s="418">
        <f t="shared" ca="1" si="22"/>
        <v>1.7697722588</v>
      </c>
      <c r="Z29" s="223" t="s">
        <v>918</v>
      </c>
      <c r="AA29" s="418">
        <f t="shared" si="23"/>
        <v>78.205932000000004</v>
      </c>
      <c r="AB29" s="223" t="s">
        <v>918</v>
      </c>
      <c r="AC29" s="223">
        <f t="shared" ca="1" si="24"/>
        <v>1.9448046799999998</v>
      </c>
      <c r="AD29" s="223" t="s">
        <v>918</v>
      </c>
      <c r="AE29" s="223">
        <f>AI29*$AX$9</f>
        <v>93.436000000000007</v>
      </c>
      <c r="AF29" s="223" t="s">
        <v>918</v>
      </c>
      <c r="AG29" s="421">
        <f>VLOOKUP(AH29,CPU벤치마크!$B$2:$V$226,18+LOG($H$34,2),FALSE)</f>
        <v>2.1371479999999998</v>
      </c>
      <c r="AH29" s="394" t="s">
        <v>2968</v>
      </c>
      <c r="AI29" s="411">
        <f>VLOOKUP(AJ29,VGA벤치마크!$B$2:$AB$152,27,FALSE)</f>
        <v>124.25</v>
      </c>
      <c r="AJ29" s="394" t="s">
        <v>2983</v>
      </c>
      <c r="AK29" s="224">
        <f t="shared" ca="1" si="13"/>
        <v>2.3485142857142853</v>
      </c>
      <c r="AL29" s="223" t="s">
        <v>918</v>
      </c>
      <c r="AM29" s="412">
        <f t="shared" si="3"/>
        <v>136.53846153846155</v>
      </c>
      <c r="AN29" s="223" t="s">
        <v>918</v>
      </c>
      <c r="BD29" s="109" t="s">
        <v>411</v>
      </c>
      <c r="BE29" s="110">
        <v>3.3</v>
      </c>
      <c r="BF29" s="111">
        <v>1.8332000000000002</v>
      </c>
      <c r="BG29" s="115" t="s">
        <v>1157</v>
      </c>
      <c r="BH29" s="116">
        <v>4.3</v>
      </c>
      <c r="BI29" s="117">
        <v>2.4396</v>
      </c>
      <c r="BJ29" s="115" t="s">
        <v>1157</v>
      </c>
      <c r="BK29" s="116">
        <v>4.3</v>
      </c>
      <c r="BL29" s="117">
        <v>2.4396</v>
      </c>
      <c r="BS29" s="85" t="s">
        <v>2959</v>
      </c>
      <c r="BT29" s="205">
        <v>1000</v>
      </c>
      <c r="BU29" s="76">
        <v>6500</v>
      </c>
      <c r="BV29" s="86">
        <v>95.28</v>
      </c>
      <c r="BX29" s="211"/>
    </row>
    <row r="30" spans="6:76" ht="15.6" x14ac:dyDescent="0.4">
      <c r="G30" s="228" t="s">
        <v>1073</v>
      </c>
      <c r="H30" s="419">
        <v>8</v>
      </c>
      <c r="I30" s="226">
        <f t="shared" ca="1" si="14"/>
        <v>1.1713119537721921</v>
      </c>
      <c r="J30" s="223" t="s">
        <v>918</v>
      </c>
      <c r="K30" s="417">
        <f t="shared" si="15"/>
        <v>65.678484182916407</v>
      </c>
      <c r="L30" s="225" t="s">
        <v>918</v>
      </c>
      <c r="M30" s="224">
        <f t="shared" ca="1" si="16"/>
        <v>1.3069760698194512</v>
      </c>
      <c r="N30" s="223" t="s">
        <v>918</v>
      </c>
      <c r="O30" s="223">
        <f t="shared" si="17"/>
        <v>66.950544528966773</v>
      </c>
      <c r="P30" s="223" t="s">
        <v>918</v>
      </c>
      <c r="Q30" s="226">
        <f t="shared" ca="1" si="18"/>
        <v>1.46554840751228</v>
      </c>
      <c r="R30" s="223" t="s">
        <v>918</v>
      </c>
      <c r="S30" s="227">
        <f t="shared" si="19"/>
        <v>68.950097352179995</v>
      </c>
      <c r="T30" s="225" t="s">
        <v>918</v>
      </c>
      <c r="U30" s="224">
        <f t="shared" ca="1" si="20"/>
        <v>1.610492755508</v>
      </c>
      <c r="V30" s="223" t="s">
        <v>918</v>
      </c>
      <c r="W30" s="223">
        <f t="shared" si="21"/>
        <v>72.502731179999998</v>
      </c>
      <c r="X30" s="223" t="s">
        <v>918</v>
      </c>
      <c r="Y30" s="226">
        <f t="shared" ca="1" si="22"/>
        <v>1.7697722588</v>
      </c>
      <c r="Z30" s="223" t="s">
        <v>918</v>
      </c>
      <c r="AA30" s="417">
        <f t="shared" si="23"/>
        <v>80.469179999999994</v>
      </c>
      <c r="AB30" s="225" t="s">
        <v>918</v>
      </c>
      <c r="AC30" s="224">
        <f t="shared" ca="1" si="24"/>
        <v>1.9448046799999998</v>
      </c>
      <c r="AD30" s="223" t="s">
        <v>918</v>
      </c>
      <c r="AE30" s="392">
        <f>VLOOKUP(AF30,VGA벤치마크!$B$2:$AB$152,27,FALSE)</f>
        <v>96.14</v>
      </c>
      <c r="AF30" s="393" t="s">
        <v>846</v>
      </c>
      <c r="AG30" s="421">
        <f>VLOOKUP(AH30,CPU벤치마크!$B$2:$V$226,18+LOG($H$34,2),FALSE)</f>
        <v>2.1371479999999998</v>
      </c>
      <c r="AH30" s="423" t="s">
        <v>482</v>
      </c>
      <c r="AI30" s="392">
        <f>VLOOKUP(AJ30,VGA벤치마크!$B$2:$AB$152,27,FALSE)</f>
        <v>110.11</v>
      </c>
      <c r="AJ30" s="395" t="s">
        <v>842</v>
      </c>
      <c r="AK30" s="224">
        <f t="shared" ca="1" si="13"/>
        <v>2.3485142857142853</v>
      </c>
      <c r="AL30" s="223" t="s">
        <v>918</v>
      </c>
      <c r="AM30" s="412">
        <f t="shared" si="3"/>
        <v>121</v>
      </c>
      <c r="AN30" s="223" t="s">
        <v>918</v>
      </c>
      <c r="BD30" s="109" t="s">
        <v>410</v>
      </c>
      <c r="BE30" s="110">
        <v>3.2</v>
      </c>
      <c r="BF30" s="111">
        <v>1.7776000000000001</v>
      </c>
      <c r="BG30" s="115" t="s">
        <v>833</v>
      </c>
      <c r="BH30" s="116">
        <v>4.0999999999999996</v>
      </c>
      <c r="BI30" s="117">
        <v>2.3208000000000002</v>
      </c>
      <c r="BJ30" s="115" t="s">
        <v>833</v>
      </c>
      <c r="BK30" s="116">
        <v>4.0999999999999996</v>
      </c>
      <c r="BL30" s="117">
        <v>2.3208000000000002</v>
      </c>
      <c r="BS30" s="88" t="s">
        <v>2960</v>
      </c>
      <c r="BT30" s="207">
        <v>993</v>
      </c>
      <c r="BU30" s="80">
        <v>5000</v>
      </c>
      <c r="BV30" s="87">
        <v>90.820000000000007</v>
      </c>
      <c r="BX30" s="211"/>
    </row>
    <row r="31" spans="6:76" ht="15.6" x14ac:dyDescent="0.4">
      <c r="G31" s="228" t="s">
        <v>1084</v>
      </c>
      <c r="H31" s="419">
        <v>8</v>
      </c>
      <c r="I31" s="226">
        <f t="shared" ca="1" si="14"/>
        <v>1.5113909128876328</v>
      </c>
      <c r="J31" s="223" t="s">
        <v>918</v>
      </c>
      <c r="K31" s="417">
        <f t="shared" si="15"/>
        <v>81.619427690100011</v>
      </c>
      <c r="L31" s="225" t="s">
        <v>918</v>
      </c>
      <c r="M31" s="224">
        <f t="shared" ca="1" si="16"/>
        <v>1.6864437769333105</v>
      </c>
      <c r="N31" s="223" t="s">
        <v>918</v>
      </c>
      <c r="O31" s="223">
        <f t="shared" si="17"/>
        <v>83.200232100000008</v>
      </c>
      <c r="P31" s="223" t="s">
        <v>918</v>
      </c>
      <c r="Q31" s="226">
        <f t="shared" ca="1" si="18"/>
        <v>1.89105604051728</v>
      </c>
      <c r="R31" s="223" t="s">
        <v>918</v>
      </c>
      <c r="S31" s="227">
        <f t="shared" si="19"/>
        <v>85.685100000000006</v>
      </c>
      <c r="T31" s="225" t="s">
        <v>918</v>
      </c>
      <c r="U31" s="224">
        <f t="shared" ca="1" si="20"/>
        <v>2.078083561008</v>
      </c>
      <c r="V31" s="223" t="s">
        <v>918</v>
      </c>
      <c r="W31" s="223">
        <f t="shared" si="21"/>
        <v>90.100000000000009</v>
      </c>
      <c r="X31" s="223" t="s">
        <v>918</v>
      </c>
      <c r="Y31" s="226">
        <f t="shared" ca="1" si="22"/>
        <v>2.2836083087999999</v>
      </c>
      <c r="Z31" s="223" t="s">
        <v>918</v>
      </c>
      <c r="AA31" s="392">
        <f>VLOOKUP(AB31,VGA벤치마크!$B$2:$AB$152,27,FALSE)</f>
        <v>100</v>
      </c>
      <c r="AB31" s="393" t="s">
        <v>2974</v>
      </c>
      <c r="AC31" s="224">
        <f t="shared" ca="1" si="24"/>
        <v>2.50945968</v>
      </c>
      <c r="AD31" s="223" t="s">
        <v>918</v>
      </c>
      <c r="AE31" s="392">
        <f>VLOOKUP(AF31,VGA벤치마크!$B$2:$AB$152,27,FALSE)</f>
        <v>129.62</v>
      </c>
      <c r="AF31" s="393" t="s">
        <v>2970</v>
      </c>
      <c r="AG31" s="226">
        <f>VLOOKUP(AH31,CPU벤치마크!$B$2:$V$226,18+LOG($H$34,2),FALSE)</f>
        <v>2.7576480000000001</v>
      </c>
      <c r="AH31" s="394" t="s">
        <v>2969</v>
      </c>
      <c r="AI31" s="392">
        <f>VLOOKUP(AJ31,VGA벤치마크!$B$2:$AB$152,27,FALSE)</f>
        <v>164.56</v>
      </c>
      <c r="AJ31" s="395" t="s">
        <v>3007</v>
      </c>
      <c r="AK31" s="224">
        <f t="shared" ca="1" si="13"/>
        <v>3.0303824175824174</v>
      </c>
      <c r="AL31" s="223" t="s">
        <v>918</v>
      </c>
      <c r="AM31" s="412">
        <f t="shared" si="3"/>
        <v>180.83516483516482</v>
      </c>
      <c r="AN31" s="223" t="s">
        <v>918</v>
      </c>
      <c r="BD31" s="109" t="s">
        <v>813</v>
      </c>
      <c r="BE31" s="110">
        <v>3.5</v>
      </c>
      <c r="BF31" s="111">
        <v>1.7518</v>
      </c>
      <c r="BG31" s="115" t="s">
        <v>993</v>
      </c>
      <c r="BH31" s="116">
        <v>3.8</v>
      </c>
      <c r="BI31" s="117">
        <v>2.3118000000000003</v>
      </c>
      <c r="BJ31" s="115" t="s">
        <v>993</v>
      </c>
      <c r="BK31" s="116">
        <v>3.8</v>
      </c>
      <c r="BL31" s="117">
        <v>2.3118000000000003</v>
      </c>
      <c r="BS31" s="82" t="s">
        <v>1270</v>
      </c>
      <c r="BT31" s="82">
        <v>0</v>
      </c>
      <c r="BU31" s="82">
        <v>0</v>
      </c>
      <c r="BV31" s="82">
        <v>0</v>
      </c>
      <c r="BX31" s="211"/>
    </row>
    <row r="32" spans="6:76" ht="15.6" x14ac:dyDescent="0.4">
      <c r="G32" s="228" t="s">
        <v>1076</v>
      </c>
      <c r="H32" s="414">
        <v>8</v>
      </c>
      <c r="I32" s="226">
        <f t="shared" ca="1" si="14"/>
        <v>1.1713119537721921</v>
      </c>
      <c r="J32" s="223" t="s">
        <v>918</v>
      </c>
      <c r="K32" s="417">
        <f t="shared" si="15"/>
        <v>87.848217579047073</v>
      </c>
      <c r="L32" s="225" t="s">
        <v>918</v>
      </c>
      <c r="M32" s="224">
        <f t="shared" ca="1" si="16"/>
        <v>1.3069760698194512</v>
      </c>
      <c r="N32" s="223" t="s">
        <v>918</v>
      </c>
      <c r="O32" s="223">
        <f t="shared" si="17"/>
        <v>89.549661140720772</v>
      </c>
      <c r="P32" s="223" t="s">
        <v>918</v>
      </c>
      <c r="Q32" s="226">
        <f t="shared" ca="1" si="18"/>
        <v>1.46554840751228</v>
      </c>
      <c r="R32" s="223" t="s">
        <v>918</v>
      </c>
      <c r="S32" s="227">
        <f t="shared" si="19"/>
        <v>92.224161833903992</v>
      </c>
      <c r="T32" s="225" t="s">
        <v>918</v>
      </c>
      <c r="U32" s="224">
        <f t="shared" ca="1" si="20"/>
        <v>1.610492755508</v>
      </c>
      <c r="V32" s="223" t="s">
        <v>918</v>
      </c>
      <c r="W32" s="223">
        <f t="shared" si="21"/>
        <v>96.975985104000003</v>
      </c>
      <c r="X32" s="223" t="s">
        <v>918</v>
      </c>
      <c r="Y32" s="226">
        <f t="shared" ca="1" si="22"/>
        <v>1.7697722588</v>
      </c>
      <c r="Z32" s="223" t="s">
        <v>918</v>
      </c>
      <c r="AA32" s="417">
        <f t="shared" si="23"/>
        <v>107.63150400000001</v>
      </c>
      <c r="AB32" s="225" t="s">
        <v>918</v>
      </c>
      <c r="AC32" s="224">
        <f t="shared" ca="1" si="24"/>
        <v>1.9448046799999998</v>
      </c>
      <c r="AD32" s="223" t="s">
        <v>918</v>
      </c>
      <c r="AE32" s="223">
        <f t="shared" ref="AE32:AE37" si="25">AI32*$AX$9</f>
        <v>128.59200000000001</v>
      </c>
      <c r="AF32" s="223" t="s">
        <v>918</v>
      </c>
      <c r="AG32" s="226">
        <f>VLOOKUP(AH32,CPU벤치마크!$B$2:$V$226,18+LOG($H$34,2),FALSE)</f>
        <v>2.1371479999999998</v>
      </c>
      <c r="AH32" s="394" t="s">
        <v>2968</v>
      </c>
      <c r="AI32" s="392">
        <f>VLOOKUP(AJ32,VGA벤치마크!$B$2:$AB$152,27,FALSE)</f>
        <v>171</v>
      </c>
      <c r="AJ32" s="395" t="s">
        <v>2967</v>
      </c>
      <c r="AK32" s="224">
        <f t="shared" ca="1" si="13"/>
        <v>2.3485142857142853</v>
      </c>
      <c r="AL32" s="223" t="s">
        <v>918</v>
      </c>
      <c r="AM32" s="412">
        <f t="shared" si="3"/>
        <v>187.91208791208791</v>
      </c>
      <c r="AN32" s="223" t="s">
        <v>918</v>
      </c>
      <c r="BD32" s="115" t="s">
        <v>839</v>
      </c>
      <c r="BE32" s="116">
        <v>4.3</v>
      </c>
      <c r="BF32" s="117">
        <v>1.6742000000000001</v>
      </c>
      <c r="BG32" s="115" t="s">
        <v>981</v>
      </c>
      <c r="BH32" s="116">
        <v>4</v>
      </c>
      <c r="BI32" s="117">
        <v>2.2016999999999998</v>
      </c>
      <c r="BJ32" s="115" t="s">
        <v>981</v>
      </c>
      <c r="BK32" s="116">
        <v>4</v>
      </c>
      <c r="BL32" s="117">
        <v>2.2016999999999998</v>
      </c>
      <c r="BX32" s="211"/>
    </row>
    <row r="33" spans="6:76" ht="15.6" x14ac:dyDescent="0.4">
      <c r="G33" s="228" t="s">
        <v>2838</v>
      </c>
      <c r="H33" s="419">
        <v>8</v>
      </c>
      <c r="I33" s="226">
        <f t="shared" ca="1" si="14"/>
        <v>1.1713119537721921</v>
      </c>
      <c r="J33" s="223" t="s">
        <v>918</v>
      </c>
      <c r="K33" s="417">
        <f t="shared" si="15"/>
        <v>51.342402718420843</v>
      </c>
      <c r="L33" s="225" t="s">
        <v>918</v>
      </c>
      <c r="M33" s="224">
        <f t="shared" ca="1" si="16"/>
        <v>1.3069760698194512</v>
      </c>
      <c r="N33" s="223" t="s">
        <v>918</v>
      </c>
      <c r="O33" s="223">
        <f t="shared" si="17"/>
        <v>52.336801955576803</v>
      </c>
      <c r="P33" s="223" t="s">
        <v>918</v>
      </c>
      <c r="Q33" s="226">
        <f t="shared" ca="1" si="18"/>
        <v>1.46554840751228</v>
      </c>
      <c r="R33" s="223" t="s">
        <v>918</v>
      </c>
      <c r="S33" s="227">
        <f t="shared" si="19"/>
        <v>53.899899027370552</v>
      </c>
      <c r="T33" s="225" t="s">
        <v>918</v>
      </c>
      <c r="U33" s="224">
        <f t="shared" ca="1" si="20"/>
        <v>1.610492755508</v>
      </c>
      <c r="V33" s="223" t="s">
        <v>918</v>
      </c>
      <c r="W33" s="223">
        <f t="shared" si="21"/>
        <v>56.677075738559992</v>
      </c>
      <c r="X33" s="223" t="s">
        <v>918</v>
      </c>
      <c r="Y33" s="226">
        <f t="shared" ca="1" si="22"/>
        <v>1.7697722588</v>
      </c>
      <c r="Z33" s="223" t="s">
        <v>918</v>
      </c>
      <c r="AA33" s="417">
        <f t="shared" si="23"/>
        <v>62.904634559999991</v>
      </c>
      <c r="AB33" s="225" t="s">
        <v>918</v>
      </c>
      <c r="AC33" s="224">
        <f t="shared" ca="1" si="24"/>
        <v>1.9448046799999998</v>
      </c>
      <c r="AD33" s="223" t="s">
        <v>918</v>
      </c>
      <c r="AE33" s="223">
        <f t="shared" si="25"/>
        <v>75.154879999999991</v>
      </c>
      <c r="AF33" s="223" t="s">
        <v>918</v>
      </c>
      <c r="AG33" s="226">
        <f>VLOOKUP(AH33,CPU벤치마크!$B$2:$V$226,18+LOG($H$34,2),FALSE)</f>
        <v>2.1371479999999998</v>
      </c>
      <c r="AH33" s="420" t="s">
        <v>2968</v>
      </c>
      <c r="AI33" s="392">
        <f>VLOOKUP(AJ33,VGA벤치마크!$B$2:$AB$152,27,FALSE)</f>
        <v>99.94</v>
      </c>
      <c r="AJ33" s="395" t="s">
        <v>3011</v>
      </c>
      <c r="AK33" s="224">
        <f t="shared" ca="1" si="13"/>
        <v>2.3485142857142853</v>
      </c>
      <c r="AL33" s="223" t="s">
        <v>918</v>
      </c>
      <c r="AM33" s="412">
        <f t="shared" si="3"/>
        <v>109.82417582417582</v>
      </c>
      <c r="AN33" s="223" t="s">
        <v>918</v>
      </c>
      <c r="BD33" s="109" t="s">
        <v>543</v>
      </c>
      <c r="BE33" s="110">
        <v>2.9</v>
      </c>
      <c r="BF33" s="111">
        <v>1.6728000000000001</v>
      </c>
      <c r="BG33" s="115" t="s">
        <v>835</v>
      </c>
      <c r="BH33" s="116">
        <v>4</v>
      </c>
      <c r="BI33" s="117">
        <v>2.2016999999999998</v>
      </c>
      <c r="BJ33" s="115" t="s">
        <v>835</v>
      </c>
      <c r="BK33" s="116">
        <v>4</v>
      </c>
      <c r="BL33" s="117">
        <v>2.2016999999999998</v>
      </c>
      <c r="BX33" s="211"/>
    </row>
    <row r="34" spans="6:76" ht="15.6" x14ac:dyDescent="0.4">
      <c r="G34" s="228" t="s">
        <v>2836</v>
      </c>
      <c r="H34" s="414">
        <v>8</v>
      </c>
      <c r="I34" s="226">
        <f t="shared" ca="1" si="14"/>
        <v>1.1713119537721921</v>
      </c>
      <c r="J34" s="223" t="s">
        <v>918</v>
      </c>
      <c r="K34" s="417">
        <f t="shared" si="15"/>
        <v>71.927654638844331</v>
      </c>
      <c r="L34" s="225" t="s">
        <v>918</v>
      </c>
      <c r="M34" s="224">
        <f t="shared" ca="1" si="16"/>
        <v>1.3069760698194512</v>
      </c>
      <c r="N34" s="223" t="s">
        <v>918</v>
      </c>
      <c r="O34" s="223">
        <f t="shared" si="17"/>
        <v>73.320748867323474</v>
      </c>
      <c r="P34" s="223" t="s">
        <v>918</v>
      </c>
      <c r="Q34" s="226">
        <f t="shared" ca="1" si="18"/>
        <v>1.46554840751228</v>
      </c>
      <c r="R34" s="223" t="s">
        <v>918</v>
      </c>
      <c r="S34" s="227">
        <f t="shared" si="19"/>
        <v>75.510554961198224</v>
      </c>
      <c r="T34" s="225" t="s">
        <v>918</v>
      </c>
      <c r="U34" s="224">
        <f t="shared" ca="1" si="20"/>
        <v>1.610492755508</v>
      </c>
      <c r="V34" s="223" t="s">
        <v>918</v>
      </c>
      <c r="W34" s="223">
        <f t="shared" si="21"/>
        <v>79.401214470239992</v>
      </c>
      <c r="X34" s="223" t="s">
        <v>918</v>
      </c>
      <c r="Y34" s="226">
        <f t="shared" ca="1" si="22"/>
        <v>1.7697722588</v>
      </c>
      <c r="Z34" s="223" t="s">
        <v>918</v>
      </c>
      <c r="AA34" s="417">
        <f t="shared" si="23"/>
        <v>88.125654239999989</v>
      </c>
      <c r="AB34" s="225" t="s">
        <v>918</v>
      </c>
      <c r="AC34" s="224">
        <f t="shared" ca="1" si="24"/>
        <v>1.9448046799999998</v>
      </c>
      <c r="AD34" s="223" t="s">
        <v>918</v>
      </c>
      <c r="AE34" s="223">
        <f t="shared" si="25"/>
        <v>105.28751999999999</v>
      </c>
      <c r="AF34" s="223" t="s">
        <v>918</v>
      </c>
      <c r="AG34" s="226">
        <f>VLOOKUP(AH34,CPU벤치마크!$B$2:$V$226,18+LOG($H$34,2),FALSE)</f>
        <v>2.1371479999999998</v>
      </c>
      <c r="AH34" s="394" t="s">
        <v>2968</v>
      </c>
      <c r="AI34" s="392">
        <f>VLOOKUP(AJ34,VGA벤치마크!$B$2:$AB$152,27,FALSE)</f>
        <v>140.01</v>
      </c>
      <c r="AJ34" s="395" t="s">
        <v>3012</v>
      </c>
      <c r="AK34" s="224">
        <f t="shared" ca="1" si="13"/>
        <v>2.3485142857142853</v>
      </c>
      <c r="AL34" s="223" t="s">
        <v>918</v>
      </c>
      <c r="AM34" s="412">
        <f t="shared" si="3"/>
        <v>153.85714285714283</v>
      </c>
      <c r="AN34" s="223" t="s">
        <v>918</v>
      </c>
      <c r="BD34" s="109" t="s">
        <v>407</v>
      </c>
      <c r="BE34" s="110">
        <v>3</v>
      </c>
      <c r="BF34" s="111">
        <v>1.6666000000000001</v>
      </c>
      <c r="BG34" s="115" t="s">
        <v>1161</v>
      </c>
      <c r="BH34" s="116">
        <v>3.9</v>
      </c>
      <c r="BI34" s="117">
        <v>2.1420000000000003</v>
      </c>
      <c r="BJ34" s="115" t="s">
        <v>1161</v>
      </c>
      <c r="BK34" s="116">
        <v>3.9</v>
      </c>
      <c r="BL34" s="117">
        <v>2.1420000000000003</v>
      </c>
      <c r="BX34" s="211"/>
    </row>
    <row r="35" spans="6:76" ht="15.6" x14ac:dyDescent="0.25">
      <c r="G35" s="228" t="s">
        <v>1080</v>
      </c>
      <c r="H35" s="414">
        <v>8</v>
      </c>
      <c r="I35" s="226">
        <f t="shared" ca="1" si="14"/>
        <v>1.7645740802064016</v>
      </c>
      <c r="J35" s="223" t="s">
        <v>918</v>
      </c>
      <c r="K35" s="417">
        <f t="shared" si="15"/>
        <v>92.158431295352386</v>
      </c>
      <c r="L35" s="225" t="s">
        <v>918</v>
      </c>
      <c r="M35" s="224">
        <f t="shared" ca="1" si="16"/>
        <v>1.9689512164766811</v>
      </c>
      <c r="N35" s="223" t="s">
        <v>918</v>
      </c>
      <c r="O35" s="223">
        <f t="shared" si="17"/>
        <v>93.943355041133927</v>
      </c>
      <c r="P35" s="223" t="s">
        <v>918</v>
      </c>
      <c r="Q35" s="226">
        <f t="shared" ca="1" si="18"/>
        <v>2.2078394443560003</v>
      </c>
      <c r="R35" s="223" t="s">
        <v>918</v>
      </c>
      <c r="S35" s="227">
        <f t="shared" si="19"/>
        <v>96.749078312187365</v>
      </c>
      <c r="T35" s="225" t="s">
        <v>918</v>
      </c>
      <c r="U35" s="224">
        <f t="shared" ca="1" si="20"/>
        <v>2.4261971916000005</v>
      </c>
      <c r="V35" s="223" t="s">
        <v>918</v>
      </c>
      <c r="W35" s="223">
        <f>AA35*$AV$9</f>
        <v>101.73404659536001</v>
      </c>
      <c r="X35" s="223" t="s">
        <v>918</v>
      </c>
      <c r="Y35" s="226">
        <f t="shared" ca="1" si="22"/>
        <v>2.6661507600000003</v>
      </c>
      <c r="Z35" s="223" t="s">
        <v>918</v>
      </c>
      <c r="AA35" s="417">
        <f t="shared" si="23"/>
        <v>112.91237136000001</v>
      </c>
      <c r="AB35" s="225" t="s">
        <v>918</v>
      </c>
      <c r="AC35" s="224">
        <f t="shared" ca="1" si="24"/>
        <v>2.9298360000000003</v>
      </c>
      <c r="AD35" s="223" t="s">
        <v>918</v>
      </c>
      <c r="AE35" s="223">
        <f t="shared" si="25"/>
        <v>134.90128000000001</v>
      </c>
      <c r="AF35" s="223" t="s">
        <v>918</v>
      </c>
      <c r="AG35" s="226">
        <f>VLOOKUP(AH35,CPU벤치마크!$B$2:$V$226,18+LOG($H$34,2),FALSE)</f>
        <v>3.2196000000000002</v>
      </c>
      <c r="AH35" s="394" t="s">
        <v>2976</v>
      </c>
      <c r="AI35" s="392">
        <f>VLOOKUP(AJ35,VGA벤치마크!$B$2:$AB$152,27,FALSE)</f>
        <v>179.39000000000001</v>
      </c>
      <c r="AJ35" s="395" t="s">
        <v>2977</v>
      </c>
      <c r="AK35" s="224">
        <f t="shared" ca="1" si="13"/>
        <v>3.5380219780219782</v>
      </c>
      <c r="AL35" s="223" t="s">
        <v>918</v>
      </c>
      <c r="AM35" s="412">
        <f t="shared" si="3"/>
        <v>197.13186813186815</v>
      </c>
      <c r="AN35" s="223" t="s">
        <v>918</v>
      </c>
      <c r="BD35" s="109" t="s">
        <v>1293</v>
      </c>
      <c r="BE35" s="38">
        <v>2.7</v>
      </c>
      <c r="BF35" s="111">
        <v>1.6440000000000001</v>
      </c>
      <c r="BG35" s="109" t="s">
        <v>541</v>
      </c>
      <c r="BH35" s="110">
        <v>3.6</v>
      </c>
      <c r="BI35" s="111">
        <v>2.1215999999999999</v>
      </c>
      <c r="BJ35" s="109" t="s">
        <v>541</v>
      </c>
      <c r="BK35" s="110">
        <v>3.6</v>
      </c>
      <c r="BL35" s="111">
        <v>2.1215999999999999</v>
      </c>
      <c r="BX35" s="211"/>
    </row>
    <row r="36" spans="6:76" ht="15.6" x14ac:dyDescent="0.4">
      <c r="G36" s="228" t="s">
        <v>3019</v>
      </c>
      <c r="H36" s="414">
        <v>8</v>
      </c>
      <c r="I36" s="226">
        <f t="shared" ca="1" si="14"/>
        <v>1.6003715723079552</v>
      </c>
      <c r="J36" s="223" t="s">
        <v>918</v>
      </c>
      <c r="K36" s="417">
        <f t="shared" si="15"/>
        <v>90.334681749120705</v>
      </c>
      <c r="L36" s="225" t="s">
        <v>918</v>
      </c>
      <c r="M36" s="224">
        <f t="shared" ca="1" si="16"/>
        <v>1.7857303864181602</v>
      </c>
      <c r="N36" s="223" t="s">
        <v>918</v>
      </c>
      <c r="O36" s="223">
        <f t="shared" si="17"/>
        <v>92.084283128563413</v>
      </c>
      <c r="P36" s="223" t="s">
        <v>918</v>
      </c>
      <c r="Q36" s="226">
        <f t="shared" ca="1" si="18"/>
        <v>2.0023888612</v>
      </c>
      <c r="R36" s="223" t="s">
        <v>918</v>
      </c>
      <c r="S36" s="227">
        <f t="shared" si="19"/>
        <v>94.834483139612175</v>
      </c>
      <c r="T36" s="225" t="s">
        <v>918</v>
      </c>
      <c r="U36" s="224">
        <f t="shared" ca="1" si="20"/>
        <v>2.2004273199999997</v>
      </c>
      <c r="V36" s="223" t="s">
        <v>918</v>
      </c>
      <c r="W36" s="223">
        <f>AA36*$AV$9</f>
        <v>99.720802460160016</v>
      </c>
      <c r="X36" s="223" t="s">
        <v>918</v>
      </c>
      <c r="Y36" s="226">
        <f t="shared" ca="1" si="22"/>
        <v>2.4180519999999999</v>
      </c>
      <c r="Z36" s="223" t="s">
        <v>918</v>
      </c>
      <c r="AA36" s="417">
        <f t="shared" si="23"/>
        <v>110.67791616000001</v>
      </c>
      <c r="AB36" s="225" t="s">
        <v>918</v>
      </c>
      <c r="AC36" s="224">
        <f t="shared" ca="1" si="24"/>
        <v>2.6572</v>
      </c>
      <c r="AD36" s="223" t="s">
        <v>918</v>
      </c>
      <c r="AE36" s="223">
        <f t="shared" si="25"/>
        <v>132.23168000000001</v>
      </c>
      <c r="AF36" s="223" t="s">
        <v>918</v>
      </c>
      <c r="AG36" s="226">
        <f>VLOOKUP(AH36,CPU벤치마크!$B$2:$V$226,18+LOG($H$34,2),FALSE)</f>
        <v>2.92</v>
      </c>
      <c r="AH36" s="394" t="s">
        <v>3030</v>
      </c>
      <c r="AI36" s="392">
        <f>VLOOKUP(AJ36,VGA벤치마크!$B$2:$AB$152,27,FALSE)</f>
        <v>175.84</v>
      </c>
      <c r="AJ36" s="395" t="s">
        <v>2978</v>
      </c>
      <c r="AK36" s="224">
        <f t="shared" ca="1" si="13"/>
        <v>3.2087912087912085</v>
      </c>
      <c r="AL36" s="223" t="s">
        <v>918</v>
      </c>
      <c r="AM36" s="412">
        <f t="shared" si="3"/>
        <v>193.23076923076923</v>
      </c>
      <c r="AN36" s="223" t="s">
        <v>918</v>
      </c>
      <c r="BD36" s="115" t="s">
        <v>1157</v>
      </c>
      <c r="BE36" s="116">
        <v>4.3</v>
      </c>
      <c r="BF36" s="117">
        <v>1.6264000000000001</v>
      </c>
      <c r="BG36" s="109" t="s">
        <v>540</v>
      </c>
      <c r="BH36" s="110">
        <v>3.5</v>
      </c>
      <c r="BI36" s="111">
        <v>2.0628000000000002</v>
      </c>
      <c r="BJ36" s="109" t="s">
        <v>540</v>
      </c>
      <c r="BK36" s="110">
        <v>3.5</v>
      </c>
      <c r="BL36" s="111">
        <v>2.0628000000000002</v>
      </c>
      <c r="BX36" s="211"/>
    </row>
    <row r="37" spans="6:76" ht="15.6" x14ac:dyDescent="0.4">
      <c r="G37" s="228" t="s">
        <v>3017</v>
      </c>
      <c r="H37" s="414">
        <v>8</v>
      </c>
      <c r="I37" s="226">
        <f ca="1">M37*OFFSET($AS$6,LOG(H37,2)-1,0)</f>
        <v>1.1713119537721921</v>
      </c>
      <c r="J37" s="223" t="s">
        <v>918</v>
      </c>
      <c r="K37" s="417">
        <f>O37*$AS$9</f>
        <v>82.299909100370442</v>
      </c>
      <c r="L37" s="225" t="s">
        <v>918</v>
      </c>
      <c r="M37" s="224">
        <f t="shared" ref="M37:M45" ca="1" si="26">Q37*OFFSET($AT$6,LOG(H37,2)-1,0)</f>
        <v>1.3069760698194512</v>
      </c>
      <c r="N37" s="223" t="s">
        <v>918</v>
      </c>
      <c r="O37" s="223">
        <f>S37*$AT$9</f>
        <v>83.893893068675268</v>
      </c>
      <c r="P37" s="223" t="s">
        <v>918</v>
      </c>
      <c r="Q37" s="226">
        <f ca="1">U37*OFFSET($AY$6,LOG(H37,2)-1,0)</f>
        <v>1.46554840751228</v>
      </c>
      <c r="R37" s="223" t="s">
        <v>918</v>
      </c>
      <c r="S37" s="227">
        <f>W37*$AU$9</f>
        <v>86.39947792860481</v>
      </c>
      <c r="T37" s="225" t="s">
        <v>918</v>
      </c>
      <c r="U37" s="224">
        <f ca="1">Y37*OFFSET($AY$6,LOG(H37,2)-1,0)</f>
        <v>1.610492755508</v>
      </c>
      <c r="V37" s="223" t="s">
        <v>918</v>
      </c>
      <c r="W37" s="223">
        <f>AA37*$AV$9</f>
        <v>90.851186044800016</v>
      </c>
      <c r="X37" s="223" t="s">
        <v>918</v>
      </c>
      <c r="Y37" s="226">
        <f ca="1">AC37*OFFSET($AY$6,LOG(H37,2)-1,0)</f>
        <v>1.7697722588</v>
      </c>
      <c r="Z37" s="223" t="s">
        <v>918</v>
      </c>
      <c r="AA37" s="417">
        <f>AE37*$AW$9</f>
        <v>100.83372480000001</v>
      </c>
      <c r="AB37" s="225" t="s">
        <v>918</v>
      </c>
      <c r="AC37" s="224">
        <f ca="1">AG37*OFFSET($AY$6,LOG(H37,2)-1,0)</f>
        <v>1.9448046799999998</v>
      </c>
      <c r="AD37" s="223" t="s">
        <v>918</v>
      </c>
      <c r="AE37" s="223">
        <f t="shared" si="25"/>
        <v>120.47040000000001</v>
      </c>
      <c r="AF37" s="223" t="s">
        <v>918</v>
      </c>
      <c r="AG37" s="226">
        <f>VLOOKUP(AH37,CPU벤치마크!$B$2:$V$226,18+LOG($H$34,2),FALSE)</f>
        <v>2.1371479999999998</v>
      </c>
      <c r="AH37" s="394" t="s">
        <v>2968</v>
      </c>
      <c r="AI37" s="392">
        <f>VLOOKUP(AJ37,VGA벤치마크!$B$2:$AB$152,27,FALSE)</f>
        <v>160.20000000000002</v>
      </c>
      <c r="AJ37" s="395" t="s">
        <v>3018</v>
      </c>
      <c r="AK37" s="224">
        <f t="shared" ca="1" si="13"/>
        <v>2.3485142857142853</v>
      </c>
      <c r="AL37" s="223" t="s">
        <v>918</v>
      </c>
      <c r="AM37" s="412">
        <f t="shared" si="3"/>
        <v>176.04395604395606</v>
      </c>
      <c r="AN37" s="223" t="s">
        <v>918</v>
      </c>
      <c r="BD37" s="109" t="s">
        <v>542</v>
      </c>
      <c r="BE37" s="110">
        <v>2.8</v>
      </c>
      <c r="BF37" s="111">
        <v>1.6152</v>
      </c>
      <c r="BG37" s="109" t="s">
        <v>1170</v>
      </c>
      <c r="BH37" s="110">
        <v>3.6</v>
      </c>
      <c r="BI37" s="111">
        <v>2</v>
      </c>
      <c r="BJ37" s="109" t="s">
        <v>1170</v>
      </c>
      <c r="BK37" s="110">
        <v>3.6</v>
      </c>
      <c r="BL37" s="111">
        <v>2</v>
      </c>
      <c r="BX37" s="211"/>
    </row>
    <row r="38" spans="6:76" ht="15.6" x14ac:dyDescent="0.4">
      <c r="G38" s="228" t="s">
        <v>1086</v>
      </c>
      <c r="H38" s="414">
        <v>8</v>
      </c>
      <c r="I38" s="226">
        <f t="shared" ref="I38:I44" ca="1" si="27">M38*OFFSET($AS$6,LOG(H38,2)-1,0)</f>
        <v>1.1713119537721921</v>
      </c>
      <c r="J38" s="223" t="s">
        <v>918</v>
      </c>
      <c r="K38" s="417">
        <f t="shared" ref="K38:K44" si="28">O38*$AS$9</f>
        <v>91.61780758213726</v>
      </c>
      <c r="L38" s="225" t="s">
        <v>918</v>
      </c>
      <c r="M38" s="224">
        <f t="shared" ca="1" si="26"/>
        <v>1.3069760698194512</v>
      </c>
      <c r="N38" s="223" t="s">
        <v>918</v>
      </c>
      <c r="O38" s="223">
        <f t="shared" ref="O38:O44" si="29">S38*$AT$9</f>
        <v>93.392260532250006</v>
      </c>
      <c r="P38" s="223" t="s">
        <v>918</v>
      </c>
      <c r="Q38" s="226">
        <f t="shared" ref="Q38:Q44" ca="1" si="30">U38*OFFSET($AY$6,LOG(H38,2)-1,0)</f>
        <v>1.46554840751228</v>
      </c>
      <c r="R38" s="223" t="s">
        <v>918</v>
      </c>
      <c r="S38" s="227">
        <f t="shared" ref="S38:S44" si="31">W38*$AU$9</f>
        <v>96.181524750000008</v>
      </c>
      <c r="T38" s="225" t="s">
        <v>918</v>
      </c>
      <c r="U38" s="224">
        <f t="shared" ref="U38:U44" ca="1" si="32">Y38*OFFSET($AY$6,LOG(H38,2)-1,0)</f>
        <v>1.610492755508</v>
      </c>
      <c r="V38" s="223" t="s">
        <v>918</v>
      </c>
      <c r="W38" s="223">
        <f t="shared" ref="W38:W44" si="33">AA38*$AV$9</f>
        <v>101.13725000000001</v>
      </c>
      <c r="X38" s="223" t="s">
        <v>918</v>
      </c>
      <c r="Y38" s="226">
        <f ca="1">AC38*OFFSET($AY$6,LOG(H38,2)-1,0)</f>
        <v>1.7697722588</v>
      </c>
      <c r="Z38" s="223" t="s">
        <v>918</v>
      </c>
      <c r="AA38" s="392">
        <f>VLOOKUP(AB38,VGA벤치마크!$B$2:$AB$152,27,FALSE)</f>
        <v>112.25</v>
      </c>
      <c r="AB38" s="393" t="s">
        <v>2965</v>
      </c>
      <c r="AC38" s="224">
        <f ca="1">AG38*OFFSET($AY$6,LOG(H38,2)-1,0)</f>
        <v>1.9448046799999998</v>
      </c>
      <c r="AD38" s="223" t="s">
        <v>918</v>
      </c>
      <c r="AE38" s="392">
        <f>VLOOKUP(AF38,VGA벤치마크!$B$2:$AB$152,27,FALSE)</f>
        <v>147.16</v>
      </c>
      <c r="AF38" s="393" t="s">
        <v>2939</v>
      </c>
      <c r="AG38" s="226">
        <f>VLOOKUP(AH38,CPU벤치마크!$B$2:$V$226,18+LOG($H$34,2),FALSE)</f>
        <v>2.1371479999999998</v>
      </c>
      <c r="AH38" s="394" t="s">
        <v>2968</v>
      </c>
      <c r="AI38" s="392">
        <f>VLOOKUP(AJ38,VGA벤치마크!$B$2:$AB$152,27,FALSE)</f>
        <v>191.9</v>
      </c>
      <c r="AJ38" s="395" t="s">
        <v>3029</v>
      </c>
      <c r="AK38" s="224">
        <f t="shared" ca="1" si="13"/>
        <v>2.3485142857142853</v>
      </c>
      <c r="AL38" s="223" t="s">
        <v>918</v>
      </c>
      <c r="AM38" s="412">
        <f t="shared" si="3"/>
        <v>210.87912087912088</v>
      </c>
      <c r="AN38" s="223" t="s">
        <v>918</v>
      </c>
      <c r="BD38" s="109" t="s">
        <v>383</v>
      </c>
      <c r="BE38" s="110">
        <v>2.9</v>
      </c>
      <c r="BF38" s="111">
        <v>1.611</v>
      </c>
      <c r="BG38" s="115" t="s">
        <v>836</v>
      </c>
      <c r="BH38" s="116">
        <v>3.8</v>
      </c>
      <c r="BI38" s="117">
        <v>1.9635000000000002</v>
      </c>
      <c r="BJ38" s="115" t="s">
        <v>836</v>
      </c>
      <c r="BK38" s="116">
        <v>3.8</v>
      </c>
      <c r="BL38" s="117">
        <v>1.9635000000000002</v>
      </c>
      <c r="BX38" s="211"/>
    </row>
    <row r="39" spans="6:76" ht="15.6" x14ac:dyDescent="0.25">
      <c r="G39" s="228" t="s">
        <v>1099</v>
      </c>
      <c r="H39" s="414">
        <v>8</v>
      </c>
      <c r="I39" s="226">
        <f t="shared" ca="1" si="27"/>
        <v>1.7645740802064016</v>
      </c>
      <c r="J39" s="223" t="s">
        <v>918</v>
      </c>
      <c r="K39" s="417">
        <f t="shared" si="28"/>
        <v>90.334681749120705</v>
      </c>
      <c r="L39" s="225" t="s">
        <v>918</v>
      </c>
      <c r="M39" s="224">
        <f t="shared" ca="1" si="26"/>
        <v>1.9689512164766811</v>
      </c>
      <c r="N39" s="223" t="s">
        <v>918</v>
      </c>
      <c r="O39" s="223">
        <f t="shared" si="29"/>
        <v>92.084283128563413</v>
      </c>
      <c r="P39" s="223" t="s">
        <v>918</v>
      </c>
      <c r="Q39" s="226">
        <f t="shared" ca="1" si="30"/>
        <v>2.2078394443560003</v>
      </c>
      <c r="R39" s="223" t="s">
        <v>918</v>
      </c>
      <c r="S39" s="227">
        <f t="shared" si="31"/>
        <v>94.834483139612175</v>
      </c>
      <c r="T39" s="225" t="s">
        <v>918</v>
      </c>
      <c r="U39" s="224">
        <f t="shared" ca="1" si="32"/>
        <v>2.4261971916000005</v>
      </c>
      <c r="V39" s="223" t="s">
        <v>918</v>
      </c>
      <c r="W39" s="223">
        <f t="shared" si="33"/>
        <v>99.720802460160016</v>
      </c>
      <c r="X39" s="223" t="s">
        <v>918</v>
      </c>
      <c r="Y39" s="226">
        <f t="shared" ref="Y39:Y44" ca="1" si="34">AC39*OFFSET($AY$6,LOG(H39,2)-1,0)</f>
        <v>2.6661507600000003</v>
      </c>
      <c r="Z39" s="223" t="s">
        <v>918</v>
      </c>
      <c r="AA39" s="417">
        <f t="shared" ref="AA39:AA44" si="35">AE39*$AW$9</f>
        <v>110.67791616000001</v>
      </c>
      <c r="AB39" s="225" t="s">
        <v>918</v>
      </c>
      <c r="AC39" s="224">
        <f t="shared" ref="AC39:AC44" ca="1" si="36">AG39*OFFSET($AY$6,LOG(H39,2)-1,0)</f>
        <v>2.9298360000000003</v>
      </c>
      <c r="AD39" s="223" t="s">
        <v>918</v>
      </c>
      <c r="AE39" s="223">
        <f t="shared" ref="AE39:AE44" si="37">AI39*$AX$9</f>
        <v>132.23168000000001</v>
      </c>
      <c r="AF39" s="223" t="s">
        <v>918</v>
      </c>
      <c r="AG39" s="226">
        <f>VLOOKUP(AH39,CPU벤치마크!$B$2:$V$226,18+LOG($H$34,2),FALSE)</f>
        <v>3.2196000000000002</v>
      </c>
      <c r="AH39" s="394" t="s">
        <v>2976</v>
      </c>
      <c r="AI39" s="392">
        <f>VLOOKUP(AJ39,VGA벤치마크!$B$2:$AB$152,27,FALSE)</f>
        <v>175.84</v>
      </c>
      <c r="AJ39" s="395" t="s">
        <v>2978</v>
      </c>
      <c r="AK39" s="224">
        <f t="shared" ca="1" si="13"/>
        <v>3.5380219780219782</v>
      </c>
      <c r="AL39" s="223" t="s">
        <v>918</v>
      </c>
      <c r="AM39" s="412">
        <f t="shared" si="3"/>
        <v>193.23076923076923</v>
      </c>
      <c r="AN39" s="223" t="s">
        <v>918</v>
      </c>
      <c r="BD39" s="109" t="s">
        <v>382</v>
      </c>
      <c r="BE39" s="110">
        <v>2.8</v>
      </c>
      <c r="BF39" s="111">
        <v>1.5554000000000001</v>
      </c>
      <c r="BG39" s="109" t="s">
        <v>1292</v>
      </c>
      <c r="BH39" s="38">
        <v>3.3</v>
      </c>
      <c r="BI39" s="111">
        <v>1.9448000000000001</v>
      </c>
      <c r="BJ39" s="109" t="s">
        <v>1292</v>
      </c>
      <c r="BK39" s="38">
        <v>3.3</v>
      </c>
      <c r="BL39" s="111">
        <v>1.9448000000000001</v>
      </c>
      <c r="BX39" s="211"/>
    </row>
    <row r="40" spans="6:76" ht="15.6" x14ac:dyDescent="0.4">
      <c r="G40" s="228" t="s">
        <v>1092</v>
      </c>
      <c r="H40" s="414">
        <v>8</v>
      </c>
      <c r="I40" s="226">
        <f t="shared" ca="1" si="27"/>
        <v>1.6003715723079552</v>
      </c>
      <c r="J40" s="223" t="s">
        <v>918</v>
      </c>
      <c r="K40" s="417">
        <f t="shared" si="28"/>
        <v>116.81943827000941</v>
      </c>
      <c r="L40" s="225" t="s">
        <v>918</v>
      </c>
      <c r="M40" s="224">
        <f t="shared" ca="1" si="26"/>
        <v>1.7857303864181602</v>
      </c>
      <c r="N40" s="223" t="s">
        <v>918</v>
      </c>
      <c r="O40" s="223">
        <f t="shared" si="29"/>
        <v>119.08199619776698</v>
      </c>
      <c r="P40" s="223" t="s">
        <v>918</v>
      </c>
      <c r="Q40" s="226">
        <f t="shared" ca="1" si="30"/>
        <v>2.0023888612</v>
      </c>
      <c r="R40" s="223" t="s">
        <v>918</v>
      </c>
      <c r="S40" s="227">
        <f t="shared" si="31"/>
        <v>122.63851307699998</v>
      </c>
      <c r="T40" s="225" t="s">
        <v>918</v>
      </c>
      <c r="U40" s="224">
        <f t="shared" ca="1" si="32"/>
        <v>2.2004273199999997</v>
      </c>
      <c r="V40" s="223" t="s">
        <v>918</v>
      </c>
      <c r="W40" s="223">
        <f t="shared" si="33"/>
        <v>128.957427</v>
      </c>
      <c r="X40" s="223" t="s">
        <v>918</v>
      </c>
      <c r="Y40" s="226">
        <f t="shared" ca="1" si="34"/>
        <v>2.4180519999999999</v>
      </c>
      <c r="Z40" s="223" t="s">
        <v>918</v>
      </c>
      <c r="AA40" s="417">
        <f t="shared" si="35"/>
        <v>143.12699999999998</v>
      </c>
      <c r="AB40" s="225" t="s">
        <v>918</v>
      </c>
      <c r="AC40" s="224">
        <f t="shared" ca="1" si="36"/>
        <v>2.6572</v>
      </c>
      <c r="AD40" s="223" t="s">
        <v>918</v>
      </c>
      <c r="AE40" s="392">
        <f>VLOOKUP(AF40,VGA벤치마크!$B$2:$AB$152,27,FALSE)</f>
        <v>171</v>
      </c>
      <c r="AF40" s="393" t="s">
        <v>2967</v>
      </c>
      <c r="AG40" s="226">
        <f>VLOOKUP(AH40,CPU벤치마크!$B$2:$V$226,18+LOG($H$34,2),FALSE)</f>
        <v>2.92</v>
      </c>
      <c r="AH40" s="394" t="s">
        <v>3030</v>
      </c>
      <c r="AI40" s="392">
        <f>VLOOKUP(AJ40,VGA벤치마크!$B$2:$AB$152,27,FALSE)</f>
        <v>191.9</v>
      </c>
      <c r="AJ40" s="393" t="s">
        <v>3020</v>
      </c>
      <c r="AK40" s="224">
        <f t="shared" ca="1" si="13"/>
        <v>3.2087912087912085</v>
      </c>
      <c r="AL40" s="223" t="s">
        <v>918</v>
      </c>
      <c r="AM40" s="412">
        <f t="shared" si="3"/>
        <v>210.87912087912088</v>
      </c>
      <c r="AN40" s="223" t="s">
        <v>918</v>
      </c>
      <c r="BD40" s="115" t="s">
        <v>833</v>
      </c>
      <c r="BE40" s="116">
        <v>4.0999999999999996</v>
      </c>
      <c r="BF40" s="117">
        <v>1.5472000000000001</v>
      </c>
      <c r="BG40" s="109" t="s">
        <v>416</v>
      </c>
      <c r="BH40" s="110">
        <v>3.5</v>
      </c>
      <c r="BI40" s="111">
        <v>1.9444000000000001</v>
      </c>
      <c r="BJ40" s="109" t="s">
        <v>416</v>
      </c>
      <c r="BK40" s="110">
        <v>3.5</v>
      </c>
      <c r="BL40" s="111">
        <v>1.9444000000000001</v>
      </c>
      <c r="BX40" s="211"/>
    </row>
    <row r="41" spans="6:76" ht="15.6" x14ac:dyDescent="0.4">
      <c r="G41" s="228" t="s">
        <v>1090</v>
      </c>
      <c r="H41" s="414">
        <v>8</v>
      </c>
      <c r="I41" s="226">
        <f t="shared" ca="1" si="27"/>
        <v>1.1713119537721921</v>
      </c>
      <c r="J41" s="223" t="s">
        <v>918</v>
      </c>
      <c r="K41" s="417">
        <f t="shared" si="28"/>
        <v>59.803573148402741</v>
      </c>
      <c r="L41" s="225" t="s">
        <v>918</v>
      </c>
      <c r="M41" s="224">
        <f t="shared" ca="1" si="26"/>
        <v>1.3069760698194512</v>
      </c>
      <c r="N41" s="223" t="s">
        <v>918</v>
      </c>
      <c r="O41" s="223">
        <f t="shared" si="29"/>
        <v>60.961848265446221</v>
      </c>
      <c r="P41" s="223" t="s">
        <v>918</v>
      </c>
      <c r="Q41" s="226">
        <f t="shared" ca="1" si="30"/>
        <v>1.46554840751228</v>
      </c>
      <c r="R41" s="223" t="s">
        <v>918</v>
      </c>
      <c r="S41" s="227">
        <f t="shared" si="31"/>
        <v>62.782541982951827</v>
      </c>
      <c r="T41" s="225" t="s">
        <v>918</v>
      </c>
      <c r="U41" s="224">
        <f t="shared" ca="1" si="32"/>
        <v>1.610492755508</v>
      </c>
      <c r="V41" s="223" t="s">
        <v>918</v>
      </c>
      <c r="W41" s="223">
        <f t="shared" si="33"/>
        <v>66.017394303839993</v>
      </c>
      <c r="X41" s="223" t="s">
        <v>918</v>
      </c>
      <c r="Y41" s="226">
        <f t="shared" ca="1" si="34"/>
        <v>1.7697722588</v>
      </c>
      <c r="Z41" s="223" t="s">
        <v>918</v>
      </c>
      <c r="AA41" s="417">
        <f t="shared" si="35"/>
        <v>73.271247839999987</v>
      </c>
      <c r="AB41" s="225" t="s">
        <v>918</v>
      </c>
      <c r="AC41" s="224">
        <f t="shared" ca="1" si="36"/>
        <v>1.9448046799999998</v>
      </c>
      <c r="AD41" s="223" t="s">
        <v>918</v>
      </c>
      <c r="AE41" s="223">
        <f t="shared" si="37"/>
        <v>87.540319999999994</v>
      </c>
      <c r="AF41" s="223" t="s">
        <v>918</v>
      </c>
      <c r="AG41" s="226">
        <f>VLOOKUP(AH41,CPU벤치마크!$B$2:$V$226,18+LOG($H$34,2),FALSE)</f>
        <v>2.1371479999999998</v>
      </c>
      <c r="AH41" s="394" t="s">
        <v>2968</v>
      </c>
      <c r="AI41" s="392">
        <f>VLOOKUP(AJ41,VGA벤치마크!$B$2:$AB$152,27,FALSE)</f>
        <v>116.41</v>
      </c>
      <c r="AJ41" s="395" t="s">
        <v>2975</v>
      </c>
      <c r="AK41" s="224">
        <f t="shared" ca="1" si="13"/>
        <v>2.3485142857142853</v>
      </c>
      <c r="AL41" s="223" t="s">
        <v>918</v>
      </c>
      <c r="AM41" s="412">
        <f t="shared" si="3"/>
        <v>127.92307692307692</v>
      </c>
      <c r="AN41" s="223" t="s">
        <v>918</v>
      </c>
      <c r="BD41" s="115" t="s">
        <v>993</v>
      </c>
      <c r="BE41" s="116">
        <v>3.8</v>
      </c>
      <c r="BF41" s="117">
        <v>1.5412000000000001</v>
      </c>
      <c r="BG41" s="109" t="s">
        <v>415</v>
      </c>
      <c r="BH41" s="110">
        <v>3.4</v>
      </c>
      <c r="BI41" s="111">
        <v>1.8888</v>
      </c>
      <c r="BJ41" s="109" t="s">
        <v>415</v>
      </c>
      <c r="BK41" s="110">
        <v>3.4</v>
      </c>
      <c r="BL41" s="111">
        <v>1.8888</v>
      </c>
      <c r="BX41" s="211"/>
    </row>
    <row r="42" spans="6:76" ht="15.6" x14ac:dyDescent="0.4">
      <c r="G42" s="228" t="s">
        <v>1088</v>
      </c>
      <c r="H42" s="419">
        <v>8</v>
      </c>
      <c r="I42" s="226">
        <f t="shared" ca="1" si="27"/>
        <v>1.9390923958312107</v>
      </c>
      <c r="J42" s="223" t="s">
        <v>918</v>
      </c>
      <c r="K42" s="417">
        <f t="shared" si="28"/>
        <v>97.70477228875292</v>
      </c>
      <c r="L42" s="225" t="s">
        <v>918</v>
      </c>
      <c r="M42" s="224">
        <f t="shared" ca="1" si="26"/>
        <v>2.1636826554688806</v>
      </c>
      <c r="N42" s="223" t="s">
        <v>918</v>
      </c>
      <c r="O42" s="223">
        <f t="shared" si="29"/>
        <v>99.597117521664543</v>
      </c>
      <c r="P42" s="223" t="s">
        <v>918</v>
      </c>
      <c r="Q42" s="226">
        <f t="shared" ca="1" si="30"/>
        <v>2.4261971916000005</v>
      </c>
      <c r="R42" s="223" t="s">
        <v>918</v>
      </c>
      <c r="S42" s="227">
        <f t="shared" si="31"/>
        <v>102.57169672674</v>
      </c>
      <c r="T42" s="225" t="s">
        <v>918</v>
      </c>
      <c r="U42" s="224">
        <f t="shared" ca="1" si="32"/>
        <v>2.6661507600000003</v>
      </c>
      <c r="V42" s="223" t="s">
        <v>918</v>
      </c>
      <c r="W42" s="223">
        <f t="shared" si="33"/>
        <v>107.85667374000001</v>
      </c>
      <c r="X42" s="223" t="s">
        <v>918</v>
      </c>
      <c r="Y42" s="226">
        <f t="shared" ca="1" si="34"/>
        <v>2.9298360000000003</v>
      </c>
      <c r="Z42" s="223" t="s">
        <v>918</v>
      </c>
      <c r="AA42" s="417">
        <f t="shared" si="35"/>
        <v>119.70774</v>
      </c>
      <c r="AB42" s="225" t="s">
        <v>918</v>
      </c>
      <c r="AC42" s="226">
        <f>VLOOKUP(AD42,CPU벤치마크!$B$2:$V$226,18+LOG($H$34,2),FALSE)</f>
        <v>3.2196000000000002</v>
      </c>
      <c r="AD42" s="393" t="s">
        <v>2976</v>
      </c>
      <c r="AE42" s="392">
        <f>VLOOKUP(AF42,VGA벤치마크!$B$2:$AB$152,27,FALSE)</f>
        <v>143.02000000000001</v>
      </c>
      <c r="AF42" s="393" t="s">
        <v>2996</v>
      </c>
      <c r="AG42" s="224">
        <f ca="1">AC42/OFFSET($AX$6,LOG($H42,2)-1,0)</f>
        <v>3.7250954529677198</v>
      </c>
      <c r="AH42" s="223" t="s">
        <v>918</v>
      </c>
      <c r="AI42" s="223">
        <f>AE42/$AY$9</f>
        <v>157.16483516483518</v>
      </c>
      <c r="AJ42" s="223" t="s">
        <v>918</v>
      </c>
      <c r="AK42" s="224">
        <f t="shared" ca="1" si="13"/>
        <v>4.0935114867777136</v>
      </c>
      <c r="AL42" s="223" t="s">
        <v>918</v>
      </c>
      <c r="AM42" s="412">
        <f t="shared" si="3"/>
        <v>172.70861007124745</v>
      </c>
      <c r="AN42" s="223" t="s">
        <v>918</v>
      </c>
      <c r="BD42" s="115" t="s">
        <v>981</v>
      </c>
      <c r="BE42" s="116">
        <v>4</v>
      </c>
      <c r="BF42" s="117">
        <v>1.4678</v>
      </c>
      <c r="BG42" s="115" t="s">
        <v>837</v>
      </c>
      <c r="BH42" s="116">
        <v>3.8</v>
      </c>
      <c r="BI42" s="117">
        <v>1.8447</v>
      </c>
      <c r="BJ42" s="115" t="s">
        <v>837</v>
      </c>
      <c r="BK42" s="116">
        <v>3.8</v>
      </c>
      <c r="BL42" s="117">
        <v>1.8447</v>
      </c>
    </row>
    <row r="43" spans="6:76" ht="15.6" x14ac:dyDescent="0.4">
      <c r="G43" s="228" t="s">
        <v>1074</v>
      </c>
      <c r="H43" s="419">
        <v>8</v>
      </c>
      <c r="I43" s="226">
        <f t="shared" ca="1" si="27"/>
        <v>2.1390171823299617</v>
      </c>
      <c r="J43" s="223" t="s">
        <v>918</v>
      </c>
      <c r="K43" s="417">
        <f t="shared" si="28"/>
        <v>120.12590658127753</v>
      </c>
      <c r="L43" s="225" t="s">
        <v>918</v>
      </c>
      <c r="M43" s="224">
        <f t="shared" ca="1" si="26"/>
        <v>2.3867632027783552</v>
      </c>
      <c r="N43" s="223" t="s">
        <v>918</v>
      </c>
      <c r="O43" s="223">
        <f t="shared" si="29"/>
        <v>122.45250416032368</v>
      </c>
      <c r="P43" s="223" t="s">
        <v>918</v>
      </c>
      <c r="Q43" s="226">
        <f t="shared" ca="1" si="30"/>
        <v>2.6763435779080007</v>
      </c>
      <c r="R43" s="223" t="s">
        <v>918</v>
      </c>
      <c r="S43" s="227">
        <f t="shared" si="31"/>
        <v>126.10968502608</v>
      </c>
      <c r="T43" s="225" t="s">
        <v>918</v>
      </c>
      <c r="U43" s="224">
        <f t="shared" ca="1" si="32"/>
        <v>2.9410368988000006</v>
      </c>
      <c r="V43" s="223" t="s">
        <v>918</v>
      </c>
      <c r="W43" s="223">
        <f t="shared" si="33"/>
        <v>132.60745008000001</v>
      </c>
      <c r="X43" s="223" t="s">
        <v>918</v>
      </c>
      <c r="Y43" s="226">
        <f t="shared" ca="1" si="34"/>
        <v>3.2319086800000005</v>
      </c>
      <c r="Z43" s="223" t="s">
        <v>918</v>
      </c>
      <c r="AA43" s="417">
        <f t="shared" si="35"/>
        <v>147.17807999999999</v>
      </c>
      <c r="AB43" s="225" t="s">
        <v>918</v>
      </c>
      <c r="AC43" s="224">
        <f t="shared" ca="1" si="36"/>
        <v>3.5515480000000004</v>
      </c>
      <c r="AD43" s="223" t="s">
        <v>918</v>
      </c>
      <c r="AE43" s="392">
        <f>VLOOKUP(AF43,VGA벤치마크!$B$2:$AB$152,27,FALSE)</f>
        <v>175.84</v>
      </c>
      <c r="AF43" s="393" t="s">
        <v>2978</v>
      </c>
      <c r="AG43" s="226">
        <f>VLOOKUP(AH43,CPU벤치마크!$B$2:$V$226,18+LOG($H$34,2),FALSE)</f>
        <v>3.9028</v>
      </c>
      <c r="AH43" s="394" t="s">
        <v>2979</v>
      </c>
      <c r="AI43" s="223">
        <f>AE43/$AY$9</f>
        <v>193.23076923076923</v>
      </c>
      <c r="AJ43" s="223" t="s">
        <v>918</v>
      </c>
      <c r="AK43" s="224">
        <f t="shared" ca="1" si="13"/>
        <v>4.288791208791209</v>
      </c>
      <c r="AL43" s="223" t="s">
        <v>918</v>
      </c>
      <c r="AM43" s="412">
        <f>AI43/$AY$9</f>
        <v>212.34150464919693</v>
      </c>
      <c r="AN43" s="223" t="s">
        <v>918</v>
      </c>
      <c r="BD43" s="115" t="s">
        <v>835</v>
      </c>
      <c r="BE43" s="116">
        <v>4</v>
      </c>
      <c r="BF43" s="117">
        <v>1.4678</v>
      </c>
      <c r="BG43" s="109" t="s">
        <v>411</v>
      </c>
      <c r="BH43" s="110">
        <v>3.3</v>
      </c>
      <c r="BI43" s="111">
        <v>1.8332000000000002</v>
      </c>
      <c r="BJ43" s="109" t="s">
        <v>411</v>
      </c>
      <c r="BK43" s="110">
        <v>3.3</v>
      </c>
      <c r="BL43" s="111">
        <v>1.8332000000000002</v>
      </c>
    </row>
    <row r="44" spans="6:76" ht="15.6" x14ac:dyDescent="0.4">
      <c r="G44" s="228" t="s">
        <v>2837</v>
      </c>
      <c r="H44" s="419">
        <v>8</v>
      </c>
      <c r="I44" s="226">
        <f t="shared" ca="1" si="27"/>
        <v>1.1713119537721921</v>
      </c>
      <c r="J44" s="223" t="s">
        <v>918</v>
      </c>
      <c r="K44" s="417">
        <f t="shared" si="28"/>
        <v>60.16832305764909</v>
      </c>
      <c r="L44" s="225" t="s">
        <v>918</v>
      </c>
      <c r="M44" s="224">
        <f t="shared" ca="1" si="26"/>
        <v>1.3069760698194512</v>
      </c>
      <c r="N44" s="223" t="s">
        <v>918</v>
      </c>
      <c r="O44" s="223">
        <f t="shared" si="29"/>
        <v>61.333662647960338</v>
      </c>
      <c r="P44" s="223" t="s">
        <v>918</v>
      </c>
      <c r="Q44" s="226">
        <f t="shared" ca="1" si="30"/>
        <v>1.46554840751228</v>
      </c>
      <c r="R44" s="223" t="s">
        <v>918</v>
      </c>
      <c r="S44" s="227">
        <f t="shared" si="31"/>
        <v>63.165461017466882</v>
      </c>
      <c r="T44" s="225" t="s">
        <v>918</v>
      </c>
      <c r="U44" s="224">
        <f t="shared" ca="1" si="32"/>
        <v>1.610492755508</v>
      </c>
      <c r="V44" s="223" t="s">
        <v>918</v>
      </c>
      <c r="W44" s="223">
        <f t="shared" si="33"/>
        <v>66.420043130880003</v>
      </c>
      <c r="X44" s="223" t="s">
        <v>918</v>
      </c>
      <c r="Y44" s="226">
        <f t="shared" ca="1" si="34"/>
        <v>1.7697722588</v>
      </c>
      <c r="Z44" s="223" t="s">
        <v>918</v>
      </c>
      <c r="AA44" s="417">
        <f t="shared" si="35"/>
        <v>73.718138879999998</v>
      </c>
      <c r="AB44" s="225" t="s">
        <v>918</v>
      </c>
      <c r="AC44" s="224">
        <f t="shared" ca="1" si="36"/>
        <v>1.9448046799999998</v>
      </c>
      <c r="AD44" s="223" t="s">
        <v>918</v>
      </c>
      <c r="AE44" s="223">
        <f t="shared" si="37"/>
        <v>88.074240000000003</v>
      </c>
      <c r="AF44" s="223" t="s">
        <v>918</v>
      </c>
      <c r="AG44" s="226">
        <f>VLOOKUP(AH44,CPU벤치마크!$B$2:$V$226,18+LOG($H$34,2),FALSE)</f>
        <v>2.1371479999999998</v>
      </c>
      <c r="AH44" s="423" t="s">
        <v>482</v>
      </c>
      <c r="AI44" s="392">
        <f>VLOOKUP(AJ44,VGA벤치마크!$B$2:$AB$152,27,FALSE)</f>
        <v>117.12</v>
      </c>
      <c r="AJ44" s="395" t="s">
        <v>3013</v>
      </c>
      <c r="AK44" s="224">
        <f t="shared" ca="1" si="13"/>
        <v>2.3485142857142853</v>
      </c>
      <c r="AL44" s="223" t="s">
        <v>918</v>
      </c>
      <c r="AM44" s="412">
        <f>AI44/$AY$9</f>
        <v>128.7032967032967</v>
      </c>
      <c r="AN44" s="223" t="s">
        <v>918</v>
      </c>
      <c r="BD44" s="115" t="s">
        <v>1161</v>
      </c>
      <c r="BE44" s="116">
        <v>3.9</v>
      </c>
      <c r="BF44" s="117">
        <v>1.4280000000000002</v>
      </c>
      <c r="BG44" s="109" t="s">
        <v>410</v>
      </c>
      <c r="BH44" s="110">
        <v>3.2</v>
      </c>
      <c r="BI44" s="111">
        <v>1.7776000000000001</v>
      </c>
      <c r="BJ44" s="109" t="s">
        <v>410</v>
      </c>
      <c r="BK44" s="110">
        <v>3.2</v>
      </c>
      <c r="BL44" s="111">
        <v>1.7776000000000001</v>
      </c>
    </row>
    <row r="45" spans="6:76" ht="15.6" x14ac:dyDescent="0.4">
      <c r="G45" s="228" t="s">
        <v>3021</v>
      </c>
      <c r="H45" s="401">
        <v>4</v>
      </c>
      <c r="I45" s="226">
        <f ca="1">M45*OFFSET($AS$6,LOG(H45,2)-1,0)</f>
        <v>2.7726659458560001</v>
      </c>
      <c r="J45" s="223" t="s">
        <v>918</v>
      </c>
      <c r="K45" s="417">
        <f>O45*$AS$9</f>
        <v>143.06904</v>
      </c>
      <c r="L45" s="225" t="s">
        <v>918</v>
      </c>
      <c r="M45" s="224">
        <f t="shared" ca="1" si="26"/>
        <v>2.9852131200000005</v>
      </c>
      <c r="N45" s="223" t="s">
        <v>918</v>
      </c>
      <c r="O45" s="392">
        <f>VLOOKUP(P45,VGA벤치마크!$B$2:$AB$152,27,FALSE)</f>
        <v>145.84</v>
      </c>
      <c r="P45" s="395" t="s">
        <v>3023</v>
      </c>
      <c r="Q45" s="226">
        <f>VLOOKUP(R45,CPU벤치마크!$B$2:$V$226,18+LOG($H$34,2),FALSE)</f>
        <v>3.2196000000000002</v>
      </c>
      <c r="R45" s="394" t="s">
        <v>3022</v>
      </c>
      <c r="S45" s="227">
        <f>W45*$AU$9</f>
        <v>153.74817000000002</v>
      </c>
      <c r="T45" s="225" t="s">
        <v>918</v>
      </c>
      <c r="U45" s="224">
        <f ca="1">Q45/OFFSET($AU$6,LOG($H45,2)-1,0)</f>
        <v>3.4791441538794037</v>
      </c>
      <c r="V45" s="223" t="s">
        <v>918</v>
      </c>
      <c r="W45" s="392">
        <f>VLOOKUP(X45,VGA벤치마크!$B$2:$AB$152,27,FALSE)</f>
        <v>161.67000000000002</v>
      </c>
      <c r="X45" s="395" t="s">
        <v>3024</v>
      </c>
      <c r="Y45" s="224">
        <f ca="1">U45/OFFSET($AV$6,LOG($H45,2)-1,0)</f>
        <v>3.7677541194275546</v>
      </c>
      <c r="Z45" s="223" t="s">
        <v>918</v>
      </c>
      <c r="AA45" s="417">
        <f>AE45*$AW$9</f>
        <v>173.67749999999998</v>
      </c>
      <c r="AB45" s="225" t="s">
        <v>918</v>
      </c>
      <c r="AC45" s="224">
        <f ca="1">Y45/OFFSET($AW$6,LOG($H45,2)-1,0)</f>
        <v>4.0900500645110229</v>
      </c>
      <c r="AD45" s="223" t="s">
        <v>918</v>
      </c>
      <c r="AE45" s="392">
        <f>VLOOKUP(AF45,VGA벤치마크!$B$2:$AB$152,27,FALSE)</f>
        <v>207.5</v>
      </c>
      <c r="AF45" s="422" t="s">
        <v>3025</v>
      </c>
      <c r="AG45" s="224">
        <f ca="1">AC45/OFFSET($AX$6,LOG($H45,2)-1,0)</f>
        <v>4.4519974578328325</v>
      </c>
      <c r="AH45" s="223" t="s">
        <v>918</v>
      </c>
      <c r="AI45" s="223">
        <f>AE45/$AY$9</f>
        <v>228.02197802197801</v>
      </c>
      <c r="AJ45" s="223" t="s">
        <v>918</v>
      </c>
      <c r="AK45" s="224">
        <f t="shared" ca="1" si="13"/>
        <v>4.8923048987173985</v>
      </c>
      <c r="AL45" s="223" t="s">
        <v>918</v>
      </c>
      <c r="AM45" s="412">
        <f>AI45/$AY$9</f>
        <v>250.57360222195385</v>
      </c>
      <c r="AN45" s="223" t="s">
        <v>918</v>
      </c>
      <c r="BD45" s="115" t="s">
        <v>838</v>
      </c>
      <c r="BE45" s="116">
        <v>4.3</v>
      </c>
      <c r="BF45" s="117">
        <v>1.3812</v>
      </c>
      <c r="BG45" s="109" t="s">
        <v>543</v>
      </c>
      <c r="BH45" s="110">
        <v>2.9</v>
      </c>
      <c r="BI45" s="111">
        <v>1.6728000000000001</v>
      </c>
      <c r="BJ45" s="109" t="s">
        <v>543</v>
      </c>
      <c r="BK45" s="110">
        <v>2.9</v>
      </c>
      <c r="BL45" s="111">
        <v>1.6728000000000001</v>
      </c>
    </row>
    <row r="46" spans="6:76" ht="15.6" x14ac:dyDescent="0.4">
      <c r="F46" s="381"/>
      <c r="G46" s="400"/>
      <c r="H46" s="400"/>
      <c r="I46" s="411"/>
      <c r="J46" s="412"/>
      <c r="K46" s="411"/>
      <c r="L46" s="412"/>
      <c r="M46" s="412"/>
      <c r="N46" s="412"/>
      <c r="O46" s="412"/>
      <c r="P46" s="412"/>
      <c r="Q46" s="411"/>
      <c r="R46" s="412"/>
      <c r="S46" s="413"/>
      <c r="T46" s="412"/>
      <c r="U46" s="412"/>
      <c r="V46" s="412"/>
      <c r="W46" s="412"/>
      <c r="X46" s="412"/>
      <c r="Y46" s="411"/>
      <c r="Z46" s="412"/>
      <c r="AA46" s="411"/>
      <c r="AB46" s="412"/>
      <c r="AC46" s="412"/>
      <c r="AD46" s="412"/>
      <c r="AE46" s="412"/>
      <c r="AF46" s="412"/>
      <c r="AG46" s="412"/>
      <c r="AH46" s="412"/>
      <c r="AI46" s="412"/>
      <c r="AJ46" s="412"/>
      <c r="AK46" s="411"/>
      <c r="AL46" s="411"/>
      <c r="AM46" s="411"/>
      <c r="AN46" s="411"/>
      <c r="BD46" s="115" t="s">
        <v>841</v>
      </c>
      <c r="BE46" s="116">
        <v>3.9</v>
      </c>
      <c r="BF46" s="117">
        <v>1.3812</v>
      </c>
      <c r="BG46" s="109" t="s">
        <v>407</v>
      </c>
      <c r="BH46" s="110">
        <v>3</v>
      </c>
      <c r="BI46" s="111">
        <v>1.6666000000000001</v>
      </c>
      <c r="BJ46" s="109" t="s">
        <v>407</v>
      </c>
      <c r="BK46" s="110">
        <v>3</v>
      </c>
      <c r="BL46" s="111">
        <v>1.6666000000000001</v>
      </c>
    </row>
    <row r="47" spans="6:76" ht="15.6" x14ac:dyDescent="0.4">
      <c r="F47" s="381"/>
      <c r="G47" s="400"/>
      <c r="H47" s="400"/>
      <c r="I47" s="411"/>
      <c r="J47" s="412"/>
      <c r="K47" s="411"/>
      <c r="L47" s="412"/>
      <c r="M47" s="412"/>
      <c r="N47" s="412"/>
      <c r="O47" s="412"/>
      <c r="P47" s="412"/>
      <c r="Q47" s="411"/>
      <c r="R47" s="412"/>
      <c r="S47" s="413"/>
      <c r="T47" s="412"/>
      <c r="U47" s="412"/>
      <c r="V47" s="412"/>
      <c r="W47" s="412"/>
      <c r="X47" s="412"/>
      <c r="Y47" s="411"/>
      <c r="Z47" s="412"/>
      <c r="AA47" s="411"/>
      <c r="AB47" s="412"/>
      <c r="AC47" s="412"/>
      <c r="AD47" s="412"/>
      <c r="AE47" s="412"/>
      <c r="AF47" s="412"/>
      <c r="AG47" s="412"/>
      <c r="AH47" s="412"/>
      <c r="AI47" s="412"/>
      <c r="AJ47" s="412"/>
      <c r="AK47" s="411"/>
      <c r="AL47" s="411"/>
      <c r="AM47" s="411"/>
      <c r="AN47" s="411"/>
      <c r="BD47" s="115" t="s">
        <v>840</v>
      </c>
      <c r="BE47" s="116">
        <v>4</v>
      </c>
      <c r="BF47" s="117">
        <v>1.3392000000000002</v>
      </c>
      <c r="BG47" s="109" t="s">
        <v>542</v>
      </c>
      <c r="BH47" s="110">
        <v>2.8</v>
      </c>
      <c r="BI47" s="111">
        <v>1.6152</v>
      </c>
      <c r="BJ47" s="109" t="s">
        <v>542</v>
      </c>
      <c r="BK47" s="110">
        <v>2.8</v>
      </c>
      <c r="BL47" s="111">
        <v>1.6152</v>
      </c>
    </row>
    <row r="48" spans="6:76" ht="15.6" x14ac:dyDescent="0.4">
      <c r="F48" s="381"/>
      <c r="G48" s="400"/>
      <c r="H48" s="400"/>
      <c r="I48" s="411"/>
      <c r="J48" s="412"/>
      <c r="K48" s="411"/>
      <c r="L48" s="412"/>
      <c r="M48" s="412"/>
      <c r="N48" s="412"/>
      <c r="O48" s="412"/>
      <c r="P48" s="412"/>
      <c r="Q48" s="411"/>
      <c r="R48" s="412"/>
      <c r="S48" s="413"/>
      <c r="T48" s="412"/>
      <c r="U48" s="412"/>
      <c r="V48" s="412"/>
      <c r="W48" s="412"/>
      <c r="X48" s="412"/>
      <c r="Y48" s="411"/>
      <c r="Z48" s="412"/>
      <c r="AA48" s="411"/>
      <c r="AB48" s="412"/>
      <c r="AC48" s="412"/>
      <c r="AD48" s="412"/>
      <c r="AE48" s="412"/>
      <c r="AF48" s="412"/>
      <c r="AG48" s="412"/>
      <c r="AH48" s="412"/>
      <c r="AI48" s="411"/>
      <c r="AJ48" s="412"/>
      <c r="AK48" s="411"/>
      <c r="AL48" s="411"/>
      <c r="AM48" s="412"/>
      <c r="AN48" s="412"/>
      <c r="BD48" s="115" t="s">
        <v>836</v>
      </c>
      <c r="BE48" s="116">
        <v>3.8</v>
      </c>
      <c r="BF48" s="117">
        <v>1.3090000000000002</v>
      </c>
      <c r="BG48" s="109" t="s">
        <v>383</v>
      </c>
      <c r="BH48" s="110">
        <v>2.9</v>
      </c>
      <c r="BI48" s="111">
        <v>1.611</v>
      </c>
      <c r="BJ48" s="109" t="s">
        <v>383</v>
      </c>
      <c r="BK48" s="110">
        <v>2.9</v>
      </c>
      <c r="BL48" s="111">
        <v>1.611</v>
      </c>
    </row>
    <row r="49" spans="6:64" x14ac:dyDescent="0.4">
      <c r="F49" s="381"/>
      <c r="G49" s="381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  <c r="U49" s="381"/>
      <c r="V49" s="381"/>
      <c r="W49" s="381"/>
      <c r="X49" s="381"/>
      <c r="Y49" s="381"/>
      <c r="Z49" s="381"/>
      <c r="AA49" s="381"/>
      <c r="AB49" s="381"/>
      <c r="AC49" s="381"/>
      <c r="AD49" s="381"/>
      <c r="AE49" s="381"/>
      <c r="AF49" s="381"/>
      <c r="AG49" s="381"/>
      <c r="AH49" s="381"/>
      <c r="AI49" s="381"/>
      <c r="AJ49" s="381"/>
      <c r="AK49" s="381"/>
      <c r="AL49" s="381"/>
      <c r="BD49" s="115" t="s">
        <v>837</v>
      </c>
      <c r="BE49" s="116">
        <v>3.8</v>
      </c>
      <c r="BF49" s="117">
        <v>1.2298</v>
      </c>
      <c r="BG49" s="109" t="s">
        <v>382</v>
      </c>
      <c r="BH49" s="110">
        <v>2.8</v>
      </c>
      <c r="BI49" s="111">
        <v>1.5554000000000001</v>
      </c>
      <c r="BJ49" s="109" t="s">
        <v>382</v>
      </c>
      <c r="BK49" s="110">
        <v>2.8</v>
      </c>
      <c r="BL49" s="111">
        <v>1.5554000000000001</v>
      </c>
    </row>
    <row r="50" spans="6:64" x14ac:dyDescent="0.4">
      <c r="F50" s="381"/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  <c r="U50" s="381"/>
      <c r="V50" s="381"/>
      <c r="W50" s="381"/>
      <c r="X50" s="381"/>
      <c r="Y50" s="381"/>
      <c r="Z50" s="381"/>
      <c r="AA50" s="381"/>
      <c r="AB50" s="381"/>
      <c r="AC50" s="381"/>
      <c r="AD50" s="381"/>
      <c r="AE50" s="381"/>
      <c r="AF50" s="381"/>
      <c r="AG50" s="381"/>
      <c r="AH50" s="381"/>
      <c r="AI50" s="381"/>
      <c r="AJ50" s="381"/>
      <c r="AK50" s="381"/>
      <c r="AL50" s="381"/>
      <c r="BD50" s="116" t="s">
        <v>1000</v>
      </c>
      <c r="BE50" s="116">
        <v>2.0499999999999998</v>
      </c>
      <c r="BF50" s="229">
        <v>0.81320000000000003</v>
      </c>
      <c r="BG50" s="116" t="s">
        <v>1000</v>
      </c>
      <c r="BH50" s="116">
        <v>2.0499999999999998</v>
      </c>
      <c r="BI50" s="229">
        <v>1.2198</v>
      </c>
      <c r="BJ50" s="116" t="s">
        <v>1000</v>
      </c>
      <c r="BK50" s="116">
        <v>2.0499999999999998</v>
      </c>
      <c r="BL50" s="229">
        <v>1.2198</v>
      </c>
    </row>
    <row r="51" spans="6:64" x14ac:dyDescent="0.4">
      <c r="F51" s="381"/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  <c r="U51" s="381"/>
      <c r="V51" s="381"/>
      <c r="W51" s="381"/>
      <c r="X51" s="381"/>
      <c r="Y51" s="381"/>
      <c r="Z51" s="381"/>
      <c r="AA51" s="381"/>
      <c r="AB51" s="381"/>
      <c r="AC51" s="381"/>
      <c r="AD51" s="381"/>
      <c r="AE51" s="381"/>
      <c r="AF51" s="381"/>
      <c r="AG51" s="381"/>
      <c r="AH51" s="381"/>
      <c r="AI51" s="381"/>
      <c r="AJ51" s="381"/>
      <c r="AK51" s="381"/>
      <c r="AL51" s="381"/>
      <c r="BD51" s="116" t="s">
        <v>1002</v>
      </c>
      <c r="BE51" s="116">
        <v>1.6</v>
      </c>
      <c r="BF51" s="229">
        <v>0.63460000000000005</v>
      </c>
      <c r="BG51" s="116" t="s">
        <v>1002</v>
      </c>
      <c r="BH51" s="116">
        <v>1.6</v>
      </c>
      <c r="BI51" s="229">
        <v>0.95190000000000008</v>
      </c>
      <c r="BJ51" s="116" t="s">
        <v>1002</v>
      </c>
      <c r="BK51" s="116">
        <v>1.6</v>
      </c>
      <c r="BL51" s="229">
        <v>0.95190000000000008</v>
      </c>
    </row>
    <row r="52" spans="6:64" x14ac:dyDescent="0.4">
      <c r="F52" s="381"/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  <c r="U52" s="381"/>
      <c r="V52" s="381"/>
      <c r="W52" s="381"/>
      <c r="X52" s="381"/>
      <c r="Y52" s="381"/>
      <c r="Z52" s="381"/>
      <c r="AA52" s="381"/>
      <c r="AB52" s="381"/>
      <c r="AC52" s="381"/>
      <c r="AD52" s="381"/>
      <c r="AE52" s="381"/>
      <c r="AF52" s="381"/>
      <c r="AG52" s="381"/>
      <c r="AH52" s="381"/>
      <c r="AI52" s="381"/>
      <c r="AJ52" s="381"/>
      <c r="AK52" s="381"/>
      <c r="AL52" s="381"/>
      <c r="BD52" s="82" t="s">
        <v>1324</v>
      </c>
      <c r="BE52" s="82">
        <v>0</v>
      </c>
      <c r="BF52" s="82">
        <v>0</v>
      </c>
      <c r="BG52" s="232" t="s">
        <v>1324</v>
      </c>
      <c r="BH52" s="232">
        <v>0</v>
      </c>
      <c r="BI52" s="232">
        <v>0</v>
      </c>
      <c r="BJ52" s="232" t="s">
        <v>1324</v>
      </c>
      <c r="BK52" s="232">
        <v>0</v>
      </c>
      <c r="BL52" s="232">
        <v>0</v>
      </c>
    </row>
  </sheetData>
  <mergeCells count="36">
    <mergeCell ref="M4:P4"/>
    <mergeCell ref="U4:X4"/>
    <mergeCell ref="AC4:AF4"/>
    <mergeCell ref="AG4:AJ4"/>
    <mergeCell ref="AA5:AB5"/>
    <mergeCell ref="AK5:AL5"/>
    <mergeCell ref="AM5:AN5"/>
    <mergeCell ref="I5:J5"/>
    <mergeCell ref="K5:L5"/>
    <mergeCell ref="Q5:R5"/>
    <mergeCell ref="S5:T5"/>
    <mergeCell ref="Y5:Z5"/>
    <mergeCell ref="M5:N5"/>
    <mergeCell ref="O5:P5"/>
    <mergeCell ref="U5:V5"/>
    <mergeCell ref="W5:X5"/>
    <mergeCell ref="AC5:AD5"/>
    <mergeCell ref="AE5:AF5"/>
    <mergeCell ref="AG5:AH5"/>
    <mergeCell ref="AI5:AJ5"/>
    <mergeCell ref="AK2:AN2"/>
    <mergeCell ref="AG2:AJ2"/>
    <mergeCell ref="AR12:AT12"/>
    <mergeCell ref="BN1:BV1"/>
    <mergeCell ref="BN2:BQ2"/>
    <mergeCell ref="BS2:BV2"/>
    <mergeCell ref="BD2:BF2"/>
    <mergeCell ref="BG2:BI2"/>
    <mergeCell ref="BJ2:BL2"/>
    <mergeCell ref="BD1:BL1"/>
    <mergeCell ref="AR4:AZ4"/>
    <mergeCell ref="I3:AN3"/>
    <mergeCell ref="I4:L4"/>
    <mergeCell ref="Q4:T4"/>
    <mergeCell ref="Y4:AB4"/>
    <mergeCell ref="AK4:AN4"/>
  </mergeCells>
  <phoneticPr fontId="4" type="noConversion"/>
  <dataValidations count="1">
    <dataValidation type="list" allowBlank="1" showInputMessage="1" showErrorMessage="1" sqref="H6:H48">
      <formula1>"2,4,8"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BH40"/>
  <sheetViews>
    <sheetView topLeftCell="A4" zoomScale="85" zoomScaleNormal="85" workbookViewId="0">
      <selection activeCell="AL21" sqref="AL21:AM21"/>
    </sheetView>
  </sheetViews>
  <sheetFormatPr defaultColWidth="2.59765625" defaultRowHeight="17.399999999999999" x14ac:dyDescent="0.4"/>
  <cols>
    <col min="2" max="5" width="6" customWidth="1"/>
    <col min="6" max="6" width="5.3984375" bestFit="1" customWidth="1"/>
    <col min="7" max="13" width="5.8984375" bestFit="1" customWidth="1"/>
    <col min="14" max="20" width="2.69921875" customWidth="1"/>
    <col min="21" max="21" width="5.8984375" bestFit="1" customWidth="1"/>
    <col min="22" max="22" width="7" bestFit="1" customWidth="1"/>
    <col min="23" max="26" width="5.3984375" bestFit="1" customWidth="1"/>
    <col min="27" max="28" width="5.8984375" bestFit="1" customWidth="1"/>
    <col min="29" max="29" width="2.5" customWidth="1"/>
    <col min="30" max="30" width="2.69921875" customWidth="1"/>
    <col min="31" max="37" width="2.5" customWidth="1"/>
    <col min="38" max="38" width="1.796875" customWidth="1"/>
    <col min="39" max="39" width="4.59765625" customWidth="1"/>
    <col min="40" max="40" width="2.5" customWidth="1"/>
    <col min="41" max="41" width="13.5" bestFit="1" customWidth="1"/>
    <col min="42" max="42" width="2.8984375" customWidth="1"/>
    <col min="43" max="43" width="2.5" customWidth="1"/>
    <col min="44" max="45" width="2.69921875" customWidth="1"/>
    <col min="46" max="60" width="2.5" customWidth="1"/>
  </cols>
  <sheetData>
    <row r="1" spans="1:60" x14ac:dyDescent="0.4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</row>
    <row r="2" spans="1:60" x14ac:dyDescent="0.4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</row>
    <row r="3" spans="1:60" x14ac:dyDescent="0.4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</row>
    <row r="4" spans="1:60" x14ac:dyDescent="0.4">
      <c r="A4" s="67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</row>
    <row r="5" spans="1:60" x14ac:dyDescent="0.4">
      <c r="A5" s="67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9" t="s">
        <v>1104</v>
      </c>
      <c r="AE5" s="69" t="s">
        <v>1105</v>
      </c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7"/>
      <c r="BF5" s="67"/>
      <c r="BG5" s="67"/>
      <c r="BH5" s="67"/>
    </row>
    <row r="6" spans="1:60" x14ac:dyDescent="0.4">
      <c r="A6" s="67"/>
      <c r="B6" s="539"/>
      <c r="C6" s="539"/>
      <c r="D6" s="539"/>
      <c r="E6" s="539"/>
      <c r="F6" s="203" t="s">
        <v>1226</v>
      </c>
      <c r="G6" s="203" t="s">
        <v>1228</v>
      </c>
      <c r="H6" s="203" t="s">
        <v>1229</v>
      </c>
      <c r="I6" s="203" t="s">
        <v>1230</v>
      </c>
      <c r="J6" s="203" t="s">
        <v>1231</v>
      </c>
      <c r="K6" s="203" t="s">
        <v>1232</v>
      </c>
      <c r="L6" s="203" t="s">
        <v>1233</v>
      </c>
      <c r="M6" s="203" t="s">
        <v>1227</v>
      </c>
      <c r="N6" s="539"/>
      <c r="O6" s="539"/>
      <c r="P6" s="539"/>
      <c r="Q6" s="539"/>
      <c r="R6" s="539"/>
      <c r="S6" s="539"/>
      <c r="T6" s="539"/>
      <c r="U6" s="203" t="s">
        <v>1226</v>
      </c>
      <c r="V6" s="203" t="s">
        <v>1228</v>
      </c>
      <c r="W6" s="203" t="s">
        <v>1229</v>
      </c>
      <c r="X6" s="203" t="s">
        <v>1230</v>
      </c>
      <c r="Y6" s="203" t="s">
        <v>1231</v>
      </c>
      <c r="Z6" s="203" t="s">
        <v>1232</v>
      </c>
      <c r="AA6" s="203" t="s">
        <v>1233</v>
      </c>
      <c r="AB6" s="203" t="s">
        <v>1227</v>
      </c>
      <c r="AC6" s="67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92"/>
      <c r="BD6" s="69"/>
      <c r="BE6" s="67"/>
      <c r="BF6" s="67"/>
      <c r="BG6" s="67"/>
      <c r="BH6" s="67"/>
    </row>
    <row r="7" spans="1:60" x14ac:dyDescent="0.4">
      <c r="A7" s="67"/>
      <c r="B7" s="539" t="s">
        <v>1032</v>
      </c>
      <c r="C7" s="539"/>
      <c r="D7" s="539"/>
      <c r="E7" s="539"/>
      <c r="F7" s="95" t="b">
        <f ca="1">AND(OFFSET($AL$18,0,(LOG('(코어)데이터'!H6,2)-1)*3)-'(코어)데이터'!I6&gt;0,'예아!'!$AD$23-'(코어)데이터'!K6&gt;0)</f>
        <v>0</v>
      </c>
      <c r="G7" s="95" t="b">
        <f ca="1">AND(OFFSET($AL$18,0,(LOG('(코어)데이터'!H6,2)-1)*3)-'(코어)데이터'!M6&gt;0,'예아!'!$AD$23-'(코어)데이터'!O6&gt;0)</f>
        <v>0</v>
      </c>
      <c r="H7" s="95" t="b">
        <f ca="1">AND(OFFSET($AL$18,0,(LOG('(코어)데이터'!H6,2)-1)*3)-'(코어)데이터'!Q6&gt;0,'예아!'!$AD$23-'(코어)데이터'!S6&gt;0)</f>
        <v>0</v>
      </c>
      <c r="I7" s="95" t="b">
        <f ca="1">AND(OFFSET($AL$18,0,(LOG('(코어)데이터'!H6,2)-1)*3)-'(코어)데이터'!U6&gt;0,'예아!'!$AD$23-'(코어)데이터'!W6&gt;0)</f>
        <v>0</v>
      </c>
      <c r="J7" s="95" t="b">
        <f ca="1">AND(OFFSET($AL$18,0,(LOG('(코어)데이터'!H6,2)-1)*3)-'(코어)데이터'!Y6&gt;0,'예아!'!$AD$23-'(코어)데이터'!AA6&gt;0)</f>
        <v>0</v>
      </c>
      <c r="K7" s="95" t="b">
        <f ca="1">AND(OFFSET($AL$18,0,(LOG('(코어)데이터'!H6,2)-1)*3)-'(코어)데이터'!AC6&gt;0,'예아!'!$AD$23-'(코어)데이터'!AE6&gt;0)</f>
        <v>0</v>
      </c>
      <c r="L7" s="95" t="b">
        <f ca="1">AND(OFFSET($AL$18,0,(LOG('(코어)데이터'!H6,2)-1)*3)-'(코어)데이터'!AG6&gt;0,'예아!'!$AD$23-'(코어)데이터'!AI6&gt;0)</f>
        <v>0</v>
      </c>
      <c r="M7" s="95" t="b">
        <f ca="1">AND(OFFSET($AL$18,0,(LOG('(코어)데이터'!H6,2)-1)*3)-'(코어)데이터'!AK6&gt;0,'예아!'!$AD$23-'(코어)데이터'!AM6&gt;0)</f>
        <v>0</v>
      </c>
      <c r="N7" s="203" t="s">
        <v>3032</v>
      </c>
      <c r="O7" s="203"/>
      <c r="P7" s="203"/>
      <c r="Q7" s="203"/>
      <c r="R7" s="203"/>
      <c r="S7" s="203"/>
      <c r="T7" s="203"/>
      <c r="U7" s="95" t="b">
        <f ca="1">AND(OFFSET($AL$18,0,(LOG('(코어)데이터'!H26,2)-1)*3)-'(코어)데이터'!I26&gt;0,'예아!'!$AD$23-'(코어)데이터'!K26&gt;0)</f>
        <v>0</v>
      </c>
      <c r="V7" s="95" t="b">
        <f ca="1">AND(OFFSET($AL$18,0,(LOG('(코어)데이터'!H26,2)-1)*3)-'(코어)데이터'!M26&gt;0,'예아!'!$AD$23-'(코어)데이터'!O26&gt;0)</f>
        <v>0</v>
      </c>
      <c r="W7" s="95" t="b">
        <f ca="1">AND(OFFSET($AL$18,0,(LOG('(코어)데이터'!H26,2)-1)*3)-'(코어)데이터'!Q26&gt;0,'예아!'!$AD$23-'(코어)데이터'!S26&gt;0)</f>
        <v>0</v>
      </c>
      <c r="X7" s="95" t="b">
        <f ca="1">AND(OFFSET($AL$18,0,(LOG('(코어)데이터'!H26,2)-1)*3)-'(코어)데이터'!U26&gt;0,'예아!'!$AD$23-'(코어)데이터'!W26&gt;0)</f>
        <v>0</v>
      </c>
      <c r="Y7" s="95" t="b">
        <f ca="1">AND(OFFSET($AL$18,0,(LOG('(코어)데이터'!H26,2)-1)*3)-'(코어)데이터'!Y26&gt;0,'예아!'!$AD$23-'(코어)데이터'!AA26&gt;0)</f>
        <v>0</v>
      </c>
      <c r="Z7" s="95" t="b">
        <f ca="1">AND(OFFSET($AL$18,0,(LOG('(코어)데이터'!H26,2)-1)*3)-'(코어)데이터'!AC26&gt;0,'예아!'!$AD$23-'(코어)데이터'!AE26&gt;0)</f>
        <v>0</v>
      </c>
      <c r="AA7" s="95" t="b">
        <f ca="1">AND(OFFSET($AL$18,0,(LOG('(코어)데이터'!H26,2)-1)*3)-'(코어)데이터'!AG26&gt;0,'예아!'!$AD$23-'(코어)데이터'!AI26&gt;0)</f>
        <v>0</v>
      </c>
      <c r="AB7" s="95" t="b">
        <f ca="1">AND(OFFSET($AL$18,0,(LOG('(코어)데이터'!H26,2)-1)*3)-'(코어)데이터'!AK26&gt;0,'예아!'!$AD$23-'(코어)데이터'!AM26&gt;0)</f>
        <v>0</v>
      </c>
      <c r="AC7" s="67"/>
      <c r="AD7" s="69" t="s">
        <v>1067</v>
      </c>
      <c r="AE7" s="69"/>
      <c r="AF7" s="69"/>
      <c r="AG7" s="69"/>
      <c r="AH7" s="69"/>
      <c r="AI7" s="69"/>
      <c r="AJ7" s="70" t="s">
        <v>1069</v>
      </c>
      <c r="AK7" s="69" t="s">
        <v>1070</v>
      </c>
      <c r="AL7" s="71"/>
      <c r="AM7" s="71"/>
      <c r="AN7" s="71" t="s">
        <v>1235</v>
      </c>
      <c r="AO7" s="71"/>
      <c r="AP7" s="71"/>
      <c r="AQ7" s="71"/>
      <c r="AR7" s="71" t="s">
        <v>1234</v>
      </c>
      <c r="AS7" s="71"/>
      <c r="AT7" s="71"/>
      <c r="AU7" s="71"/>
      <c r="AV7" s="71" t="s">
        <v>1236</v>
      </c>
      <c r="AW7" s="71"/>
      <c r="AX7" s="67"/>
      <c r="AY7" s="67"/>
      <c r="AZ7" s="67"/>
      <c r="BA7" s="67"/>
      <c r="BB7" s="67"/>
      <c r="BC7" s="67"/>
      <c r="BD7" s="69"/>
      <c r="BE7" s="67"/>
      <c r="BF7" s="67"/>
      <c r="BG7" s="67"/>
      <c r="BH7" s="67"/>
    </row>
    <row r="8" spans="1:60" x14ac:dyDescent="0.4">
      <c r="A8" s="67"/>
      <c r="B8" s="539" t="s">
        <v>1034</v>
      </c>
      <c r="C8" s="539"/>
      <c r="D8" s="539"/>
      <c r="E8" s="539"/>
      <c r="F8" s="95" t="b">
        <f ca="1">AND(OFFSET($AL$18,0,(LOG('(코어)데이터'!H7,2)-1)*3)-'(코어)데이터'!I7&gt;0,'예아!'!$AD$23-'(코어)데이터'!K7&gt;0)</f>
        <v>0</v>
      </c>
      <c r="G8" s="95" t="b">
        <f ca="1">AND(OFFSET($AL$18,0,(LOG('(코어)데이터'!H7,2)-1)*3)-'(코어)데이터'!M7&gt;0,'예아!'!$AD$23-'(코어)데이터'!O7&gt;0)</f>
        <v>0</v>
      </c>
      <c r="H8" s="95" t="b">
        <f ca="1">AND(OFFSET($AL$18,0,(LOG('(코어)데이터'!H7,2)-1)*3)-'(코어)데이터'!Q7&gt;0,'예아!'!$AD$23-'(코어)데이터'!S7&gt;0)</f>
        <v>0</v>
      </c>
      <c r="I8" s="95" t="b">
        <f ca="1">AND(OFFSET($AL$18,0,(LOG('(코어)데이터'!H7,2)-1)*3)-'(코어)데이터'!U7&gt;0,'예아!'!$AD$23-'(코어)데이터'!W7&gt;0)</f>
        <v>0</v>
      </c>
      <c r="J8" s="95" t="b">
        <f ca="1">AND(OFFSET($AL$18,0,(LOG('(코어)데이터'!H7,2)-1)*3)-'(코어)데이터'!Y7&gt;0,'예아!'!$AD$23-'(코어)데이터'!AA7&gt;0)</f>
        <v>0</v>
      </c>
      <c r="K8" s="95" t="b">
        <f ca="1">AND(OFFSET($AL$18,0,(LOG('(코어)데이터'!H7,2)-1)*3)-'(코어)데이터'!AC7&gt;0,'예아!'!$AD$23-'(코어)데이터'!AE7&gt;0)</f>
        <v>0</v>
      </c>
      <c r="L8" s="95" t="b">
        <f ca="1">AND(OFFSET($AL$18,0,(LOG('(코어)데이터'!H7,2)-1)*3)-'(코어)데이터'!AG7&gt;0,'예아!'!$AD$23-'(코어)데이터'!AI7&gt;0)</f>
        <v>0</v>
      </c>
      <c r="M8" s="95" t="b">
        <f ca="1">AND(OFFSET($AL$18,0,(LOG('(코어)데이터'!H7,2)-1)*3)-'(코어)데이터'!AK7&gt;0,'예아!'!$AD$23-'(코어)데이터'!AM7&gt;0)</f>
        <v>0</v>
      </c>
      <c r="N8" s="203" t="s">
        <v>3033</v>
      </c>
      <c r="O8" s="203"/>
      <c r="P8" s="203"/>
      <c r="Q8" s="203"/>
      <c r="R8" s="203"/>
      <c r="S8" s="203"/>
      <c r="T8" s="203"/>
      <c r="U8" s="95" t="b">
        <f ca="1">AND(OFFSET($AL$18,0,(LOG('(코어)데이터'!H27,2)-1)*3)-'(코어)데이터'!I27&gt;0,'예아!'!$AD$23-'(코어)데이터'!K27&gt;0)</f>
        <v>0</v>
      </c>
      <c r="V8" s="95" t="b">
        <f ca="1">AND(OFFSET($AL$18,0,(LOG('(코어)데이터'!H27,2)-1)*3)-'(코어)데이터'!M27&gt;0,'예아!'!$AD$23-'(코어)데이터'!O27&gt;0)</f>
        <v>0</v>
      </c>
      <c r="W8" s="95" t="b">
        <f ca="1">AND(OFFSET($AL$18,0,(LOG('(코어)데이터'!H27,2)-1)*3)-'(코어)데이터'!Q27&gt;0,'예아!'!$AD$23-'(코어)데이터'!S27&gt;0)</f>
        <v>0</v>
      </c>
      <c r="X8" s="95" t="b">
        <f ca="1">AND(OFFSET($AL$18,0,(LOG('(코어)데이터'!H27,2)-1)*3)-'(코어)데이터'!U27&gt;0,'예아!'!$AD$23-'(코어)데이터'!W27&gt;0)</f>
        <v>0</v>
      </c>
      <c r="Y8" s="95" t="b">
        <f ca="1">AND(OFFSET($AL$18,0,(LOG('(코어)데이터'!H27,2)-1)*3)-'(코어)데이터'!Y27&gt;0,'예아!'!$AD$23-'(코어)데이터'!AA27&gt;0)</f>
        <v>0</v>
      </c>
      <c r="Z8" s="95" t="b">
        <f ca="1">AND(OFFSET($AL$18,0,(LOG('(코어)데이터'!H27,2)-1)*3)-'(코어)데이터'!AC27&gt;0,'예아!'!$AD$23-'(코어)데이터'!AE27&gt;0)</f>
        <v>0</v>
      </c>
      <c r="AA8" s="95" t="b">
        <f ca="1">AND(OFFSET($AL$18,0,(LOG('(코어)데이터'!H27,2)-1)*3)-'(코어)데이터'!AG27&gt;0,'예아!'!$AD$23-'(코어)데이터'!AI27&gt;0)</f>
        <v>0</v>
      </c>
      <c r="AB8" s="95" t="b">
        <f ca="1">AND(OFFSET($AL$18,0,(LOG('(코어)데이터'!H27,2)-1)*3)-'(코어)데이터'!AK27&gt;0,'예아!'!$AD$23-'(코어)데이터'!AM27&gt;0)</f>
        <v>0</v>
      </c>
      <c r="AC8" s="67"/>
      <c r="AD8" s="533" t="str">
        <f>VLOOKUP(BillDVANCE!E14,CPU!B3:Q50,16,FALSE)</f>
        <v>추가하지 않음</v>
      </c>
      <c r="AE8" s="534"/>
      <c r="AF8" s="534"/>
      <c r="AG8" s="534"/>
      <c r="AH8" s="534"/>
      <c r="AI8" s="534"/>
      <c r="AJ8" s="534"/>
      <c r="AK8" s="534"/>
      <c r="AL8" s="534"/>
      <c r="AM8" s="535"/>
      <c r="AN8" s="71"/>
      <c r="AO8" s="91" t="str">
        <f>BillDVANCE!AF39</f>
        <v>X</v>
      </c>
      <c r="AP8" s="71"/>
      <c r="AQ8" s="71"/>
      <c r="AR8" s="536" t="str">
        <f>BillDVANCE!AF41</f>
        <v>X</v>
      </c>
      <c r="AS8" s="537"/>
      <c r="AT8" s="71"/>
      <c r="AU8" s="71"/>
      <c r="AV8" s="536">
        <f>VLOOKUP(BillDVANCE!E14,CPU!B3:I50,6,FALSE)</f>
        <v>0</v>
      </c>
      <c r="AW8" s="538"/>
      <c r="AX8" s="538"/>
      <c r="AY8" s="537"/>
      <c r="AZ8" s="67"/>
      <c r="BA8" s="67"/>
      <c r="BB8" s="67"/>
      <c r="BC8" s="67"/>
      <c r="BD8" s="69"/>
      <c r="BE8" s="67"/>
      <c r="BF8" s="67"/>
      <c r="BG8" s="67"/>
      <c r="BH8" s="67"/>
    </row>
    <row r="9" spans="1:60" x14ac:dyDescent="0.4">
      <c r="A9" s="67"/>
      <c r="B9" s="539" t="s">
        <v>1036</v>
      </c>
      <c r="C9" s="539"/>
      <c r="D9" s="539"/>
      <c r="E9" s="539"/>
      <c r="F9" s="95" t="b">
        <f ca="1">AND(OFFSET($AL$18,0,(LOG('(코어)데이터'!H8,2)-1)*3)-'(코어)데이터'!I8&gt;0,'예아!'!$AD$23-'(코어)데이터'!K8&gt;0)</f>
        <v>0</v>
      </c>
      <c r="G9" s="95" t="b">
        <f ca="1">AND(OFFSET($AL$18,0,(LOG('(코어)데이터'!H8,2)-1)*3)-'(코어)데이터'!M8&gt;0,'예아!'!$AD$23-'(코어)데이터'!O8&gt;0)</f>
        <v>0</v>
      </c>
      <c r="H9" s="95" t="b">
        <f ca="1">AND(OFFSET($AL$18,0,(LOG('(코어)데이터'!H8,2)-1)*3)-'(코어)데이터'!Q8&gt;0,'예아!'!$AD$23-'(코어)데이터'!S8&gt;0)</f>
        <v>0</v>
      </c>
      <c r="I9" s="95" t="b">
        <f ca="1">AND(OFFSET($AL$18,0,(LOG('(코어)데이터'!H8,2)-1)*3)-'(코어)데이터'!U8&gt;0,'예아!'!$AD$23-'(코어)데이터'!W8&gt;0)</f>
        <v>0</v>
      </c>
      <c r="J9" s="95" t="b">
        <f ca="1">AND(OFFSET($AL$18,0,(LOG('(코어)데이터'!H8,2)-1)*3)-'(코어)데이터'!Y8&gt;0,'예아!'!$AD$23-'(코어)데이터'!AA8&gt;0)</f>
        <v>0</v>
      </c>
      <c r="K9" s="95" t="b">
        <f ca="1">AND(OFFSET($AL$18,0,(LOG('(코어)데이터'!H8,2)-1)*3)-'(코어)데이터'!AC8&gt;0,'예아!'!$AD$23-'(코어)데이터'!AE8&gt;0)</f>
        <v>0</v>
      </c>
      <c r="L9" s="95" t="b">
        <f ca="1">AND(OFFSET($AL$18,0,(LOG('(코어)데이터'!H8,2)-1)*3)-'(코어)데이터'!AG8&gt;0,'예아!'!$AD$23-'(코어)데이터'!AI8&gt;0)</f>
        <v>0</v>
      </c>
      <c r="M9" s="95" t="b">
        <f ca="1">AND(OFFSET($AL$18,0,(LOG('(코어)데이터'!H8,2)-1)*3)-'(코어)데이터'!AK8&gt;0,'예아!'!$AD$23-'(코어)데이터'!AM8&gt;0)</f>
        <v>0</v>
      </c>
      <c r="N9" s="203" t="s">
        <v>1081</v>
      </c>
      <c r="O9" s="203"/>
      <c r="P9" s="203"/>
      <c r="Q9" s="203"/>
      <c r="R9" s="203"/>
      <c r="S9" s="203"/>
      <c r="T9" s="203"/>
      <c r="U9" s="95" t="b">
        <f ca="1">AND(OFFSET($AL$18,0,(LOG('(코어)데이터'!H28,2)-1)*3)-'(코어)데이터'!I28&gt;0,'예아!'!$AD$23-'(코어)데이터'!K28&gt;0)</f>
        <v>0</v>
      </c>
      <c r="V9" s="95" t="b">
        <f ca="1">AND(OFFSET($AL$18,0,(LOG('(코어)데이터'!H28,2)-1)*3)-'(코어)데이터'!M28&gt;0,'예아!'!$AD$23-'(코어)데이터'!O28&gt;0)</f>
        <v>0</v>
      </c>
      <c r="W9" s="95" t="b">
        <f ca="1">AND(OFFSET($AL$18,0,(LOG('(코어)데이터'!H28,2)-1)*3)-'(코어)데이터'!Q28&gt;0,'예아!'!$AD$23-'(코어)데이터'!S28&gt;0)</f>
        <v>0</v>
      </c>
      <c r="X9" s="95" t="b">
        <f ca="1">AND(OFFSET($AL$18,0,(LOG('(코어)데이터'!H28,2)-1)*3)-'(코어)데이터'!U28&gt;0,'예아!'!$AD$23-'(코어)데이터'!W28&gt;0)</f>
        <v>0</v>
      </c>
      <c r="Y9" s="95" t="b">
        <f ca="1">AND(OFFSET($AL$18,0,(LOG('(코어)데이터'!H28,2)-1)*3)-'(코어)데이터'!Y28&gt;0,'예아!'!$AD$23-'(코어)데이터'!AA28&gt;0)</f>
        <v>0</v>
      </c>
      <c r="Z9" s="95" t="b">
        <f ca="1">AND(OFFSET($AL$18,0,(LOG('(코어)데이터'!H28,2)-1)*3)-'(코어)데이터'!AC28&gt;0,'예아!'!$AD$23-'(코어)데이터'!AE28&gt;0)</f>
        <v>0</v>
      </c>
      <c r="AA9" s="95" t="b">
        <f ca="1">AND(OFFSET($AL$18,0,(LOG('(코어)데이터'!H28,2)-1)*3)-'(코어)데이터'!AG28&gt;0,'예아!'!$AD$23-'(코어)데이터'!AI28&gt;0)</f>
        <v>0</v>
      </c>
      <c r="AB9" s="95" t="b">
        <f ca="1">AND(OFFSET($AL$18,0,(LOG('(코어)데이터'!H28,2)-1)*3)-'(코어)데이터'!AK28&gt;0,'예아!'!$AD$23-'(코어)데이터'!AM28&gt;0)</f>
        <v>0</v>
      </c>
      <c r="AC9" s="67"/>
      <c r="AD9" s="69" t="s">
        <v>1191</v>
      </c>
      <c r="AE9" s="69"/>
      <c r="AF9" s="69"/>
      <c r="AG9" s="69"/>
      <c r="AH9" s="69"/>
      <c r="AI9" s="69"/>
      <c r="AJ9" s="72"/>
      <c r="AK9" s="69"/>
      <c r="AL9" s="71"/>
      <c r="AM9" s="71"/>
      <c r="AN9" s="71"/>
      <c r="AO9" s="71" t="s">
        <v>1103</v>
      </c>
      <c r="AP9" s="71"/>
      <c r="AQ9" s="71"/>
      <c r="AR9" s="71"/>
      <c r="AS9" s="70" t="s">
        <v>1237</v>
      </c>
      <c r="AT9" s="71" t="s">
        <v>1238</v>
      </c>
      <c r="AU9" s="71" t="s">
        <v>1240</v>
      </c>
      <c r="AV9" s="71" t="s">
        <v>1239</v>
      </c>
      <c r="AW9" s="70" t="s">
        <v>1237</v>
      </c>
      <c r="AX9" s="71" t="s">
        <v>1192</v>
      </c>
      <c r="AY9" s="67"/>
      <c r="AZ9" s="67"/>
      <c r="BA9" s="67"/>
      <c r="BB9" s="67"/>
      <c r="BC9" s="67"/>
      <c r="BD9" s="69"/>
      <c r="BE9" s="67"/>
      <c r="BF9" s="67"/>
      <c r="BG9" s="67"/>
      <c r="BH9" s="67"/>
    </row>
    <row r="10" spans="1:60" x14ac:dyDescent="0.4">
      <c r="A10" s="67"/>
      <c r="B10" s="539" t="s">
        <v>1038</v>
      </c>
      <c r="C10" s="539"/>
      <c r="D10" s="539"/>
      <c r="E10" s="539"/>
      <c r="F10" s="95" t="b">
        <f ca="1">AND(OFFSET($AL$18,0,(LOG('(코어)데이터'!H9,2)-1)*3)-'(코어)데이터'!I9&gt;0,'예아!'!$AD$23-'(코어)데이터'!K9&gt;0)</f>
        <v>0</v>
      </c>
      <c r="G10" s="95" t="b">
        <f ca="1">AND(OFFSET($AL$18,0,(LOG('(코어)데이터'!H9,2)-1)*3)-'(코어)데이터'!M9&gt;0,'예아!'!$AD$23-'(코어)데이터'!O9&gt;0)</f>
        <v>0</v>
      </c>
      <c r="H10" s="95" t="b">
        <f ca="1">AND(OFFSET($AL$18,0,(LOG('(코어)데이터'!H9,2)-1)*3)-'(코어)데이터'!Q9&gt;0,'예아!'!$AD$23-'(코어)데이터'!S9&gt;0)</f>
        <v>0</v>
      </c>
      <c r="I10" s="95" t="b">
        <f ca="1">AND(OFFSET($AL$18,0,(LOG('(코어)데이터'!H9,2)-1)*3)-'(코어)데이터'!U9&gt;0,'예아!'!$AD$23-'(코어)데이터'!W9&gt;0)</f>
        <v>0</v>
      </c>
      <c r="J10" s="95" t="b">
        <f ca="1">AND(OFFSET($AL$18,0,(LOG('(코어)데이터'!H9,2)-1)*3)-'(코어)데이터'!Y9&gt;0,'예아!'!$AD$23-'(코어)데이터'!AA9&gt;0)</f>
        <v>0</v>
      </c>
      <c r="K10" s="95" t="b">
        <f ca="1">AND(OFFSET($AL$18,0,(LOG('(코어)데이터'!H9,2)-1)*3)-'(코어)데이터'!AC9&gt;0,'예아!'!$AD$23-'(코어)데이터'!AE9&gt;0)</f>
        <v>0</v>
      </c>
      <c r="L10" s="95" t="b">
        <f ca="1">AND(OFFSET($AL$18,0,(LOG('(코어)데이터'!H9,2)-1)*3)-'(코어)데이터'!AG9&gt;0,'예아!'!$AD$23-'(코어)데이터'!AI9&gt;0)</f>
        <v>0</v>
      </c>
      <c r="M10" s="95" t="b">
        <f ca="1">AND(OFFSET($AL$18,0,(LOG('(코어)데이터'!H9,2)-1)*3)-'(코어)데이터'!AK9&gt;0,'예아!'!$AD$23-'(코어)데이터'!AM9&gt;0)</f>
        <v>0</v>
      </c>
      <c r="N10" s="203" t="s">
        <v>1077</v>
      </c>
      <c r="O10" s="203"/>
      <c r="P10" s="203"/>
      <c r="Q10" s="203"/>
      <c r="R10" s="203"/>
      <c r="S10" s="203"/>
      <c r="T10" s="203"/>
      <c r="U10" s="95" t="b">
        <f ca="1">AND(OFFSET($AL$18,0,(LOG('(코어)데이터'!H29,2)-1)*3)-'(코어)데이터'!I29&gt;0,'예아!'!$AD$23-'(코어)데이터'!K29&gt;0)</f>
        <v>0</v>
      </c>
      <c r="V10" s="95" t="b">
        <f ca="1">AND(OFFSET($AL$18,0,(LOG('(코어)데이터'!H29,2)-1)*3)-'(코어)데이터'!M29&gt;0,'예아!'!$AD$23-'(코어)데이터'!O29&gt;0)</f>
        <v>0</v>
      </c>
      <c r="W10" s="95" t="b">
        <f ca="1">AND(OFFSET($AL$18,0,(LOG('(코어)데이터'!H29,2)-1)*3)-'(코어)데이터'!Q29&gt;0,'예아!'!$AD$23-'(코어)데이터'!S29&gt;0)</f>
        <v>0</v>
      </c>
      <c r="X10" s="95" t="b">
        <f ca="1">AND(OFFSET($AL$18,0,(LOG('(코어)데이터'!H29,2)-1)*3)-'(코어)데이터'!U29&gt;0,'예아!'!$AD$23-'(코어)데이터'!W29&gt;0)</f>
        <v>0</v>
      </c>
      <c r="Y10" s="95" t="b">
        <f ca="1">AND(OFFSET($AL$18,0,(LOG('(코어)데이터'!H29,2)-1)*3)-'(코어)데이터'!Y29&gt;0,'예아!'!$AD$23-'(코어)데이터'!AA29&gt;0)</f>
        <v>0</v>
      </c>
      <c r="Z10" s="95" t="b">
        <f ca="1">AND(OFFSET($AL$18,0,(LOG('(코어)데이터'!H29,2)-1)*3)-'(코어)데이터'!AC29&gt;0,'예아!'!$AD$23-'(코어)데이터'!AE29&gt;0)</f>
        <v>0</v>
      </c>
      <c r="AA10" s="95" t="b">
        <f ca="1">AND(OFFSET($AL$18,0,(LOG('(코어)데이터'!H29,2)-1)*3)-'(코어)데이터'!AG29&gt;0,'예아!'!$AD$23-'(코어)데이터'!AI29&gt;0)</f>
        <v>0</v>
      </c>
      <c r="AB10" s="95" t="b">
        <f ca="1">AND(OFFSET($AL$18,0,(LOG('(코어)데이터'!H29,2)-1)*3)-'(코어)데이터'!AK29&gt;0,'예아!'!$AD$23-'(코어)데이터'!AM29&gt;0)</f>
        <v>0</v>
      </c>
      <c r="AC10" s="67"/>
      <c r="AD10" s="533" t="str">
        <f>VLOOKUP(BillDVANCE!E14,CPU!B3:L50,11,FALSE)</f>
        <v>그래픽 없음</v>
      </c>
      <c r="AE10" s="534"/>
      <c r="AF10" s="534"/>
      <c r="AG10" s="534"/>
      <c r="AH10" s="534"/>
      <c r="AI10" s="534"/>
      <c r="AJ10" s="534"/>
      <c r="AK10" s="534"/>
      <c r="AL10" s="534"/>
      <c r="AM10" s="535"/>
      <c r="AN10" s="71"/>
      <c r="AO10" s="536">
        <f>VLOOKUP(BillDVANCE!E16,메모리!B3:I50,7,FALSE)</f>
        <v>0</v>
      </c>
      <c r="AP10" s="538"/>
      <c r="AQ10" s="538"/>
      <c r="AR10" s="537"/>
      <c r="AS10" s="67"/>
      <c r="AT10" s="536">
        <f>MIN(AY10,AO10)</f>
        <v>0</v>
      </c>
      <c r="AU10" s="538"/>
      <c r="AV10" s="537"/>
      <c r="AW10" s="67"/>
      <c r="AX10" s="67"/>
      <c r="AY10" s="536">
        <f>VLOOKUP(BillDVANCE!E14,CPU!B3:R50,17,FALSE)</f>
        <v>0</v>
      </c>
      <c r="AZ10" s="538"/>
      <c r="BA10" s="538"/>
      <c r="BB10" s="537"/>
      <c r="BC10" s="67"/>
      <c r="BD10" s="69"/>
      <c r="BE10" s="67"/>
      <c r="BF10" s="67"/>
      <c r="BG10" s="67"/>
      <c r="BH10" s="67"/>
    </row>
    <row r="11" spans="1:60" x14ac:dyDescent="0.4">
      <c r="A11" s="67"/>
      <c r="B11" s="539" t="s">
        <v>1040</v>
      </c>
      <c r="C11" s="539"/>
      <c r="D11" s="539"/>
      <c r="E11" s="539"/>
      <c r="F11" s="95" t="b">
        <f ca="1">AND(OFFSET($AL$18,0,(LOG('(코어)데이터'!H10,2)-1)*3)-'(코어)데이터'!I10&gt;0,'예아!'!$AD$23-'(코어)데이터'!K10&gt;0)</f>
        <v>0</v>
      </c>
      <c r="G11" s="95" t="b">
        <f ca="1">AND(OFFSET($AL$18,0,(LOG('(코어)데이터'!H10,2)-1)*3)-'(코어)데이터'!M10&gt;0,'예아!'!$AD$23-'(코어)데이터'!O10&gt;0)</f>
        <v>0</v>
      </c>
      <c r="H11" s="95" t="b">
        <f ca="1">AND(OFFSET($AL$18,0,(LOG('(코어)데이터'!H10,2)-1)*3)-'(코어)데이터'!Q10&gt;0,'예아!'!$AD$23-'(코어)데이터'!S10&gt;0)</f>
        <v>0</v>
      </c>
      <c r="I11" s="95" t="b">
        <f ca="1">AND(OFFSET($AL$18,0,(LOG('(코어)데이터'!H10,2)-1)*3)-'(코어)데이터'!U10&gt;0,'예아!'!$AD$23-'(코어)데이터'!W10&gt;0)</f>
        <v>0</v>
      </c>
      <c r="J11" s="95" t="b">
        <f ca="1">AND(OFFSET($AL$18,0,(LOG('(코어)데이터'!H10,2)-1)*3)-'(코어)데이터'!Y10&gt;0,'예아!'!$AD$23-'(코어)데이터'!AA10&gt;0)</f>
        <v>0</v>
      </c>
      <c r="K11" s="95" t="b">
        <f ca="1">AND(OFFSET($AL$18,0,(LOG('(코어)데이터'!H10,2)-1)*3)-'(코어)데이터'!AC10&gt;0,'예아!'!$AD$23-'(코어)데이터'!AE10&gt;0)</f>
        <v>0</v>
      </c>
      <c r="L11" s="95" t="b">
        <f ca="1">AND(OFFSET($AL$18,0,(LOG('(코어)데이터'!H10,2)-1)*3)-'(코어)데이터'!AG10&gt;0,'예아!'!$AD$23-'(코어)데이터'!AI10&gt;0)</f>
        <v>0</v>
      </c>
      <c r="M11" s="95" t="b">
        <f ca="1">AND(OFFSET($AL$18,0,(LOG('(코어)데이터'!H10,2)-1)*3)-'(코어)데이터'!AK10&gt;0,'예아!'!$AD$23-'(코어)데이터'!AM10&gt;0)</f>
        <v>0</v>
      </c>
      <c r="N11" s="203" t="s">
        <v>1072</v>
      </c>
      <c r="O11" s="203"/>
      <c r="P11" s="203"/>
      <c r="Q11" s="203"/>
      <c r="R11" s="203"/>
      <c r="S11" s="203"/>
      <c r="T11" s="203"/>
      <c r="U11" s="95" t="b">
        <f ca="1">AND(OFFSET($AL$18,0,(LOG('(코어)데이터'!H30,2)-1)*3)-'(코어)데이터'!I30&gt;0,'예아!'!$AD$23-'(코어)데이터'!K30&gt;0)</f>
        <v>0</v>
      </c>
      <c r="V11" s="95" t="b">
        <f ca="1">AND(OFFSET($AL$18,0,(LOG('(코어)데이터'!H30,2)-1)*3)-'(코어)데이터'!M30&gt;0,'예아!'!$AD$23-'(코어)데이터'!O30&gt;0)</f>
        <v>0</v>
      </c>
      <c r="W11" s="95" t="b">
        <f ca="1">AND(OFFSET($AL$18,0,(LOG('(코어)데이터'!H30,2)-1)*3)-'(코어)데이터'!Q30&gt;0,'예아!'!$AD$23-'(코어)데이터'!S30&gt;0)</f>
        <v>0</v>
      </c>
      <c r="X11" s="95" t="b">
        <f ca="1">AND(OFFSET($AL$18,0,(LOG('(코어)데이터'!H30,2)-1)*3)-'(코어)데이터'!U30&gt;0,'예아!'!$AD$23-'(코어)데이터'!W30&gt;0)</f>
        <v>0</v>
      </c>
      <c r="Y11" s="95" t="b">
        <f ca="1">AND(OFFSET($AL$18,0,(LOG('(코어)데이터'!H30,2)-1)*3)-'(코어)데이터'!Y30&gt;0,'예아!'!$AD$23-'(코어)데이터'!AA30&gt;0)</f>
        <v>0</v>
      </c>
      <c r="Z11" s="95" t="b">
        <f ca="1">AND(OFFSET($AL$18,0,(LOG('(코어)데이터'!H30,2)-1)*3)-'(코어)데이터'!AC30&gt;0,'예아!'!$AD$23-'(코어)데이터'!AE30&gt;0)</f>
        <v>0</v>
      </c>
      <c r="AA11" s="95" t="b">
        <f ca="1">AND(OFFSET($AL$18,0,(LOG('(코어)데이터'!H30,2)-1)*3)-'(코어)데이터'!AG30&gt;0,'예아!'!$AD$23-'(코어)데이터'!AI30&gt;0)</f>
        <v>0</v>
      </c>
      <c r="AB11" s="95" t="b">
        <f ca="1">AND(OFFSET($AL$18,0,(LOG('(코어)데이터'!H30,2)-1)*3)-'(코어)데이터'!AK30&gt;0,'예아!'!$AD$23-'(코어)데이터'!AM30&gt;0)</f>
        <v>0</v>
      </c>
      <c r="AC11" s="118"/>
      <c r="AD11" s="119"/>
      <c r="AE11" s="119"/>
      <c r="AF11" s="119"/>
      <c r="AG11" s="119"/>
      <c r="AH11" s="119"/>
      <c r="AI11" s="119"/>
      <c r="AJ11" s="119"/>
      <c r="AK11" s="119"/>
      <c r="AL11" s="120"/>
      <c r="AM11" s="120"/>
      <c r="AN11" s="120"/>
      <c r="AO11" s="120"/>
      <c r="AP11" s="67"/>
      <c r="AQ11" s="120"/>
      <c r="AR11" s="120"/>
      <c r="AS11" s="120"/>
      <c r="AT11" s="120"/>
      <c r="AU11" s="120"/>
      <c r="AV11" s="120"/>
      <c r="AW11" s="120"/>
      <c r="AX11" s="120"/>
      <c r="AY11" s="67"/>
      <c r="AZ11" s="67"/>
      <c r="BA11" s="67"/>
      <c r="BB11" s="67"/>
      <c r="BC11" s="67"/>
      <c r="BD11" s="69"/>
      <c r="BE11" s="67"/>
      <c r="BF11" s="67"/>
      <c r="BG11" s="67"/>
      <c r="BH11" s="67"/>
    </row>
    <row r="12" spans="1:60" x14ac:dyDescent="0.4">
      <c r="A12" s="67"/>
      <c r="B12" s="539" t="s">
        <v>1042</v>
      </c>
      <c r="C12" s="539"/>
      <c r="D12" s="539"/>
      <c r="E12" s="539"/>
      <c r="F12" s="95" t="b">
        <f ca="1">AND(OFFSET($AL$18,0,(LOG('(코어)데이터'!H11,2)-1)*3)-'(코어)데이터'!I11&gt;0,'예아!'!$AD$23-'(코어)데이터'!K11&gt;0)</f>
        <v>0</v>
      </c>
      <c r="G12" s="95" t="b">
        <f ca="1">AND(OFFSET($AL$18,0,(LOG('(코어)데이터'!H11,2)-1)*3)-'(코어)데이터'!M11&gt;0,'예아!'!$AD$23-'(코어)데이터'!O11&gt;0)</f>
        <v>0</v>
      </c>
      <c r="H12" s="95" t="b">
        <f ca="1">AND(OFFSET($AL$18,0,(LOG('(코어)데이터'!H11,2)-1)*3)-'(코어)데이터'!Q11&gt;0,'예아!'!$AD$23-'(코어)데이터'!S11&gt;0)</f>
        <v>0</v>
      </c>
      <c r="I12" s="95" t="b">
        <f ca="1">AND(OFFSET($AL$18,0,(LOG('(코어)데이터'!H11,2)-1)*3)-'(코어)데이터'!U11&gt;0,'예아!'!$AD$23-'(코어)데이터'!W11&gt;0)</f>
        <v>0</v>
      </c>
      <c r="J12" s="95" t="b">
        <f ca="1">AND(OFFSET($AL$18,0,(LOG('(코어)데이터'!H11,2)-1)*3)-'(코어)데이터'!Y11&gt;0,'예아!'!$AD$23-'(코어)데이터'!AA11&gt;0)</f>
        <v>0</v>
      </c>
      <c r="K12" s="95" t="b">
        <f ca="1">AND(OFFSET($AL$18,0,(LOG('(코어)데이터'!H11,2)-1)*3)-'(코어)데이터'!AC11&gt;0,'예아!'!$AD$23-'(코어)데이터'!AE11&gt;0)</f>
        <v>0</v>
      </c>
      <c r="L12" s="95" t="b">
        <f ca="1">AND(OFFSET($AL$18,0,(LOG('(코어)데이터'!H11,2)-1)*3)-'(코어)데이터'!AG11&gt;0,'예아!'!$AD$23-'(코어)데이터'!AI11&gt;0)</f>
        <v>0</v>
      </c>
      <c r="M12" s="95" t="b">
        <f ca="1">AND(OFFSET($AL$18,0,(LOG('(코어)데이터'!H11,2)-1)*3)-'(코어)데이터'!AK11&gt;0,'예아!'!$AD$23-'(코어)데이터'!AM11&gt;0)</f>
        <v>0</v>
      </c>
      <c r="N12" s="203" t="s">
        <v>1083</v>
      </c>
      <c r="O12" s="203"/>
      <c r="P12" s="203"/>
      <c r="Q12" s="203"/>
      <c r="R12" s="203"/>
      <c r="S12" s="203"/>
      <c r="T12" s="203"/>
      <c r="U12" s="95" t="b">
        <f ca="1">AND(OFFSET($AL$18,0,(LOG('(코어)데이터'!H31,2)-1)*3)-'(코어)데이터'!I31&gt;0,'예아!'!$AD$23-'(코어)데이터'!K31&gt;0)</f>
        <v>0</v>
      </c>
      <c r="V12" s="95" t="b">
        <f ca="1">AND(OFFSET($AL$18,0,(LOG('(코어)데이터'!H31,2)-1)*3)-'(코어)데이터'!M31&gt;0,'예아!'!$AD$23-'(코어)데이터'!O31&gt;0)</f>
        <v>0</v>
      </c>
      <c r="W12" s="95" t="b">
        <f ca="1">AND(OFFSET($AL$18,0,(LOG('(코어)데이터'!H31,2)-1)*3)-'(코어)데이터'!Q31&gt;0,'예아!'!$AD$23-'(코어)데이터'!S31&gt;0)</f>
        <v>0</v>
      </c>
      <c r="X12" s="95" t="b">
        <f ca="1">AND(OFFSET($AL$18,0,(LOG('(코어)데이터'!H31,2)-1)*3)-'(코어)데이터'!U31&gt;0,'예아!'!$AD$23-'(코어)데이터'!W31&gt;0)</f>
        <v>0</v>
      </c>
      <c r="Y12" s="95" t="b">
        <f ca="1">AND(OFFSET($AL$18,0,(LOG('(코어)데이터'!H31,2)-1)*3)-'(코어)데이터'!Y31&gt;0,'예아!'!$AD$23-'(코어)데이터'!AA31&gt;0)</f>
        <v>0</v>
      </c>
      <c r="Z12" s="95" t="b">
        <f ca="1">AND(OFFSET($AL$18,0,(LOG('(코어)데이터'!H31,2)-1)*3)-'(코어)데이터'!AC31&gt;0,'예아!'!$AD$23-'(코어)데이터'!AE31&gt;0)</f>
        <v>0</v>
      </c>
      <c r="AA12" s="95" t="b">
        <f ca="1">AND(OFFSET($AL$18,0,(LOG('(코어)데이터'!H31,2)-1)*3)-'(코어)데이터'!AG31&gt;0,'예아!'!$AD$23-'(코어)데이터'!AI31&gt;0)</f>
        <v>0</v>
      </c>
      <c r="AB12" s="95" t="b">
        <f ca="1">AND(OFFSET($AL$18,0,(LOG('(코어)데이터'!H31,2)-1)*3)-'(코어)데이터'!AK31&gt;0,'예아!'!$AD$23-'(코어)데이터'!AM31&gt;0)</f>
        <v>0</v>
      </c>
      <c r="AC12" s="67"/>
      <c r="AD12" s="69" t="s">
        <v>1068</v>
      </c>
      <c r="AE12" s="69"/>
      <c r="AF12" s="69"/>
      <c r="AG12" s="69"/>
      <c r="AH12" s="69"/>
      <c r="AI12" s="69"/>
      <c r="AJ12" s="72" t="s">
        <v>1026</v>
      </c>
      <c r="AK12" s="69" t="s">
        <v>1070</v>
      </c>
      <c r="AL12" s="71"/>
      <c r="AM12" s="71"/>
      <c r="AN12" s="71"/>
      <c r="AO12" s="71" t="s">
        <v>2961</v>
      </c>
      <c r="AP12" s="71"/>
      <c r="AQ12" s="71"/>
      <c r="AR12" s="71" t="s">
        <v>773</v>
      </c>
      <c r="AS12" s="71"/>
      <c r="AT12" s="67"/>
      <c r="AU12" s="71" t="s">
        <v>1264</v>
      </c>
      <c r="AV12" s="71"/>
      <c r="AW12" s="71"/>
      <c r="AX12" s="71"/>
      <c r="AY12" s="71"/>
      <c r="AZ12" s="71"/>
      <c r="BA12" s="71"/>
      <c r="BB12" s="71"/>
      <c r="BC12" s="71"/>
      <c r="BD12" s="69"/>
      <c r="BE12" s="67"/>
      <c r="BF12" s="67"/>
      <c r="BG12" s="67"/>
      <c r="BH12" s="67"/>
    </row>
    <row r="13" spans="1:60" x14ac:dyDescent="0.4">
      <c r="A13" s="67"/>
      <c r="B13" s="539" t="s">
        <v>1044</v>
      </c>
      <c r="C13" s="539"/>
      <c r="D13" s="539"/>
      <c r="E13" s="539"/>
      <c r="F13" s="95" t="b">
        <f ca="1">AND(OFFSET($AL$18,0,(LOG('(코어)데이터'!H12,2)-1)*3)-'(코어)데이터'!I12&gt;0,'예아!'!$AD$23-'(코어)데이터'!K12&gt;0)</f>
        <v>0</v>
      </c>
      <c r="G13" s="95" t="b">
        <f ca="1">AND(OFFSET($AL$18,0,(LOG('(코어)데이터'!H12,2)-1)*3)-'(코어)데이터'!M12&gt;0,'예아!'!$AD$23-'(코어)데이터'!O12&gt;0)</f>
        <v>0</v>
      </c>
      <c r="H13" s="95" t="b">
        <f ca="1">AND(OFFSET($AL$18,0,(LOG('(코어)데이터'!H12,2)-1)*3)-'(코어)데이터'!Q12&gt;0,'예아!'!$AD$23-'(코어)데이터'!S12&gt;0)</f>
        <v>0</v>
      </c>
      <c r="I13" s="95" t="b">
        <f ca="1">AND(OFFSET($AL$18,0,(LOG('(코어)데이터'!H12,2)-1)*3)-'(코어)데이터'!U12&gt;0,'예아!'!$AD$23-'(코어)데이터'!W12&gt;0)</f>
        <v>0</v>
      </c>
      <c r="J13" s="95" t="b">
        <f ca="1">AND(OFFSET($AL$18,0,(LOG('(코어)데이터'!H12,2)-1)*3)-'(코어)데이터'!Y12&gt;0,'예아!'!$AD$23-'(코어)데이터'!AA12&gt;0)</f>
        <v>0</v>
      </c>
      <c r="K13" s="95" t="b">
        <f ca="1">AND(OFFSET($AL$18,0,(LOG('(코어)데이터'!H12,2)-1)*3)-'(코어)데이터'!AC12&gt;0,'예아!'!$AD$23-'(코어)데이터'!AE12&gt;0)</f>
        <v>0</v>
      </c>
      <c r="L13" s="95" t="b">
        <f ca="1">AND(OFFSET($AL$18,0,(LOG('(코어)데이터'!H12,2)-1)*3)-'(코어)데이터'!AG12&gt;0,'예아!'!$AD$23-'(코어)데이터'!AI12&gt;0)</f>
        <v>0</v>
      </c>
      <c r="M13" s="95" t="b">
        <f ca="1">AND(OFFSET($AL$18,0,(LOG('(코어)데이터'!H12,2)-1)*3)-'(코어)데이터'!AK12&gt;0,'예아!'!$AD$23-'(코어)데이터'!AM12&gt;0)</f>
        <v>0</v>
      </c>
      <c r="N13" s="203" t="s">
        <v>1075</v>
      </c>
      <c r="O13" s="203"/>
      <c r="P13" s="203"/>
      <c r="Q13" s="203"/>
      <c r="R13" s="203"/>
      <c r="S13" s="203"/>
      <c r="T13" s="203"/>
      <c r="U13" s="95" t="b">
        <f ca="1">AND(OFFSET($AL$18,0,(LOG('(코어)데이터'!H32,2)-1)*3)-'(코어)데이터'!I32&gt;0,'예아!'!$AD$23-'(코어)데이터'!K32&gt;0)</f>
        <v>0</v>
      </c>
      <c r="V13" s="95" t="b">
        <f ca="1">AND(OFFSET($AL$18,0,(LOG('(코어)데이터'!H32,2)-1)*3)-'(코어)데이터'!M32&gt;0,'예아!'!$AD$23-'(코어)데이터'!O32&gt;0)</f>
        <v>0</v>
      </c>
      <c r="W13" s="95" t="b">
        <f ca="1">AND(OFFSET($AL$18,0,(LOG('(코어)데이터'!H32,2)-1)*3)-'(코어)데이터'!Q32&gt;0,'예아!'!$AD$23-'(코어)데이터'!S32&gt;0)</f>
        <v>0</v>
      </c>
      <c r="X13" s="95" t="b">
        <f ca="1">AND(OFFSET($AL$18,0,(LOG('(코어)데이터'!H32,2)-1)*3)-'(코어)데이터'!U32&gt;0,'예아!'!$AD$23-'(코어)데이터'!W32&gt;0)</f>
        <v>0</v>
      </c>
      <c r="Y13" s="95" t="b">
        <f ca="1">AND(OFFSET($AL$18,0,(LOG('(코어)데이터'!H32,2)-1)*3)-'(코어)데이터'!Y32&gt;0,'예아!'!$AD$23-'(코어)데이터'!AA32&gt;0)</f>
        <v>0</v>
      </c>
      <c r="Z13" s="95" t="b">
        <f ca="1">AND(OFFSET($AL$18,0,(LOG('(코어)데이터'!H32,2)-1)*3)-'(코어)데이터'!AC32&gt;0,'예아!'!$AD$23-'(코어)데이터'!AE32&gt;0)</f>
        <v>0</v>
      </c>
      <c r="AA13" s="95" t="b">
        <f ca="1">AND(OFFSET($AL$18,0,(LOG('(코어)데이터'!H32,2)-1)*3)-'(코어)데이터'!AG32&gt;0,'예아!'!$AD$23-'(코어)데이터'!AI32&gt;0)</f>
        <v>0</v>
      </c>
      <c r="AB13" s="95" t="b">
        <f ca="1">AND(OFFSET($AL$18,0,(LOG('(코어)데이터'!H32,2)-1)*3)-'(코어)데이터'!AK32&gt;0,'예아!'!$AD$23-'(코어)데이터'!AM32&gt;0)</f>
        <v>0</v>
      </c>
      <c r="AC13" s="67"/>
      <c r="AD13" s="533" t="str">
        <f>VLOOKUP(BillDVANCE!E17,그래픽카드!B3:F200,5,FALSE)</f>
        <v>내장그래픽</v>
      </c>
      <c r="AE13" s="534"/>
      <c r="AF13" s="534"/>
      <c r="AG13" s="534"/>
      <c r="AH13" s="534"/>
      <c r="AI13" s="534"/>
      <c r="AJ13" s="534"/>
      <c r="AK13" s="534"/>
      <c r="AL13" s="534"/>
      <c r="AM13" s="535"/>
      <c r="AN13" s="71"/>
      <c r="AO13" s="536">
        <f>VLOOKUP(BillDVANCE!E17,그래픽카드!B3:H200,7,FALSE)</f>
        <v>0</v>
      </c>
      <c r="AP13" s="537"/>
      <c r="AQ13" s="71"/>
      <c r="AR13" s="536">
        <f>VLOOKUP(BillDVANCE!E17,그래픽카드!B3:I200,8,FALSE)</f>
        <v>0</v>
      </c>
      <c r="AS13" s="537"/>
      <c r="AT13" s="67"/>
      <c r="AU13" s="71"/>
      <c r="AV13" s="71"/>
      <c r="AW13" s="71"/>
      <c r="AX13" s="71"/>
      <c r="AY13" s="71"/>
      <c r="AZ13" s="71"/>
      <c r="BA13" s="71"/>
      <c r="BB13" s="71"/>
      <c r="BC13" s="71"/>
      <c r="BD13" s="69"/>
      <c r="BE13" s="67"/>
      <c r="BF13" s="67"/>
      <c r="BG13" s="67"/>
      <c r="BH13" s="67"/>
    </row>
    <row r="14" spans="1:60" x14ac:dyDescent="0.4">
      <c r="A14" s="67"/>
      <c r="B14" s="539" t="s">
        <v>1049</v>
      </c>
      <c r="C14" s="539"/>
      <c r="D14" s="539"/>
      <c r="E14" s="539"/>
      <c r="F14" s="95" t="b">
        <f ca="1">AND(OFFSET($AL$18,0,(LOG('(코어)데이터'!H13,2)-1)*3)-'(코어)데이터'!I13&gt;0,'예아!'!$AD$23-'(코어)데이터'!K13&gt;0)</f>
        <v>0</v>
      </c>
      <c r="G14" s="95" t="b">
        <f ca="1">AND(OFFSET($AL$18,0,(LOG('(코어)데이터'!H13,2)-1)*3)-'(코어)데이터'!M13&gt;0,'예아!'!$AD$23-'(코어)데이터'!O13&gt;0)</f>
        <v>0</v>
      </c>
      <c r="H14" s="95" t="b">
        <f ca="1">AND(OFFSET($AL$18,0,(LOG('(코어)데이터'!H13,2)-1)*3)-'(코어)데이터'!Q13&gt;0,'예아!'!$AD$23-'(코어)데이터'!S13&gt;0)</f>
        <v>0</v>
      </c>
      <c r="I14" s="95" t="b">
        <f ca="1">AND(OFFSET($AL$18,0,(LOG('(코어)데이터'!H13,2)-1)*3)-'(코어)데이터'!U13&gt;0,'예아!'!$AD$23-'(코어)데이터'!W13&gt;0)</f>
        <v>0</v>
      </c>
      <c r="J14" s="95" t="b">
        <f ca="1">AND(OFFSET($AL$18,0,(LOG('(코어)데이터'!H13,2)-1)*3)-'(코어)데이터'!Y13&gt;0,'예아!'!$AD$23-'(코어)데이터'!AA13&gt;0)</f>
        <v>0</v>
      </c>
      <c r="K14" s="95" t="b">
        <f ca="1">AND(OFFSET($AL$18,0,(LOG('(코어)데이터'!H13,2)-1)*3)-'(코어)데이터'!AC13&gt;0,'예아!'!$AD$23-'(코어)데이터'!AE13&gt;0)</f>
        <v>0</v>
      </c>
      <c r="L14" s="95" t="b">
        <f ca="1">AND(OFFSET($AL$18,0,(LOG('(코어)데이터'!H13,2)-1)*3)-'(코어)데이터'!AG13&gt;0,'예아!'!$AD$23-'(코어)데이터'!AI13&gt;0)</f>
        <v>0</v>
      </c>
      <c r="M14" s="95" t="b">
        <f ca="1">AND(OFFSET($AL$18,0,(LOG('(코어)데이터'!H13,2)-1)*3)-'(코어)데이터'!AK13&gt;0,'예아!'!$AD$23-'(코어)데이터'!AM13&gt;0)</f>
        <v>0</v>
      </c>
      <c r="N14" s="203" t="s">
        <v>2986</v>
      </c>
      <c r="O14" s="203"/>
      <c r="P14" s="203"/>
      <c r="Q14" s="203"/>
      <c r="R14" s="203"/>
      <c r="S14" s="203"/>
      <c r="T14" s="203"/>
      <c r="U14" s="95" t="b">
        <f ca="1">AND(OFFSET($AL$18,0,(LOG('(코어)데이터'!H33,2)-1)*3)-'(코어)데이터'!I33&gt;0,'예아!'!$AD$23-'(코어)데이터'!K33&gt;0)</f>
        <v>0</v>
      </c>
      <c r="V14" s="95" t="b">
        <f ca="1">AND(OFFSET($AL$18,0,(LOG('(코어)데이터'!H33,2)-1)*3)-'(코어)데이터'!M33&gt;0,'예아!'!$AD$23-'(코어)데이터'!O33&gt;0)</f>
        <v>0</v>
      </c>
      <c r="W14" s="95" t="b">
        <f ca="1">AND(OFFSET($AL$18,0,(LOG('(코어)데이터'!H33,2)-1)*3)-'(코어)데이터'!Q33&gt;0,'예아!'!$AD$23-'(코어)데이터'!S33&gt;0)</f>
        <v>0</v>
      </c>
      <c r="X14" s="95" t="b">
        <f ca="1">AND(OFFSET($AL$18,0,(LOG('(코어)데이터'!H33,2)-1)*3)-'(코어)데이터'!U33&gt;0,'예아!'!$AD$23-'(코어)데이터'!W33&gt;0)</f>
        <v>0</v>
      </c>
      <c r="Y14" s="95" t="b">
        <f ca="1">AND(OFFSET($AL$18,0,(LOG('(코어)데이터'!H33,2)-1)*3)-'(코어)데이터'!Y33&gt;0,'예아!'!$AD$23-'(코어)데이터'!AA33&gt;0)</f>
        <v>0</v>
      </c>
      <c r="Z14" s="95" t="b">
        <f ca="1">AND(OFFSET($AL$18,0,(LOG('(코어)데이터'!H33,2)-1)*3)-'(코어)데이터'!AC33&gt;0,'예아!'!$AD$23-'(코어)데이터'!AE33&gt;0)</f>
        <v>0</v>
      </c>
      <c r="AA14" s="95" t="b">
        <f ca="1">AND(OFFSET($AL$18,0,(LOG('(코어)데이터'!H33,2)-1)*3)-'(코어)데이터'!AG33&gt;0,'예아!'!$AD$23-'(코어)데이터'!AI33&gt;0)</f>
        <v>0</v>
      </c>
      <c r="AB14" s="95" t="b">
        <f ca="1">AND(OFFSET($AL$18,0,(LOG('(코어)데이터'!H33,2)-1)*3)-'(코어)데이터'!AK33&gt;0,'예아!'!$AD$23-'(코어)데이터'!AM33&gt;0)</f>
        <v>0</v>
      </c>
      <c r="AC14" s="67"/>
      <c r="AD14" s="71" t="s">
        <v>1071</v>
      </c>
      <c r="AE14" s="69"/>
      <c r="AF14" s="69"/>
      <c r="AG14" s="69"/>
      <c r="AH14" s="69" t="s">
        <v>1241</v>
      </c>
      <c r="AI14" s="69"/>
      <c r="AJ14" s="69" t="s">
        <v>1242</v>
      </c>
      <c r="AK14" s="69"/>
      <c r="AL14" s="71" t="s">
        <v>1266</v>
      </c>
      <c r="AM14" s="71"/>
      <c r="AN14" s="71"/>
      <c r="AO14" s="71" t="s">
        <v>2940</v>
      </c>
      <c r="AP14" s="71"/>
      <c r="AQ14" s="71"/>
      <c r="AR14" s="71" t="s">
        <v>773</v>
      </c>
      <c r="AS14" s="71"/>
      <c r="AT14" s="67"/>
      <c r="AU14" s="71" t="s">
        <v>1265</v>
      </c>
      <c r="AV14" s="71"/>
      <c r="AW14" s="71"/>
      <c r="AX14" s="71"/>
      <c r="AY14" s="71"/>
      <c r="AZ14" s="71"/>
      <c r="BA14" s="71"/>
      <c r="BB14" s="71"/>
      <c r="BC14" s="71"/>
      <c r="BD14" s="69"/>
      <c r="BE14" s="67"/>
      <c r="BF14" s="67"/>
      <c r="BG14" s="67"/>
      <c r="BH14" s="67"/>
    </row>
    <row r="15" spans="1:60" x14ac:dyDescent="0.4">
      <c r="A15" s="67"/>
      <c r="B15" s="539" t="s">
        <v>1093</v>
      </c>
      <c r="C15" s="539"/>
      <c r="D15" s="539"/>
      <c r="E15" s="539"/>
      <c r="F15" s="95" t="b">
        <f ca="1">AND(OFFSET($AL$18,0,(LOG('(코어)데이터'!H14,2)-1)*3)-'(코어)데이터'!I14&gt;0,'예아!'!$AD$23-'(코어)데이터'!K14&gt;0)</f>
        <v>0</v>
      </c>
      <c r="G15" s="95" t="b">
        <f ca="1">AND(OFFSET($AL$18,0,(LOG('(코어)데이터'!H14,2)-1)*3)-'(코어)데이터'!M14&gt;0,'예아!'!$AD$23-'(코어)데이터'!O14&gt;0)</f>
        <v>0</v>
      </c>
      <c r="H15" s="95" t="b">
        <f ca="1">AND(OFFSET($AL$18,0,(LOG('(코어)데이터'!H14,2)-1)*3)-'(코어)데이터'!Q14&gt;0,'예아!'!$AD$23-'(코어)데이터'!S14&gt;0)</f>
        <v>0</v>
      </c>
      <c r="I15" s="95" t="b">
        <f ca="1">AND(OFFSET($AL$18,0,(LOG('(코어)데이터'!H14,2)-1)*3)-'(코어)데이터'!U14&gt;0,'예아!'!$AD$23-'(코어)데이터'!W14&gt;0)</f>
        <v>0</v>
      </c>
      <c r="J15" s="95" t="b">
        <f ca="1">AND(OFFSET($AL$18,0,(LOG('(코어)데이터'!H14,2)-1)*3)-'(코어)데이터'!Y14&gt;0,'예아!'!$AD$23-'(코어)데이터'!AA14&gt;0)</f>
        <v>0</v>
      </c>
      <c r="K15" s="95" t="b">
        <f ca="1">AND(OFFSET($AL$18,0,(LOG('(코어)데이터'!H14,2)-1)*3)-'(코어)데이터'!AC14&gt;0,'예아!'!$AD$23-'(코어)데이터'!AE14&gt;0)</f>
        <v>0</v>
      </c>
      <c r="L15" s="95" t="b">
        <f ca="1">AND(OFFSET($AL$18,0,(LOG('(코어)데이터'!H14,2)-1)*3)-'(코어)데이터'!AG14&gt;0,'예아!'!$AD$23-'(코어)데이터'!AI14&gt;0)</f>
        <v>0</v>
      </c>
      <c r="M15" s="95" t="b">
        <f ca="1">AND(OFFSET($AL$18,0,(LOG('(코어)데이터'!H14,2)-1)*3)-'(코어)데이터'!AK14&gt;0,'예아!'!$AD$23-'(코어)데이터'!AM14&gt;0)</f>
        <v>0</v>
      </c>
      <c r="N15" s="203" t="s">
        <v>2984</v>
      </c>
      <c r="O15" s="203"/>
      <c r="P15" s="203"/>
      <c r="Q15" s="203"/>
      <c r="R15" s="203"/>
      <c r="S15" s="203"/>
      <c r="T15" s="203"/>
      <c r="U15" s="95" t="b">
        <f ca="1">AND(OFFSET($AL$18,0,(LOG('(코어)데이터'!H34,2)-1)*3)-'(코어)데이터'!I34&gt;0,'예아!'!$AD$23-'(코어)데이터'!K34&gt;0)</f>
        <v>0</v>
      </c>
      <c r="V15" s="95" t="b">
        <f ca="1">AND(OFFSET($AL$18,0,(LOG('(코어)데이터'!H34,2)-1)*3)-'(코어)데이터'!M34&gt;0,'예아!'!$AD$23-'(코어)데이터'!O34&gt;0)</f>
        <v>0</v>
      </c>
      <c r="W15" s="95" t="b">
        <f ca="1">AND(OFFSET($AL$18,0,(LOG('(코어)데이터'!H34,2)-1)*3)-'(코어)데이터'!Q34&gt;0,'예아!'!$AD$23-'(코어)데이터'!S34&gt;0)</f>
        <v>0</v>
      </c>
      <c r="X15" s="95" t="b">
        <f ca="1">AND(OFFSET($AL$18,0,(LOG('(코어)데이터'!H34,2)-1)*3)-'(코어)데이터'!U34&gt;0,'예아!'!$AD$23-'(코어)데이터'!W34&gt;0)</f>
        <v>0</v>
      </c>
      <c r="Y15" s="95" t="b">
        <f ca="1">AND(OFFSET($AL$18,0,(LOG('(코어)데이터'!H34,2)-1)*3)-'(코어)데이터'!Y34&gt;0,'예아!'!$AD$23-'(코어)데이터'!AA34&gt;0)</f>
        <v>0</v>
      </c>
      <c r="Z15" s="95" t="b">
        <f ca="1">AND(OFFSET($AL$18,0,(LOG('(코어)데이터'!H34,2)-1)*3)-'(코어)데이터'!AC34&gt;0,'예아!'!$AD$23-'(코어)데이터'!AE34&gt;0)</f>
        <v>0</v>
      </c>
      <c r="AA15" s="95" t="b">
        <f ca="1">AND(OFFSET($AL$18,0,(LOG('(코어)데이터'!H34,2)-1)*3)-'(코어)데이터'!AG34&gt;0,'예아!'!$AD$23-'(코어)데이터'!AI34&gt;0)</f>
        <v>0</v>
      </c>
      <c r="AB15" s="95" t="b">
        <f ca="1">AND(OFFSET($AL$18,0,(LOG('(코어)데이터'!H34,2)-1)*3)-'(코어)데이터'!AK34&gt;0,'예아!'!$AD$23-'(코어)데이터'!AM34&gt;0)</f>
        <v>0</v>
      </c>
      <c r="AC15" s="67"/>
      <c r="AD15" s="69"/>
      <c r="AE15" s="91">
        <f>BillDVANCE!AD17</f>
        <v>1</v>
      </c>
      <c r="AF15" s="69"/>
      <c r="AG15" s="69"/>
      <c r="AH15" s="91" t="str">
        <f>IF(AND(VLOOKUP(BillDVANCE!E17,그래픽카드!B3:D200,3,FALSE)="AMD",AE15&lt;=1),"O","X")</f>
        <v>X</v>
      </c>
      <c r="AI15" s="69"/>
      <c r="AJ15" s="91" t="str">
        <f>IF(OR(AE15&lt;=1,AH15="O"),"X","O")</f>
        <v>X</v>
      </c>
      <c r="AK15" s="69"/>
      <c r="AL15" s="69">
        <f ca="1">OFFSET('(코어)데이터'!AS13,'예아!'!AE15,IF('예아!'!AH15="O",0,1))</f>
        <v>1</v>
      </c>
      <c r="AM15" s="69"/>
      <c r="AN15" s="69"/>
      <c r="AO15" s="536">
        <f>VLOOKUP(AD13,'(코어)데이터'!BS4:BT31,2,FALSE)</f>
        <v>0</v>
      </c>
      <c r="AP15" s="537"/>
      <c r="AQ15" s="71"/>
      <c r="AR15" s="536">
        <f>VLOOKUP(AD13,'(코어)데이터'!BS4:BU31,3,FALSE)</f>
        <v>0</v>
      </c>
      <c r="AS15" s="537"/>
      <c r="AT15" s="69"/>
      <c r="AU15" s="71"/>
      <c r="AV15" s="71"/>
      <c r="AW15" s="71"/>
      <c r="AX15" s="71"/>
      <c r="AY15" s="71"/>
      <c r="AZ15" s="71"/>
      <c r="BA15" s="71"/>
      <c r="BB15" s="71"/>
      <c r="BC15" s="71"/>
      <c r="BD15" s="69"/>
      <c r="BE15" s="67"/>
      <c r="BF15" s="67"/>
      <c r="BG15" s="67"/>
      <c r="BH15" s="67"/>
    </row>
    <row r="16" spans="1:60" ht="18" thickBot="1" x14ac:dyDescent="0.45">
      <c r="A16" s="67"/>
      <c r="B16" s="539" t="s">
        <v>1052</v>
      </c>
      <c r="C16" s="539"/>
      <c r="D16" s="539"/>
      <c r="E16" s="539"/>
      <c r="F16" s="95" t="b">
        <f ca="1">AND(OFFSET($AL$18,0,(LOG('(코어)데이터'!H15,2)-1)*3)-'(코어)데이터'!I15&gt;0,'예아!'!$AD$23-'(코어)데이터'!K15&gt;0)</f>
        <v>0</v>
      </c>
      <c r="G16" s="95" t="b">
        <f ca="1">AND(OFFSET($AL$18,0,(LOG('(코어)데이터'!H15,2)-1)*3)-'(코어)데이터'!M15&gt;0,'예아!'!$AD$23-'(코어)데이터'!O15&gt;0)</f>
        <v>0</v>
      </c>
      <c r="H16" s="95" t="b">
        <f ca="1">AND(OFFSET($AL$18,0,(LOG('(코어)데이터'!H15,2)-1)*3)-'(코어)데이터'!Q15&gt;0,'예아!'!$AD$23-'(코어)데이터'!S15&gt;0)</f>
        <v>0</v>
      </c>
      <c r="I16" s="95" t="b">
        <f ca="1">AND(OFFSET($AL$18,0,(LOG('(코어)데이터'!H15,2)-1)*3)-'(코어)데이터'!U15&gt;0,'예아!'!$AD$23-'(코어)데이터'!W15&gt;0)</f>
        <v>0</v>
      </c>
      <c r="J16" s="95" t="b">
        <f ca="1">AND(OFFSET($AL$18,0,(LOG('(코어)데이터'!H15,2)-1)*3)-'(코어)데이터'!Y15&gt;0,'예아!'!$AD$23-'(코어)데이터'!AA15&gt;0)</f>
        <v>0</v>
      </c>
      <c r="K16" s="95" t="b">
        <f ca="1">AND(OFFSET($AL$18,0,(LOG('(코어)데이터'!H15,2)-1)*3)-'(코어)데이터'!AC15&gt;0,'예아!'!$AD$23-'(코어)데이터'!AE15&gt;0)</f>
        <v>0</v>
      </c>
      <c r="L16" s="95" t="b">
        <f ca="1">AND(OFFSET($AL$18,0,(LOG('(코어)데이터'!H15,2)-1)*3)-'(코어)데이터'!AG15&gt;0,'예아!'!$AD$23-'(코어)데이터'!AI15&gt;0)</f>
        <v>0</v>
      </c>
      <c r="M16" s="95" t="b">
        <f ca="1">AND(OFFSET($AL$18,0,(LOG('(코어)데이터'!H15,2)-1)*3)-'(코어)데이터'!AK15&gt;0,'예아!'!$AD$23-'(코어)데이터'!AM15&gt;0)</f>
        <v>0</v>
      </c>
      <c r="N16" s="203" t="s">
        <v>1079</v>
      </c>
      <c r="O16" s="203"/>
      <c r="P16" s="203"/>
      <c r="Q16" s="203"/>
      <c r="R16" s="203"/>
      <c r="S16" s="203"/>
      <c r="T16" s="203"/>
      <c r="U16" s="95" t="b">
        <f ca="1">AND(OFFSET($AL$18,0,(LOG('(코어)데이터'!H35,2)-1)*3)-'(코어)데이터'!I35&gt;0,'예아!'!$AD$23-'(코어)데이터'!K35&gt;0)</f>
        <v>0</v>
      </c>
      <c r="V16" s="95" t="b">
        <f ca="1">AND(OFFSET($AL$18,0,(LOG('(코어)데이터'!H35,2)-1)*3)-'(코어)데이터'!M35&gt;0,'예아!'!$AD$23-'(코어)데이터'!O35&gt;0)</f>
        <v>0</v>
      </c>
      <c r="W16" s="95" t="b">
        <f ca="1">AND(OFFSET($AL$18,0,(LOG('(코어)데이터'!H35,2)-1)*3)-'(코어)데이터'!Q35&gt;0,'예아!'!$AD$23-'(코어)데이터'!S35&gt;0)</f>
        <v>0</v>
      </c>
      <c r="X16" s="95" t="b">
        <f ca="1">AND(OFFSET($AL$18,0,(LOG('(코어)데이터'!H35,2)-1)*3)-'(코어)데이터'!U35&gt;0,'예아!'!$AD$23-'(코어)데이터'!W35&gt;0)</f>
        <v>0</v>
      </c>
      <c r="Y16" s="95" t="b">
        <f ca="1">AND(OFFSET($AL$18,0,(LOG('(코어)데이터'!H35,2)-1)*3)-'(코어)데이터'!Y35&gt;0,'예아!'!$AD$23-'(코어)데이터'!AA35&gt;0)</f>
        <v>0</v>
      </c>
      <c r="Z16" s="95" t="b">
        <f ca="1">AND(OFFSET($AL$18,0,(LOG('(코어)데이터'!H35,2)-1)*3)-'(코어)데이터'!AC35&gt;0,'예아!'!$AD$23-'(코어)데이터'!AE35&gt;0)</f>
        <v>0</v>
      </c>
      <c r="AA16" s="95" t="b">
        <f ca="1">AND(OFFSET($AL$18,0,(LOG('(코어)데이터'!H35,2)-1)*3)-'(코어)데이터'!AG35&gt;0,'예아!'!$AD$23-'(코어)데이터'!AI35&gt;0)</f>
        <v>0</v>
      </c>
      <c r="AB16" s="95" t="b">
        <f ca="1">AND(OFFSET($AL$18,0,(LOG('(코어)데이터'!H35,2)-1)*3)-'(코어)데이터'!AK35&gt;0,'예아!'!$AD$23-'(코어)데이터'!AM35&gt;0)</f>
        <v>0</v>
      </c>
      <c r="AC16" s="67"/>
      <c r="AD16" s="73"/>
      <c r="AE16" s="73"/>
      <c r="AF16" s="73"/>
      <c r="AG16" s="73"/>
      <c r="AH16" s="73"/>
      <c r="AI16" s="73"/>
      <c r="AJ16" s="73"/>
      <c r="AK16" s="73"/>
      <c r="AL16" s="74"/>
      <c r="AM16" s="74"/>
      <c r="AN16" s="74"/>
      <c r="AO16" s="74"/>
      <c r="AP16" s="74"/>
      <c r="AQ16" s="74"/>
      <c r="AR16" s="74"/>
      <c r="AS16" s="74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69"/>
      <c r="BE16" s="67"/>
      <c r="BF16" s="67"/>
      <c r="BG16" s="67"/>
      <c r="BH16" s="67"/>
    </row>
    <row r="17" spans="1:60" ht="18" thickTop="1" x14ac:dyDescent="0.4">
      <c r="A17" s="67"/>
      <c r="B17" s="539" t="s">
        <v>1055</v>
      </c>
      <c r="C17" s="539"/>
      <c r="D17" s="539"/>
      <c r="E17" s="539"/>
      <c r="F17" s="95" t="b">
        <f ca="1">AND(OFFSET($AL$18,0,(LOG('(코어)데이터'!H16,2)-1)*3)-'(코어)데이터'!I16&gt;0,'예아!'!$AD$23-'(코어)데이터'!K16&gt;0)</f>
        <v>0</v>
      </c>
      <c r="G17" s="95" t="b">
        <f ca="1">AND(OFFSET($AL$18,0,(LOG('(코어)데이터'!H16,2)-1)*3)-'(코어)데이터'!M16&gt;0,'예아!'!$AD$23-'(코어)데이터'!O16&gt;0)</f>
        <v>0</v>
      </c>
      <c r="H17" s="95" t="b">
        <f ca="1">AND(OFFSET($AL$18,0,(LOG('(코어)데이터'!H16,2)-1)*3)-'(코어)데이터'!Q16&gt;0,'예아!'!$AD$23-'(코어)데이터'!S16&gt;0)</f>
        <v>0</v>
      </c>
      <c r="I17" s="95" t="b">
        <f ca="1">AND(OFFSET($AL$18,0,(LOG('(코어)데이터'!H16,2)-1)*3)-'(코어)데이터'!U16&gt;0,'예아!'!$AD$23-'(코어)데이터'!W16&gt;0)</f>
        <v>0</v>
      </c>
      <c r="J17" s="95" t="b">
        <f ca="1">AND(OFFSET($AL$18,0,(LOG('(코어)데이터'!H16,2)-1)*3)-'(코어)데이터'!Y16&gt;0,'예아!'!$AD$23-'(코어)데이터'!AA16&gt;0)</f>
        <v>0</v>
      </c>
      <c r="K17" s="95" t="b">
        <f ca="1">AND(OFFSET($AL$18,0,(LOG('(코어)데이터'!H16,2)-1)*3)-'(코어)데이터'!AC16&gt;0,'예아!'!$AD$23-'(코어)데이터'!AE16&gt;0)</f>
        <v>0</v>
      </c>
      <c r="L17" s="95" t="b">
        <f ca="1">AND(OFFSET($AL$18,0,(LOG('(코어)데이터'!H16,2)-1)*3)-'(코어)데이터'!AG16&gt;0,'예아!'!$AD$23-'(코어)데이터'!AI16&gt;0)</f>
        <v>0</v>
      </c>
      <c r="M17" s="95" t="b">
        <f ca="1">AND(OFFSET($AL$18,0,(LOG('(코어)데이터'!H16,2)-1)*3)-'(코어)데이터'!AK16&gt;0,'예아!'!$AD$23-'(코어)데이터'!AM16&gt;0)</f>
        <v>0</v>
      </c>
      <c r="N17" s="203" t="s">
        <v>3034</v>
      </c>
      <c r="O17" s="203"/>
      <c r="P17" s="203"/>
      <c r="Q17" s="203"/>
      <c r="R17" s="203"/>
      <c r="S17" s="203"/>
      <c r="T17" s="203"/>
      <c r="U17" s="95" t="b">
        <f ca="1">AND(OFFSET($AL$18,0,(LOG('(코어)데이터'!H36,2)-1)*3)-'(코어)데이터'!I36&gt;0,'예아!'!$AD$23-'(코어)데이터'!K36&gt;0)</f>
        <v>0</v>
      </c>
      <c r="V17" s="95" t="b">
        <f ca="1">AND(OFFSET($AL$18,0,(LOG('(코어)데이터'!H36,2)-1)*3)-'(코어)데이터'!M36&gt;0,'예아!'!$AD$23-'(코어)데이터'!O36&gt;0)</f>
        <v>0</v>
      </c>
      <c r="W17" s="95" t="b">
        <f ca="1">AND(OFFSET($AL$18,0,(LOG('(코어)데이터'!H36,2)-1)*3)-'(코어)데이터'!Q36&gt;0,'예아!'!$AD$23-'(코어)데이터'!S36&gt;0)</f>
        <v>0</v>
      </c>
      <c r="X17" s="95" t="b">
        <f ca="1">AND(OFFSET($AL$18,0,(LOG('(코어)데이터'!H36,2)-1)*3)-'(코어)데이터'!U36&gt;0,'예아!'!$AD$23-'(코어)데이터'!W36&gt;0)</f>
        <v>0</v>
      </c>
      <c r="Y17" s="95" t="b">
        <f ca="1">AND(OFFSET($AL$18,0,(LOG('(코어)데이터'!H36,2)-1)*3)-'(코어)데이터'!Y36&gt;0,'예아!'!$AD$23-'(코어)데이터'!AA36&gt;0)</f>
        <v>0</v>
      </c>
      <c r="Z17" s="95" t="b">
        <f ca="1">AND(OFFSET($AL$18,0,(LOG('(코어)데이터'!H36,2)-1)*3)-'(코어)데이터'!AC36&gt;0,'예아!'!$AD$23-'(코어)데이터'!AE36&gt;0)</f>
        <v>0</v>
      </c>
      <c r="AA17" s="95" t="b">
        <f ca="1">AND(OFFSET($AL$18,0,(LOG('(코어)데이터'!H36,2)-1)*3)-'(코어)데이터'!AG36&gt;0,'예아!'!$AD$23-'(코어)데이터'!AI36&gt;0)</f>
        <v>0</v>
      </c>
      <c r="AB17" s="95" t="b">
        <f ca="1">AND(OFFSET($AL$18,0,(LOG('(코어)데이터'!H36,2)-1)*3)-'(코어)데이터'!AK36&gt;0,'예아!'!$AD$23-'(코어)데이터'!AM36&gt;0)</f>
        <v>0</v>
      </c>
      <c r="AC17" s="67"/>
      <c r="AD17" s="69" t="s">
        <v>1244</v>
      </c>
      <c r="AE17" s="69"/>
      <c r="AF17" s="69"/>
      <c r="AG17" s="69"/>
      <c r="AH17" s="69"/>
      <c r="AI17" s="69"/>
      <c r="AJ17" s="72" t="s">
        <v>1248</v>
      </c>
      <c r="AK17" s="69"/>
      <c r="AL17" s="71" t="s">
        <v>1249</v>
      </c>
      <c r="AM17" s="71"/>
      <c r="AN17" s="71"/>
      <c r="AO17" s="71" t="s">
        <v>1250</v>
      </c>
      <c r="AP17" s="71"/>
      <c r="AQ17" s="67"/>
      <c r="AR17" s="71" t="s">
        <v>1251</v>
      </c>
      <c r="AS17" s="71"/>
      <c r="AT17" s="67"/>
      <c r="AU17" s="204"/>
      <c r="AV17" s="67"/>
      <c r="AW17" s="67"/>
      <c r="AX17" s="67"/>
      <c r="AY17" s="67"/>
      <c r="AZ17" s="67"/>
      <c r="BA17" s="67"/>
      <c r="BB17" s="67"/>
      <c r="BC17" s="67"/>
      <c r="BD17" s="69"/>
      <c r="BE17" s="67"/>
      <c r="BF17" s="67"/>
      <c r="BG17" s="67"/>
      <c r="BH17" s="67"/>
    </row>
    <row r="18" spans="1:60" x14ac:dyDescent="0.4">
      <c r="A18" s="67"/>
      <c r="B18" s="539" t="s">
        <v>1057</v>
      </c>
      <c r="C18" s="539"/>
      <c r="D18" s="539"/>
      <c r="E18" s="539"/>
      <c r="F18" s="95" t="b">
        <f ca="1">AND(OFFSET($AL$18,0,(LOG('(코어)데이터'!H17,2)-1)*3)-'(코어)데이터'!I17&gt;0,'예아!'!$AD$23-'(코어)데이터'!K17&gt;0)</f>
        <v>0</v>
      </c>
      <c r="G18" s="95" t="b">
        <f ca="1">AND(OFFSET($AL$18,0,(LOG('(코어)데이터'!H17,2)-1)*3)-'(코어)데이터'!M17&gt;0,'예아!'!$AD$23-'(코어)데이터'!O17&gt;0)</f>
        <v>0</v>
      </c>
      <c r="H18" s="95" t="b">
        <f ca="1">AND(OFFSET($AL$18,0,(LOG('(코어)데이터'!H17,2)-1)*3)-'(코어)데이터'!Q17&gt;0,'예아!'!$AD$23-'(코어)데이터'!S17&gt;0)</f>
        <v>0</v>
      </c>
      <c r="I18" s="95" t="b">
        <f ca="1">AND(OFFSET($AL$18,0,(LOG('(코어)데이터'!H17,2)-1)*3)-'(코어)데이터'!U17&gt;0,'예아!'!$AD$23-'(코어)데이터'!W17&gt;0)</f>
        <v>0</v>
      </c>
      <c r="J18" s="95" t="b">
        <f ca="1">AND(OFFSET($AL$18,0,(LOG('(코어)데이터'!H17,2)-1)*3)-'(코어)데이터'!Y17&gt;0,'예아!'!$AD$23-'(코어)데이터'!AA17&gt;0)</f>
        <v>0</v>
      </c>
      <c r="K18" s="95" t="b">
        <f ca="1">AND(OFFSET($AL$18,0,(LOG('(코어)데이터'!H17,2)-1)*3)-'(코어)데이터'!AC17&gt;0,'예아!'!$AD$23-'(코어)데이터'!AE17&gt;0)</f>
        <v>0</v>
      </c>
      <c r="L18" s="95" t="b">
        <f ca="1">AND(OFFSET($AL$18,0,(LOG('(코어)데이터'!H17,2)-1)*3)-'(코어)데이터'!AG17&gt;0,'예아!'!$AD$23-'(코어)데이터'!AI17&gt;0)</f>
        <v>0</v>
      </c>
      <c r="M18" s="95" t="b">
        <f ca="1">AND(OFFSET($AL$18,0,(LOG('(코어)데이터'!H17,2)-1)*3)-'(코어)데이터'!AK17&gt;0,'예아!'!$AD$23-'(코어)데이터'!AM17&gt;0)</f>
        <v>0</v>
      </c>
      <c r="N18" s="203" t="s">
        <v>3035</v>
      </c>
      <c r="O18" s="203"/>
      <c r="P18" s="203"/>
      <c r="Q18" s="203"/>
      <c r="R18" s="203"/>
      <c r="S18" s="203"/>
      <c r="T18" s="203"/>
      <c r="U18" s="95" t="b">
        <f ca="1">AND(OFFSET($AL$18,0,(LOG('(코어)데이터'!H37,2)-1)*3)-'(코어)데이터'!I37&gt;0,'예아!'!$AD$23-'(코어)데이터'!K37&gt;0)</f>
        <v>0</v>
      </c>
      <c r="V18" s="95" t="b">
        <f ca="1">AND(OFFSET($AL$18,0,(LOG('(코어)데이터'!H37,2)-1)*3)-'(코어)데이터'!M37&gt;0,'예아!'!$AD$23-'(코어)데이터'!O37&gt;0)</f>
        <v>0</v>
      </c>
      <c r="W18" s="95" t="b">
        <f ca="1">AND(OFFSET($AL$18,0,(LOG('(코어)데이터'!H37,2)-1)*3)-'(코어)데이터'!Q37&gt;0,'예아!'!$AD$23-'(코어)데이터'!S37&gt;0)</f>
        <v>0</v>
      </c>
      <c r="X18" s="95" t="b">
        <f ca="1">AND(OFFSET($AL$18,0,(LOG('(코어)데이터'!H37,2)-1)*3)-'(코어)데이터'!U37&gt;0,'예아!'!$AD$23-'(코어)데이터'!W37&gt;0)</f>
        <v>0</v>
      </c>
      <c r="Y18" s="95" t="b">
        <f ca="1">AND(OFFSET($AL$18,0,(LOG('(코어)데이터'!H37,2)-1)*3)-'(코어)데이터'!Y37&gt;0,'예아!'!$AD$23-'(코어)데이터'!AA37&gt;0)</f>
        <v>0</v>
      </c>
      <c r="Z18" s="95" t="b">
        <f ca="1">AND(OFFSET($AL$18,0,(LOG('(코어)데이터'!H37,2)-1)*3)-'(코어)데이터'!AC37&gt;0,'예아!'!$AD$23-'(코어)데이터'!AE37&gt;0)</f>
        <v>0</v>
      </c>
      <c r="AA18" s="95" t="b">
        <f ca="1">AND(OFFSET($AL$18,0,(LOG('(코어)데이터'!H37,2)-1)*3)-'(코어)데이터'!AG37&gt;0,'예아!'!$AD$23-'(코어)데이터'!AI37&gt;0)</f>
        <v>0</v>
      </c>
      <c r="AB18" s="95" t="b">
        <f ca="1">AND(OFFSET($AL$18,0,(LOG('(코어)데이터'!H37,2)-1)*3)-'(코어)데이터'!AK37&gt;0,'예아!'!$AD$23-'(코어)데이터'!AM37&gt;0)</f>
        <v>0</v>
      </c>
      <c r="AC18" s="67"/>
      <c r="AD18" s="71"/>
      <c r="AE18" s="71"/>
      <c r="AF18" s="69"/>
      <c r="AG18" s="69"/>
      <c r="AH18" s="69"/>
      <c r="AI18" s="69"/>
      <c r="AJ18" s="69"/>
      <c r="AK18" s="69"/>
      <c r="AL18" s="541">
        <f>IF(ISNA(VLOOKUP(AD8,'(코어)데이터'!BD4:BF52,3,FALSE)),0,VLOOKUP(AD8,'(코어)데이터'!BD4:BF52,3,FALSE)*IF(ISNUMBER(AR8),AR8/AV8,1))</f>
        <v>0</v>
      </c>
      <c r="AM18" s="542"/>
      <c r="AN18" s="71"/>
      <c r="AO18" s="541">
        <f>IF(ISNA(VLOOKUP(AD8,'(코어)데이터'!BG4:BI52,3,FALSE)),0,VLOOKUP(AD8,'(코어)데이터'!BG4:BI52,3,FALSE)*IF(ISNUMBER(AR8),AR8/AV8,1))</f>
        <v>0</v>
      </c>
      <c r="AP18" s="542"/>
      <c r="AQ18" s="71"/>
      <c r="AR18" s="541">
        <f>IF(ISNA(VLOOKUP(AD8,'(코어)데이터'!BJ4:BL52,3,FALSE)),0,VLOOKUP(AD8,'(코어)데이터'!BJ4:BL52,3,FALSE)*IF(ISNUMBER(AR8),AR8/AV8,1))</f>
        <v>0</v>
      </c>
      <c r="AS18" s="542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</row>
    <row r="19" spans="1:60" ht="18" thickBot="1" x14ac:dyDescent="0.45">
      <c r="A19" s="67"/>
      <c r="B19" s="540" t="s">
        <v>1095</v>
      </c>
      <c r="C19" s="540"/>
      <c r="D19" s="540"/>
      <c r="E19" s="540"/>
      <c r="F19" s="95" t="b">
        <f ca="1">AND(OFFSET($AL$18,0,(LOG('(코어)데이터'!H18,2)-1)*3)-'(코어)데이터'!I18&gt;0,'예아!'!$AD$23-'(코어)데이터'!K18&gt;0)</f>
        <v>0</v>
      </c>
      <c r="G19" s="95" t="b">
        <f ca="1">AND(OFFSET($AL$18,0,(LOG('(코어)데이터'!H18,2)-1)*3)-'(코어)데이터'!M18&gt;0,'예아!'!$AD$23-'(코어)데이터'!O18&gt;0)</f>
        <v>0</v>
      </c>
      <c r="H19" s="95" t="b">
        <f ca="1">AND(OFFSET($AL$18,0,(LOG('(코어)데이터'!H18,2)-1)*3)-'(코어)데이터'!Q18&gt;0,'예아!'!$AD$23-'(코어)데이터'!S18&gt;0)</f>
        <v>0</v>
      </c>
      <c r="I19" s="95" t="b">
        <f ca="1">AND(OFFSET($AL$18,0,(LOG('(코어)데이터'!H18,2)-1)*3)-'(코어)데이터'!U18&gt;0,'예아!'!$AD$23-'(코어)데이터'!W18&gt;0)</f>
        <v>0</v>
      </c>
      <c r="J19" s="95" t="b">
        <f ca="1">AND(OFFSET($AL$18,0,(LOG('(코어)데이터'!H18,2)-1)*3)-'(코어)데이터'!Y18&gt;0,'예아!'!$AD$23-'(코어)데이터'!AA18&gt;0)</f>
        <v>0</v>
      </c>
      <c r="K19" s="95" t="b">
        <f ca="1">AND(OFFSET($AL$18,0,(LOG('(코어)데이터'!H18,2)-1)*3)-'(코어)데이터'!AC18&gt;0,'예아!'!$AD$23-'(코어)데이터'!AE18&gt;0)</f>
        <v>0</v>
      </c>
      <c r="L19" s="95" t="b">
        <f ca="1">AND(OFFSET($AL$18,0,(LOG('(코어)데이터'!H18,2)-1)*3)-'(코어)데이터'!AG18&gt;0,'예아!'!$AD$23-'(코어)데이터'!AI18&gt;0)</f>
        <v>0</v>
      </c>
      <c r="M19" s="95" t="b">
        <f ca="1">AND(OFFSET($AL$18,0,(LOG('(코어)데이터'!H18,2)-1)*3)-'(코어)데이터'!AK18&gt;0,'예아!'!$AD$23-'(코어)데이터'!AM18&gt;0)</f>
        <v>0</v>
      </c>
      <c r="N19" s="203" t="s">
        <v>1085</v>
      </c>
      <c r="O19" s="203"/>
      <c r="P19" s="203"/>
      <c r="Q19" s="203"/>
      <c r="R19" s="203"/>
      <c r="S19" s="203"/>
      <c r="T19" s="203"/>
      <c r="U19" s="95" t="b">
        <f ca="1">AND(OFFSET($AL$18,0,(LOG('(코어)데이터'!H38,2)-1)*3)-'(코어)데이터'!I38&gt;0,'예아!'!$AD$23-'(코어)데이터'!K38&gt;0)</f>
        <v>0</v>
      </c>
      <c r="V19" s="95" t="b">
        <f ca="1">AND(OFFSET($AL$18,0,(LOG('(코어)데이터'!H38,2)-1)*3)-'(코어)데이터'!M38&gt;0,'예아!'!$AD$23-'(코어)데이터'!O38&gt;0)</f>
        <v>0</v>
      </c>
      <c r="W19" s="95" t="b">
        <f ca="1">AND(OFFSET($AL$18,0,(LOG('(코어)데이터'!H38,2)-1)*3)-'(코어)데이터'!Q38&gt;0,'예아!'!$AD$23-'(코어)데이터'!S38&gt;0)</f>
        <v>0</v>
      </c>
      <c r="X19" s="95" t="b">
        <f ca="1">AND(OFFSET($AL$18,0,(LOG('(코어)데이터'!H38,2)-1)*3)-'(코어)데이터'!U38&gt;0,'예아!'!$AD$23-'(코어)데이터'!W38&gt;0)</f>
        <v>0</v>
      </c>
      <c r="Y19" s="95" t="b">
        <f ca="1">AND(OFFSET($AL$18,0,(LOG('(코어)데이터'!H38,2)-1)*3)-'(코어)데이터'!Y38&gt;0,'예아!'!$AD$23-'(코어)데이터'!AA38&gt;0)</f>
        <v>0</v>
      </c>
      <c r="Z19" s="95" t="b">
        <f ca="1">AND(OFFSET($AL$18,0,(LOG('(코어)데이터'!H38,2)-1)*3)-'(코어)데이터'!AC38&gt;0,'예아!'!$AD$23-'(코어)데이터'!AE38&gt;0)</f>
        <v>0</v>
      </c>
      <c r="AA19" s="95" t="b">
        <f ca="1">AND(OFFSET($AL$18,0,(LOG('(코어)데이터'!H38,2)-1)*3)-'(코어)데이터'!AG38&gt;0,'예아!'!$AD$23-'(코어)데이터'!AI38&gt;0)</f>
        <v>0</v>
      </c>
      <c r="AB19" s="95" t="b">
        <f ca="1">AND(OFFSET($AL$18,0,(LOG('(코어)데이터'!H38,2)-1)*3)-'(코어)데이터'!AK38&gt;0,'예아!'!$AD$23-'(코어)데이터'!AM38&gt;0)</f>
        <v>0</v>
      </c>
      <c r="AC19" s="67"/>
      <c r="AD19" s="73"/>
      <c r="AE19" s="73"/>
      <c r="AF19" s="73"/>
      <c r="AG19" s="73"/>
      <c r="AH19" s="73"/>
      <c r="AI19" s="73"/>
      <c r="AJ19" s="73"/>
      <c r="AK19" s="73"/>
      <c r="AL19" s="74">
        <v>0</v>
      </c>
      <c r="AM19" s="74"/>
      <c r="AN19" s="74"/>
      <c r="AO19" s="74"/>
      <c r="AP19" s="74"/>
      <c r="AQ19" s="74"/>
      <c r="AR19" s="74"/>
      <c r="AS19" s="74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67"/>
      <c r="BE19" s="67"/>
      <c r="BF19" s="67"/>
      <c r="BG19" s="67"/>
      <c r="BH19" s="67"/>
    </row>
    <row r="20" spans="1:60" ht="18" thickTop="1" x14ac:dyDescent="0.4">
      <c r="A20" s="67"/>
      <c r="B20" s="539" t="s">
        <v>1051</v>
      </c>
      <c r="C20" s="539"/>
      <c r="D20" s="539"/>
      <c r="E20" s="539"/>
      <c r="F20" s="95" t="b">
        <f ca="1">AND(OFFSET($AL$18,0,(LOG('(코어)데이터'!H19,2)-1)*3)-'(코어)데이터'!I19&gt;0,'예아!'!$AD$23-'(코어)데이터'!K19&gt;0)</f>
        <v>0</v>
      </c>
      <c r="G20" s="95" t="b">
        <f ca="1">AND(OFFSET($AL$18,0,(LOG('(코어)데이터'!H19,2)-1)*3)-'(코어)데이터'!M19&gt;0,'예아!'!$AD$23-'(코어)데이터'!O19&gt;0)</f>
        <v>0</v>
      </c>
      <c r="H20" s="95" t="b">
        <f ca="1">AND(OFFSET($AL$18,0,(LOG('(코어)데이터'!H19,2)-1)*3)-'(코어)데이터'!Q19&gt;0,'예아!'!$AD$23-'(코어)데이터'!S19&gt;0)</f>
        <v>0</v>
      </c>
      <c r="I20" s="95" t="b">
        <f ca="1">AND(OFFSET($AL$18,0,(LOG('(코어)데이터'!H19,2)-1)*3)-'(코어)데이터'!U19&gt;0,'예아!'!$AD$23-'(코어)데이터'!W19&gt;0)</f>
        <v>0</v>
      </c>
      <c r="J20" s="95" t="b">
        <f ca="1">AND(OFFSET($AL$18,0,(LOG('(코어)데이터'!H19,2)-1)*3)-'(코어)데이터'!Y19&gt;0,'예아!'!$AD$23-'(코어)데이터'!AA19&gt;0)</f>
        <v>0</v>
      </c>
      <c r="K20" s="95" t="b">
        <f ca="1">AND(OFFSET($AL$18,0,(LOG('(코어)데이터'!H19,2)-1)*3)-'(코어)데이터'!AC19&gt;0,'예아!'!$AD$23-'(코어)데이터'!AE19&gt;0)</f>
        <v>0</v>
      </c>
      <c r="L20" s="95" t="b">
        <f ca="1">AND(OFFSET($AL$18,0,(LOG('(코어)데이터'!H19,2)-1)*3)-'(코어)데이터'!AG19&gt;0,'예아!'!$AD$23-'(코어)데이터'!AI19&gt;0)</f>
        <v>0</v>
      </c>
      <c r="M20" s="95" t="b">
        <f ca="1">AND(OFFSET($AL$18,0,(LOG('(코어)데이터'!H19,2)-1)*3)-'(코어)데이터'!AK19&gt;0,'예아!'!$AD$23-'(코어)데이터'!AM19&gt;0)</f>
        <v>0</v>
      </c>
      <c r="N20" s="203" t="s">
        <v>1098</v>
      </c>
      <c r="O20" s="203"/>
      <c r="P20" s="203"/>
      <c r="Q20" s="203"/>
      <c r="R20" s="203"/>
      <c r="S20" s="203"/>
      <c r="T20" s="203"/>
      <c r="U20" s="95" t="b">
        <f ca="1">AND(OFFSET($AL$18,0,(LOG('(코어)데이터'!H39,2)-1)*3)-'(코어)데이터'!I39&gt;0,'예아!'!$AD$23-'(코어)데이터'!K39&gt;0)</f>
        <v>0</v>
      </c>
      <c r="V20" s="95" t="b">
        <f ca="1">AND(OFFSET($AL$18,0,(LOG('(코어)데이터'!H39,2)-1)*3)-'(코어)데이터'!M39&gt;0,'예아!'!$AD$23-'(코어)데이터'!O39&gt;0)</f>
        <v>0</v>
      </c>
      <c r="W20" s="95" t="b">
        <f ca="1">AND(OFFSET($AL$18,0,(LOG('(코어)데이터'!H39,2)-1)*3)-'(코어)데이터'!Q39&gt;0,'예아!'!$AD$23-'(코어)데이터'!S39&gt;0)</f>
        <v>0</v>
      </c>
      <c r="X20" s="95" t="b">
        <f ca="1">AND(OFFSET($AL$18,0,(LOG('(코어)데이터'!H39,2)-1)*3)-'(코어)데이터'!U39&gt;0,'예아!'!$AD$23-'(코어)데이터'!W39&gt;0)</f>
        <v>0</v>
      </c>
      <c r="Y20" s="95" t="b">
        <f ca="1">AND(OFFSET($AL$18,0,(LOG('(코어)데이터'!H39,2)-1)*3)-'(코어)데이터'!Y39&gt;0,'예아!'!$AD$23-'(코어)데이터'!AA39&gt;0)</f>
        <v>0</v>
      </c>
      <c r="Z20" s="95" t="b">
        <f ca="1">AND(OFFSET($AL$18,0,(LOG('(코어)데이터'!H39,2)-1)*3)-'(코어)데이터'!AC39&gt;0,'예아!'!$AD$23-'(코어)데이터'!AE39&gt;0)</f>
        <v>0</v>
      </c>
      <c r="AA20" s="95" t="b">
        <f ca="1">AND(OFFSET($AL$18,0,(LOG('(코어)데이터'!H39,2)-1)*3)-'(코어)데이터'!AG39&gt;0,'예아!'!$AD$23-'(코어)데이터'!AI39&gt;0)</f>
        <v>0</v>
      </c>
      <c r="AB20" s="95" t="b">
        <f ca="1">AND(OFFSET($AL$18,0,(LOG('(코어)데이터'!H39,2)-1)*3)-'(코어)데이터'!AK39&gt;0,'예아!'!$AD$23-'(코어)데이터'!AM39&gt;0)</f>
        <v>0</v>
      </c>
      <c r="AC20" s="67"/>
      <c r="AD20" s="69" t="s">
        <v>1245</v>
      </c>
      <c r="AE20" s="69"/>
      <c r="AF20" s="69"/>
      <c r="AG20" s="69"/>
      <c r="AH20" s="69"/>
      <c r="AI20" s="69"/>
      <c r="AJ20" s="69"/>
      <c r="AK20" s="69"/>
      <c r="AL20" s="69" t="s">
        <v>1246</v>
      </c>
      <c r="AM20" s="69"/>
      <c r="AN20" s="69"/>
      <c r="AO20" s="69"/>
      <c r="AP20" s="69"/>
      <c r="AQ20" s="71"/>
      <c r="AR20" s="71"/>
      <c r="AS20" s="7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</row>
    <row r="21" spans="1:60" x14ac:dyDescent="0.4">
      <c r="A21" s="67"/>
      <c r="B21" s="539" t="s">
        <v>1121</v>
      </c>
      <c r="C21" s="539"/>
      <c r="D21" s="539"/>
      <c r="E21" s="539"/>
      <c r="F21" s="95" t="b">
        <f ca="1">AND(OFFSET($AL$18,0,(LOG('(코어)데이터'!H20,2)-1)*3)-'(코어)데이터'!I20&gt;0,'예아!'!$AD$23-'(코어)데이터'!K20&gt;0)</f>
        <v>0</v>
      </c>
      <c r="G21" s="95" t="b">
        <f ca="1">AND(OFFSET($AL$18,0,(LOG('(코어)데이터'!H20,2)-1)*3)-'(코어)데이터'!M20&gt;0,'예아!'!$AD$23-'(코어)데이터'!O20&gt;0)</f>
        <v>0</v>
      </c>
      <c r="H21" s="95" t="b">
        <f ca="1">AND(OFFSET($AL$18,0,(LOG('(코어)데이터'!H20,2)-1)*3)-'(코어)데이터'!Q20&gt;0,'예아!'!$AD$23-'(코어)데이터'!S20&gt;0)</f>
        <v>0</v>
      </c>
      <c r="I21" s="95" t="b">
        <f ca="1">AND(OFFSET($AL$18,0,(LOG('(코어)데이터'!H20,2)-1)*3)-'(코어)데이터'!U20&gt;0,'예아!'!$AD$23-'(코어)데이터'!W20&gt;0)</f>
        <v>0</v>
      </c>
      <c r="J21" s="95" t="b">
        <f ca="1">AND(OFFSET($AL$18,0,(LOG('(코어)데이터'!H20,2)-1)*3)-'(코어)데이터'!Y20&gt;0,'예아!'!$AD$23-'(코어)데이터'!AA20&gt;0)</f>
        <v>0</v>
      </c>
      <c r="K21" s="95" t="b">
        <f ca="1">AND(OFFSET($AL$18,0,(LOG('(코어)데이터'!H20,2)-1)*3)-'(코어)데이터'!AC20&gt;0,'예아!'!$AD$23-'(코어)데이터'!AE20&gt;0)</f>
        <v>0</v>
      </c>
      <c r="L21" s="95" t="b">
        <f ca="1">AND(OFFSET($AL$18,0,(LOG('(코어)데이터'!H20,2)-1)*3)-'(코어)데이터'!AG20&gt;0,'예아!'!$AD$23-'(코어)데이터'!AI20&gt;0)</f>
        <v>0</v>
      </c>
      <c r="M21" s="95" t="b">
        <f ca="1">AND(OFFSET($AL$18,0,(LOG('(코어)데이터'!H20,2)-1)*3)-'(코어)데이터'!AK20&gt;0,'예아!'!$AD$23-'(코어)데이터'!AM20&gt;0)</f>
        <v>0</v>
      </c>
      <c r="N21" s="203" t="s">
        <v>1091</v>
      </c>
      <c r="O21" s="203"/>
      <c r="P21" s="203"/>
      <c r="Q21" s="203"/>
      <c r="R21" s="203"/>
      <c r="S21" s="203"/>
      <c r="T21" s="203"/>
      <c r="U21" s="95" t="b">
        <f ca="1">AND(OFFSET($AL$18,0,(LOG('(코어)데이터'!H40,2)-1)*3)-'(코어)데이터'!I40&gt;0,'예아!'!$AD$23-'(코어)데이터'!K40&gt;0)</f>
        <v>0</v>
      </c>
      <c r="V21" s="95" t="b">
        <f ca="1">AND(OFFSET($AL$18,0,(LOG('(코어)데이터'!H40,2)-1)*3)-'(코어)데이터'!M40&gt;0,'예아!'!$AD$23-'(코어)데이터'!O40&gt;0)</f>
        <v>0</v>
      </c>
      <c r="W21" s="95" t="b">
        <f ca="1">AND(OFFSET($AL$18,0,(LOG('(코어)데이터'!H40,2)-1)*3)-'(코어)데이터'!Q40&gt;0,'예아!'!$AD$23-'(코어)데이터'!S40&gt;0)</f>
        <v>0</v>
      </c>
      <c r="X21" s="95" t="b">
        <f ca="1">AND(OFFSET($AL$18,0,(LOG('(코어)데이터'!H40,2)-1)*3)-'(코어)데이터'!U40&gt;0,'예아!'!$AD$23-'(코어)데이터'!W40&gt;0)</f>
        <v>0</v>
      </c>
      <c r="Y21" s="95" t="b">
        <f ca="1">AND(OFFSET($AL$18,0,(LOG('(코어)데이터'!H40,2)-1)*3)-'(코어)데이터'!Y40&gt;0,'예아!'!$AD$23-'(코어)데이터'!AA40&gt;0)</f>
        <v>0</v>
      </c>
      <c r="Z21" s="95" t="b">
        <f ca="1">AND(OFFSET($AL$18,0,(LOG('(코어)데이터'!H40,2)-1)*3)-'(코어)데이터'!AC40&gt;0,'예아!'!$AD$23-'(코어)데이터'!AE40&gt;0)</f>
        <v>0</v>
      </c>
      <c r="AA21" s="95" t="b">
        <f ca="1">AND(OFFSET($AL$18,0,(LOG('(코어)데이터'!H40,2)-1)*3)-'(코어)데이터'!AG40&gt;0,'예아!'!$AD$23-'(코어)데이터'!AI40&gt;0)</f>
        <v>0</v>
      </c>
      <c r="AB21" s="95" t="b">
        <f ca="1">AND(OFFSET($AL$18,0,(LOG('(코어)데이터'!H40,2)-1)*3)-'(코어)데이터'!AK40&gt;0,'예아!'!$AD$23-'(코어)데이터'!AM40&gt;0)</f>
        <v>0</v>
      </c>
      <c r="AC21" s="67"/>
      <c r="AD21" s="536">
        <f>IF(ISNA(VLOOKUP(AD10,'(코어)데이터'!BN4:BQ14,4,FALSE) * AY10/AT10),0,VLOOKUP(AD10,'(코어)데이터'!BN4:BQ14,4,FALSE) * AY10/AT10)</f>
        <v>0</v>
      </c>
      <c r="AE21" s="537"/>
      <c r="AF21" s="69"/>
      <c r="AG21" s="69"/>
      <c r="AH21" s="69"/>
      <c r="AI21" s="69"/>
      <c r="AJ21" s="69"/>
      <c r="AK21" s="69"/>
      <c r="AL21" s="536">
        <f ca="1">IF(ISNA(VLOOKUP(AD13,'(코어)데이터'!BS4:BV30,4,FALSE)*(AO13/AO15)*(AR13/AR15)*AL15),0,VLOOKUP(AD13,'(코어)데이터'!BS4:BV30,4,FALSE)*(AO13/AO15)*(AR13/AR15)*AL15)</f>
        <v>0</v>
      </c>
      <c r="AM21" s="537"/>
      <c r="AN21" s="69"/>
      <c r="AO21" s="69"/>
      <c r="AP21" s="69"/>
      <c r="AQ21" s="71"/>
      <c r="AR21" s="71"/>
      <c r="AS21" s="7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</row>
    <row r="22" spans="1:60" x14ac:dyDescent="0.4">
      <c r="A22" s="67"/>
      <c r="B22" s="539" t="s">
        <v>2995</v>
      </c>
      <c r="C22" s="539"/>
      <c r="D22" s="539"/>
      <c r="E22" s="539"/>
      <c r="F22" s="95" t="b">
        <f ca="1">AND(OFFSET($AL$18,0,(LOG('(코어)데이터'!H21,2)-1)*3)-'(코어)데이터'!I21&gt;0,'예아!'!$AD$23-'(코어)데이터'!K21&gt;0)</f>
        <v>0</v>
      </c>
      <c r="G22" s="95" t="b">
        <f ca="1">AND(OFFSET($AL$18,0,(LOG('(코어)데이터'!H21,2)-1)*3)-'(코어)데이터'!M21&gt;0,'예아!'!$AD$23-'(코어)데이터'!O21&gt;0)</f>
        <v>0</v>
      </c>
      <c r="H22" s="95" t="b">
        <f ca="1">AND(OFFSET($AL$18,0,(LOG('(코어)데이터'!H21,2)-1)*3)-'(코어)데이터'!Q21&gt;0,'예아!'!$AD$23-'(코어)데이터'!S21&gt;0)</f>
        <v>0</v>
      </c>
      <c r="I22" s="95" t="b">
        <f ca="1">AND(OFFSET($AL$18,0,(LOG('(코어)데이터'!H21,2)-1)*3)-'(코어)데이터'!U21&gt;0,'예아!'!$AD$23-'(코어)데이터'!W21&gt;0)</f>
        <v>0</v>
      </c>
      <c r="J22" s="95" t="b">
        <f ca="1">AND(OFFSET($AL$18,0,(LOG('(코어)데이터'!H21,2)-1)*3)-'(코어)데이터'!Y21&gt;0,'예아!'!$AD$23-'(코어)데이터'!AA21&gt;0)</f>
        <v>0</v>
      </c>
      <c r="K22" s="95" t="b">
        <f ca="1">AND(OFFSET($AL$18,0,(LOG('(코어)데이터'!H21,2)-1)*3)-'(코어)데이터'!AC21&gt;0,'예아!'!$AD$23-'(코어)데이터'!AE21&gt;0)</f>
        <v>0</v>
      </c>
      <c r="L22" s="95" t="b">
        <f ca="1">AND(OFFSET($AL$18,0,(LOG('(코어)데이터'!H21,2)-1)*3)-'(코어)데이터'!AG21&gt;0,'예아!'!$AD$23-'(코어)데이터'!AI21&gt;0)</f>
        <v>0</v>
      </c>
      <c r="M22" s="95" t="b">
        <f ca="1">AND(OFFSET($AL$18,0,(LOG('(코어)데이터'!H21,2)-1)*3)-'(코어)데이터'!AK21&gt;0,'예아!'!$AD$23-'(코어)데이터'!AM21&gt;0)</f>
        <v>0</v>
      </c>
      <c r="N22" s="203" t="s">
        <v>1089</v>
      </c>
      <c r="O22" s="203"/>
      <c r="P22" s="203"/>
      <c r="Q22" s="203"/>
      <c r="R22" s="203"/>
      <c r="S22" s="203"/>
      <c r="T22" s="203"/>
      <c r="U22" s="95" t="b">
        <f ca="1">AND(OFFSET($AL$18,0,(LOG('(코어)데이터'!H41,2)-1)*3)-'(코어)데이터'!I41&gt;0,'예아!'!$AD$23-'(코어)데이터'!K41&gt;0)</f>
        <v>0</v>
      </c>
      <c r="V22" s="95" t="b">
        <f ca="1">AND(OFFSET($AL$18,0,(LOG('(코어)데이터'!H41,2)-1)*3)-'(코어)데이터'!M41&gt;0,'예아!'!$AD$23-'(코어)데이터'!O41&gt;0)</f>
        <v>0</v>
      </c>
      <c r="W22" s="95" t="b">
        <f ca="1">AND(OFFSET($AL$18,0,(LOG('(코어)데이터'!H41,2)-1)*3)-'(코어)데이터'!Q41&gt;0,'예아!'!$AD$23-'(코어)데이터'!S41&gt;0)</f>
        <v>0</v>
      </c>
      <c r="X22" s="95" t="b">
        <f ca="1">AND(OFFSET($AL$18,0,(LOG('(코어)데이터'!H41,2)-1)*3)-'(코어)데이터'!U41&gt;0,'예아!'!$AD$23-'(코어)데이터'!W41&gt;0)</f>
        <v>0</v>
      </c>
      <c r="Y22" s="95" t="b">
        <f ca="1">AND(OFFSET($AL$18,0,(LOG('(코어)데이터'!H41,2)-1)*3)-'(코어)데이터'!Y41&gt;0,'예아!'!$AD$23-'(코어)데이터'!AA41&gt;0)</f>
        <v>0</v>
      </c>
      <c r="Z22" s="95" t="b">
        <f ca="1">AND(OFFSET($AL$18,0,(LOG('(코어)데이터'!H41,2)-1)*3)-'(코어)데이터'!AC41&gt;0,'예아!'!$AD$23-'(코어)데이터'!AE41&gt;0)</f>
        <v>0</v>
      </c>
      <c r="AA22" s="95" t="b">
        <f ca="1">AND(OFFSET($AL$18,0,(LOG('(코어)데이터'!H41,2)-1)*3)-'(코어)데이터'!AG41&gt;0,'예아!'!$AD$23-'(코어)데이터'!AI41&gt;0)</f>
        <v>0</v>
      </c>
      <c r="AB22" s="95" t="b">
        <f ca="1">AND(OFFSET($AL$18,0,(LOG('(코어)데이터'!H41,2)-1)*3)-'(코어)데이터'!AK41&gt;0,'예아!'!$AD$23-'(코어)데이터'!AM41&gt;0)</f>
        <v>0</v>
      </c>
      <c r="AC22" s="67"/>
      <c r="AD22" s="69" t="s">
        <v>1247</v>
      </c>
      <c r="AE22" s="69"/>
      <c r="AF22" s="71"/>
      <c r="AG22" s="71"/>
      <c r="AH22" s="71"/>
      <c r="AI22" s="69"/>
      <c r="AJ22" s="69"/>
      <c r="AK22" s="69"/>
      <c r="AL22" s="71"/>
      <c r="AM22" s="71"/>
      <c r="AN22" s="71"/>
      <c r="AO22" s="71"/>
      <c r="AP22" s="71"/>
      <c r="AQ22" s="71"/>
      <c r="AR22" s="71"/>
      <c r="AS22" s="7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</row>
    <row r="23" spans="1:60" x14ac:dyDescent="0.4">
      <c r="A23" s="67"/>
      <c r="B23" s="539" t="s">
        <v>3056</v>
      </c>
      <c r="C23" s="539"/>
      <c r="D23" s="539"/>
      <c r="E23" s="539"/>
      <c r="F23" s="95" t="b">
        <f ca="1">AND(OFFSET($AL$18,0,(LOG('(코어)데이터'!H22,2)-1)*3)-'(코어)데이터'!I22&gt;0,'예아!'!$AD$23-'(코어)데이터'!K22&gt;0)</f>
        <v>0</v>
      </c>
      <c r="G23" s="95" t="b">
        <f ca="1">AND(OFFSET($AL$18,0,(LOG('(코어)데이터'!H22,2)-1)*3)-'(코어)데이터'!M22&gt;0,'예아!'!$AD$23-'(코어)데이터'!O22&gt;0)</f>
        <v>0</v>
      </c>
      <c r="H23" s="95" t="b">
        <f ca="1">AND(OFFSET($AL$18,0,(LOG('(코어)데이터'!H22,2)-1)*3)-'(코어)데이터'!Q22&gt;0,'예아!'!$AD$23-'(코어)데이터'!S22&gt;0)</f>
        <v>0</v>
      </c>
      <c r="I23" s="95" t="b">
        <f ca="1">AND(OFFSET($AL$18,0,(LOG('(코어)데이터'!H22,2)-1)*3)-'(코어)데이터'!U22&gt;0,'예아!'!$AD$23-'(코어)데이터'!W22&gt;0)</f>
        <v>0</v>
      </c>
      <c r="J23" s="95" t="b">
        <f ca="1">AND(OFFSET($AL$18,0,(LOG('(코어)데이터'!H22,2)-1)*3)-'(코어)데이터'!Y22&gt;0,'예아!'!$AD$23-'(코어)데이터'!AA22&gt;0)</f>
        <v>0</v>
      </c>
      <c r="K23" s="95" t="b">
        <f ca="1">AND(OFFSET($AL$18,0,(LOG('(코어)데이터'!H22,2)-1)*3)-'(코어)데이터'!AC22&gt;0,'예아!'!$AD$23-'(코어)데이터'!AE22&gt;0)</f>
        <v>0</v>
      </c>
      <c r="L23" s="95" t="b">
        <f ca="1">AND(OFFSET($AL$18,0,(LOG('(코어)데이터'!H22,2)-1)*3)-'(코어)데이터'!AG22&gt;0,'예아!'!$AD$23-'(코어)데이터'!AI22&gt;0)</f>
        <v>0</v>
      </c>
      <c r="M23" s="95" t="b">
        <f ca="1">AND(OFFSET($AL$18,0,(LOG('(코어)데이터'!H22,2)-1)*3)-'(코어)데이터'!AK22&gt;0,'예아!'!$AD$23-'(코어)데이터'!AM22&gt;0)</f>
        <v>0</v>
      </c>
      <c r="N23" s="203" t="s">
        <v>1087</v>
      </c>
      <c r="O23" s="203"/>
      <c r="P23" s="203"/>
      <c r="Q23" s="203"/>
      <c r="R23" s="203"/>
      <c r="S23" s="203"/>
      <c r="T23" s="203"/>
      <c r="U23" s="95" t="b">
        <f ca="1">AND(OFFSET($AL$18,0,(LOG('(코어)데이터'!H42,2)-1)*3)-'(코어)데이터'!I42&gt;0,'예아!'!$AD$23-'(코어)데이터'!K42&gt;0)</f>
        <v>0</v>
      </c>
      <c r="V23" s="95" t="b">
        <f ca="1">AND(OFFSET($AL$18,0,(LOG('(코어)데이터'!H42,2)-1)*3)-'(코어)데이터'!M42&gt;0,'예아!'!$AD$23-'(코어)데이터'!O42&gt;0)</f>
        <v>0</v>
      </c>
      <c r="W23" s="95" t="b">
        <f ca="1">AND(OFFSET($AL$18,0,(LOG('(코어)데이터'!H42,2)-1)*3)-'(코어)데이터'!Q42&gt;0,'예아!'!$AD$23-'(코어)데이터'!S42&gt;0)</f>
        <v>0</v>
      </c>
      <c r="X23" s="95" t="b">
        <f ca="1">AND(OFFSET($AL$18,0,(LOG('(코어)데이터'!H42,2)-1)*3)-'(코어)데이터'!U42&gt;0,'예아!'!$AD$23-'(코어)데이터'!W42&gt;0)</f>
        <v>0</v>
      </c>
      <c r="Y23" s="95" t="b">
        <f ca="1">AND(OFFSET($AL$18,0,(LOG('(코어)데이터'!H42,2)-1)*3)-'(코어)데이터'!Y42&gt;0,'예아!'!$AD$23-'(코어)데이터'!AA42&gt;0)</f>
        <v>0</v>
      </c>
      <c r="Z23" s="95" t="b">
        <f ca="1">AND(OFFSET($AL$18,0,(LOG('(코어)데이터'!H42,2)-1)*3)-'(코어)데이터'!AC42&gt;0,'예아!'!$AD$23-'(코어)데이터'!AE42&gt;0)</f>
        <v>0</v>
      </c>
      <c r="AA23" s="95" t="b">
        <f ca="1">AND(OFFSET($AL$18,0,(LOG('(코어)데이터'!H42,2)-1)*3)-'(코어)데이터'!AG42&gt;0,'예아!'!$AD$23-'(코어)데이터'!AI42&gt;0)</f>
        <v>0</v>
      </c>
      <c r="AB23" s="95" t="b">
        <f ca="1">AND(OFFSET($AL$18,0,(LOG('(코어)데이터'!H42,2)-1)*3)-'(코어)데이터'!AK42&gt;0,'예아!'!$AD$23-'(코어)데이터'!AM42&gt;0)</f>
        <v>0</v>
      </c>
      <c r="AC23" s="67"/>
      <c r="AD23" s="541">
        <f ca="1">IF(ISERROR(AD21),IF(ISERROR(AL21),0,AL21),IF(ISERROR(AL21),AD21,MAX(AD21,AL21)))</f>
        <v>0</v>
      </c>
      <c r="AE23" s="542"/>
      <c r="AF23" s="71"/>
      <c r="AG23" s="71"/>
      <c r="AH23" s="71"/>
      <c r="AI23" s="69"/>
      <c r="AJ23" s="69"/>
      <c r="AK23" s="69"/>
      <c r="AL23" s="71"/>
      <c r="AM23" s="71"/>
      <c r="AN23" s="71"/>
      <c r="AO23" s="71"/>
      <c r="AP23" s="71"/>
      <c r="AQ23" s="71"/>
      <c r="AR23" s="71"/>
      <c r="AS23" s="7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</row>
    <row r="24" spans="1:60" ht="18" thickBot="1" x14ac:dyDescent="0.45">
      <c r="A24" s="67"/>
      <c r="B24" s="539" t="s">
        <v>1296</v>
      </c>
      <c r="C24" s="539"/>
      <c r="D24" s="539"/>
      <c r="E24" s="539"/>
      <c r="F24" s="95" t="b">
        <f ca="1">AND(OFFSET($AL$18,0,(LOG('(코어)데이터'!H23,2)-1)*3)-'(코어)데이터'!I23&gt;0,'예아!'!$AD$23-'(코어)데이터'!K23&gt;0)</f>
        <v>0</v>
      </c>
      <c r="G24" s="95" t="b">
        <f ca="1">AND(OFFSET($AL$18,0,(LOG('(코어)데이터'!H23,2)-1)*3)-'(코어)데이터'!M23&gt;0,'예아!'!$AD$23-'(코어)데이터'!O23&gt;0)</f>
        <v>0</v>
      </c>
      <c r="H24" s="95" t="b">
        <f ca="1">AND(OFFSET($AL$18,0,(LOG('(코어)데이터'!H23,2)-1)*3)-'(코어)데이터'!Q23&gt;0,'예아!'!$AD$23-'(코어)데이터'!S23&gt;0)</f>
        <v>0</v>
      </c>
      <c r="I24" s="95" t="b">
        <f ca="1">AND(OFFSET($AL$18,0,(LOG('(코어)데이터'!H23,2)-1)*3)-'(코어)데이터'!U23&gt;0,'예아!'!$AD$23-'(코어)데이터'!W23&gt;0)</f>
        <v>0</v>
      </c>
      <c r="J24" s="95" t="b">
        <f ca="1">AND(OFFSET($AL$18,0,(LOG('(코어)데이터'!H23,2)-1)*3)-'(코어)데이터'!Y23&gt;0,'예아!'!$AD$23-'(코어)데이터'!AA23&gt;0)</f>
        <v>0</v>
      </c>
      <c r="K24" s="95" t="b">
        <f ca="1">AND(OFFSET($AL$18,0,(LOG('(코어)데이터'!H23,2)-1)*3)-'(코어)데이터'!AC23&gt;0,'예아!'!$AD$23-'(코어)데이터'!AE23&gt;0)</f>
        <v>0</v>
      </c>
      <c r="L24" s="95" t="b">
        <f ca="1">AND(OFFSET($AL$18,0,(LOG('(코어)데이터'!H23,2)-1)*3)-'(코어)데이터'!AG23&gt;0,'예아!'!$AD$23-'(코어)데이터'!AI23&gt;0)</f>
        <v>0</v>
      </c>
      <c r="M24" s="95" t="b">
        <f ca="1">AND(OFFSET($AL$18,0,(LOG('(코어)데이터'!H23,2)-1)*3)-'(코어)데이터'!AK23&gt;0,'예아!'!$AD$23-'(코어)데이터'!AM23&gt;0)</f>
        <v>0</v>
      </c>
      <c r="N24" s="203" t="s">
        <v>1225</v>
      </c>
      <c r="O24" s="203"/>
      <c r="P24" s="203"/>
      <c r="Q24" s="203"/>
      <c r="R24" s="203"/>
      <c r="S24" s="203"/>
      <c r="T24" s="203"/>
      <c r="U24" s="95" t="b">
        <f ca="1">AND(OFFSET($AL$18,0,(LOG('(코어)데이터'!H43,2)-1)*3)-'(코어)데이터'!I43&gt;0,'예아!'!$AD$23-'(코어)데이터'!K43&gt;0)</f>
        <v>0</v>
      </c>
      <c r="V24" s="95" t="b">
        <f ca="1">AND(OFFSET($AL$18,0,(LOG('(코어)데이터'!H43,2)-1)*3)-'(코어)데이터'!M43&gt;0,'예아!'!$AD$23-'(코어)데이터'!O43&gt;0)</f>
        <v>0</v>
      </c>
      <c r="W24" s="95" t="b">
        <f ca="1">AND(OFFSET($AL$18,0,(LOG('(코어)데이터'!H43,2)-1)*3)-'(코어)데이터'!Q43&gt;0,'예아!'!$AD$23-'(코어)데이터'!S43&gt;0)</f>
        <v>0</v>
      </c>
      <c r="X24" s="95" t="b">
        <f ca="1">AND(OFFSET($AL$18,0,(LOG('(코어)데이터'!H43,2)-1)*3)-'(코어)데이터'!U43&gt;0,'예아!'!$AD$23-'(코어)데이터'!W43&gt;0)</f>
        <v>0</v>
      </c>
      <c r="Y24" s="95" t="b">
        <f ca="1">AND(OFFSET($AL$18,0,(LOG('(코어)데이터'!H43,2)-1)*3)-'(코어)데이터'!Y43&gt;0,'예아!'!$AD$23-'(코어)데이터'!AA43&gt;0)</f>
        <v>0</v>
      </c>
      <c r="Z24" s="95" t="b">
        <f ca="1">AND(OFFSET($AL$18,0,(LOG('(코어)데이터'!H43,2)-1)*3)-'(코어)데이터'!AC43&gt;0,'예아!'!$AD$23-'(코어)데이터'!AE43&gt;0)</f>
        <v>0</v>
      </c>
      <c r="AA24" s="95" t="b">
        <f ca="1">AND(OFFSET($AL$18,0,(LOG('(코어)데이터'!H43,2)-1)*3)-'(코어)데이터'!AG43&gt;0,'예아!'!$AD$23-'(코어)데이터'!AI43&gt;0)</f>
        <v>0</v>
      </c>
      <c r="AB24" s="95" t="b">
        <f ca="1">AND(OFFSET($AL$18,0,(LOG('(코어)데이터'!H43,2)-1)*3)-'(코어)데이터'!AK43&gt;0,'예아!'!$AD$23-'(코어)데이터'!AM43&gt;0)</f>
        <v>0</v>
      </c>
      <c r="AC24" s="67"/>
      <c r="AD24" s="73"/>
      <c r="AE24" s="73"/>
      <c r="AF24" s="73"/>
      <c r="AG24" s="73"/>
      <c r="AH24" s="73"/>
      <c r="AI24" s="73"/>
      <c r="AJ24" s="73"/>
      <c r="AK24" s="73"/>
      <c r="AL24" s="74"/>
      <c r="AM24" s="74"/>
      <c r="AN24" s="74"/>
      <c r="AO24" s="74"/>
      <c r="AP24" s="74"/>
      <c r="AQ24" s="74"/>
      <c r="AR24" s="74"/>
      <c r="AS24" s="74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67"/>
      <c r="BE24" s="67"/>
      <c r="BF24" s="67"/>
      <c r="BG24" s="67"/>
      <c r="BH24" s="67"/>
    </row>
    <row r="25" spans="1:60" ht="18" thickTop="1" x14ac:dyDescent="0.4">
      <c r="A25" s="67"/>
      <c r="B25" s="539" t="s">
        <v>1297</v>
      </c>
      <c r="C25" s="539"/>
      <c r="D25" s="539"/>
      <c r="E25" s="539"/>
      <c r="F25" s="95" t="b">
        <f ca="1">AND(OFFSET($AL$18,0,(LOG('(코어)데이터'!H24,2)-1)*3)-'(코어)데이터'!I24&gt;0,'예아!'!$AD$23-'(코어)데이터'!K24&gt;0)</f>
        <v>0</v>
      </c>
      <c r="G25" s="95" t="b">
        <f ca="1">AND(OFFSET($AL$18,0,(LOG('(코어)데이터'!H24,2)-1)*3)-'(코어)데이터'!M24&gt;0,'예아!'!$AD$23-'(코어)데이터'!O24&gt;0)</f>
        <v>0</v>
      </c>
      <c r="H25" s="95" t="b">
        <f ca="1">AND(OFFSET($AL$18,0,(LOG('(코어)데이터'!H24,2)-1)*3)-'(코어)데이터'!Q24&gt;0,'예아!'!$AD$23-'(코어)데이터'!S24&gt;0)</f>
        <v>0</v>
      </c>
      <c r="I25" s="95" t="b">
        <f ca="1">AND(OFFSET($AL$18,0,(LOG('(코어)데이터'!H24,2)-1)*3)-'(코어)데이터'!U24&gt;0,'예아!'!$AD$23-'(코어)데이터'!W24&gt;0)</f>
        <v>0</v>
      </c>
      <c r="J25" s="95" t="b">
        <f ca="1">AND(OFFSET($AL$18,0,(LOG('(코어)데이터'!H24,2)-1)*3)-'(코어)데이터'!Y24&gt;0,'예아!'!$AD$23-'(코어)데이터'!AA24&gt;0)</f>
        <v>0</v>
      </c>
      <c r="K25" s="95" t="b">
        <f ca="1">AND(OFFSET($AL$18,0,(LOG('(코어)데이터'!H24,2)-1)*3)-'(코어)데이터'!AC24&gt;0,'예아!'!$AD$23-'(코어)데이터'!AE24&gt;0)</f>
        <v>0</v>
      </c>
      <c r="L25" s="95" t="b">
        <f ca="1">AND(OFFSET($AL$18,0,(LOG('(코어)데이터'!H24,2)-1)*3)-'(코어)데이터'!AG24&gt;0,'예아!'!$AD$23-'(코어)데이터'!AI24&gt;0)</f>
        <v>0</v>
      </c>
      <c r="M25" s="95" t="b">
        <f ca="1">AND(OFFSET($AL$18,0,(LOG('(코어)데이터'!H24,2)-1)*3)-'(코어)데이터'!AK24&gt;0,'예아!'!$AD$23-'(코어)데이터'!AM24&gt;0)</f>
        <v>0</v>
      </c>
      <c r="N25" s="203" t="s">
        <v>2985</v>
      </c>
      <c r="O25" s="203"/>
      <c r="P25" s="203"/>
      <c r="Q25" s="203"/>
      <c r="R25" s="203"/>
      <c r="S25" s="203"/>
      <c r="T25" s="203"/>
      <c r="U25" s="95" t="b">
        <f ca="1">AND(OFFSET($AL$18,0,(LOG('(코어)데이터'!H44,2)-1)*3)-'(코어)데이터'!I44&gt;0,'예아!'!$AD$23-'(코어)데이터'!K44&gt;0)</f>
        <v>0</v>
      </c>
      <c r="V25" s="95" t="b">
        <f ca="1">AND(OFFSET($AL$18,0,(LOG('(코어)데이터'!H44,2)-1)*3)-'(코어)데이터'!M44&gt;0,'예아!'!$AD$23-'(코어)데이터'!O44&gt;0)</f>
        <v>0</v>
      </c>
      <c r="W25" s="95" t="b">
        <f ca="1">AND(OFFSET($AL$18,0,(LOG('(코어)데이터'!H44,2)-1)*3)-'(코어)데이터'!Q44&gt;0,'예아!'!$AD$23-'(코어)데이터'!S44&gt;0)</f>
        <v>0</v>
      </c>
      <c r="X25" s="95" t="b">
        <f ca="1">AND(OFFSET($AL$18,0,(LOG('(코어)데이터'!H44,2)-1)*3)-'(코어)데이터'!U44&gt;0,'예아!'!$AD$23-'(코어)데이터'!W44&gt;0)</f>
        <v>0</v>
      </c>
      <c r="Y25" s="95" t="b">
        <f ca="1">AND(OFFSET($AL$18,0,(LOG('(코어)데이터'!H44,2)-1)*3)-'(코어)데이터'!Y44&gt;0,'예아!'!$AD$23-'(코어)데이터'!AA44&gt;0)</f>
        <v>0</v>
      </c>
      <c r="Z25" s="95" t="b">
        <f ca="1">AND(OFFSET($AL$18,0,(LOG('(코어)데이터'!H44,2)-1)*3)-'(코어)데이터'!AC44&gt;0,'예아!'!$AD$23-'(코어)데이터'!AE44&gt;0)</f>
        <v>0</v>
      </c>
      <c r="AA25" s="95" t="b">
        <f ca="1">AND(OFFSET($AL$18,0,(LOG('(코어)데이터'!H44,2)-1)*3)-'(코어)데이터'!AG44&gt;0,'예아!'!$AD$23-'(코어)데이터'!AI44&gt;0)</f>
        <v>0</v>
      </c>
      <c r="AB25" s="95" t="b">
        <f ca="1">AND(OFFSET($AL$18,0,(LOG('(코어)데이터'!H44,2)-1)*3)-'(코어)데이터'!AK44&gt;0,'예아!'!$AD$23-'(코어)데이터'!AM44&gt;0)</f>
        <v>0</v>
      </c>
      <c r="AC25" s="67"/>
      <c r="AD25" s="69"/>
      <c r="AE25" s="69"/>
      <c r="AF25" s="69"/>
      <c r="AG25" s="69"/>
      <c r="AH25" s="69"/>
      <c r="AI25" s="69"/>
      <c r="AJ25" s="69"/>
      <c r="AK25" s="69"/>
      <c r="AL25" s="71"/>
      <c r="AM25" s="71"/>
      <c r="AN25" s="71"/>
      <c r="AO25" s="71"/>
      <c r="AP25" s="71"/>
      <c r="AQ25" s="71"/>
      <c r="AR25" s="71"/>
      <c r="AS25" s="7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</row>
    <row r="26" spans="1:60" x14ac:dyDescent="0.4">
      <c r="A26" s="67"/>
      <c r="B26" s="539" t="s">
        <v>2834</v>
      </c>
      <c r="C26" s="539"/>
      <c r="D26" s="539"/>
      <c r="E26" s="539"/>
      <c r="F26" s="95" t="b">
        <f ca="1">AND(OFFSET($AL$18,0,(LOG('(코어)데이터'!H25,2)-1)*3)-'(코어)데이터'!I25&gt;0,'예아!'!$AD$23-'(코어)데이터'!K25&gt;0)</f>
        <v>0</v>
      </c>
      <c r="G26" s="95" t="b">
        <f ca="1">AND(OFFSET($AL$18,0,(LOG('(코어)데이터'!H25,2)-1)*3)-'(코어)데이터'!M25&gt;0,'예아!'!$AD$23-'(코어)데이터'!O25&gt;0)</f>
        <v>0</v>
      </c>
      <c r="H26" s="95" t="b">
        <f ca="1">AND(OFFSET($AL$18,0,(LOG('(코어)데이터'!H25,2)-1)*3)-'(코어)데이터'!Q25&gt;0,'예아!'!$AD$23-'(코어)데이터'!S25&gt;0)</f>
        <v>0</v>
      </c>
      <c r="I26" s="95" t="b">
        <f ca="1">AND(OFFSET($AL$18,0,(LOG('(코어)데이터'!H25,2)-1)*3)-'(코어)데이터'!U25&gt;0,'예아!'!$AD$23-'(코어)데이터'!W25&gt;0)</f>
        <v>0</v>
      </c>
      <c r="J26" s="95" t="b">
        <f ca="1">AND(OFFSET($AL$18,0,(LOG('(코어)데이터'!H25,2)-1)*3)-'(코어)데이터'!Y25&gt;0,'예아!'!$AD$23-'(코어)데이터'!AA25&gt;0)</f>
        <v>0</v>
      </c>
      <c r="K26" s="95" t="b">
        <f ca="1">AND(OFFSET($AL$18,0,(LOG('(코어)데이터'!H25,2)-1)*3)-'(코어)데이터'!AC25&gt;0,'예아!'!$AD$23-'(코어)데이터'!AE25&gt;0)</f>
        <v>0</v>
      </c>
      <c r="L26" s="95" t="b">
        <f ca="1">AND(OFFSET($AL$18,0,(LOG('(코어)데이터'!H25,2)-1)*3)-'(코어)데이터'!AG25&gt;0,'예아!'!$AD$23-'(코어)데이터'!AI25&gt;0)</f>
        <v>0</v>
      </c>
      <c r="M26" s="95" t="b">
        <f ca="1">AND(OFFSET($AL$18,0,(LOG('(코어)데이터'!H25,2)-1)*3)-'(코어)데이터'!AK25&gt;0,'예아!'!$AD$23-'(코어)데이터'!AM25&gt;0)</f>
        <v>0</v>
      </c>
      <c r="N26" s="203" t="s">
        <v>3036</v>
      </c>
      <c r="O26" s="203"/>
      <c r="P26" s="203"/>
      <c r="Q26" s="203"/>
      <c r="R26" s="203"/>
      <c r="S26" s="203"/>
      <c r="T26" s="203"/>
      <c r="U26" s="95" t="b">
        <f ca="1">AND(OFFSET($AL$18,0,(LOG('(코어)데이터'!H45,2)-1)*3)-'(코어)데이터'!I45&gt;0,'예아!'!$AD$23-'(코어)데이터'!K45&gt;0)</f>
        <v>0</v>
      </c>
      <c r="V26" s="95" t="b">
        <f ca="1">AND(OFFSET($AL$18,0,(LOG('(코어)데이터'!H45,2)-1)*3)-'(코어)데이터'!M45&gt;0,'예아!'!$AD$23-'(코어)데이터'!O45&gt;0)</f>
        <v>0</v>
      </c>
      <c r="W26" s="95" t="b">
        <f ca="1">AND(OFFSET($AL$18,0,(LOG('(코어)데이터'!H45,2)-1)*3)-'(코어)데이터'!Q45&gt;0,'예아!'!$AD$23-'(코어)데이터'!S45&gt;0)</f>
        <v>0</v>
      </c>
      <c r="X26" s="95" t="b">
        <f ca="1">AND(OFFSET($AL$18,0,(LOG('(코어)데이터'!H45,2)-1)*3)-'(코어)데이터'!U45&gt;0,'예아!'!$AD$23-'(코어)데이터'!W45&gt;0)</f>
        <v>0</v>
      </c>
      <c r="Y26" s="95" t="b">
        <f ca="1">AND(OFFSET($AL$18,0,(LOG('(코어)데이터'!H45,2)-1)*3)-'(코어)데이터'!Y45&gt;0,'예아!'!$AD$23-'(코어)데이터'!AA45&gt;0)</f>
        <v>0</v>
      </c>
      <c r="Z26" s="95" t="b">
        <f ca="1">AND(OFFSET($AL$18,0,(LOG('(코어)데이터'!H45,2)-1)*3)-'(코어)데이터'!AC45&gt;0,'예아!'!$AD$23-'(코어)데이터'!AE45&gt;0)</f>
        <v>0</v>
      </c>
      <c r="AA26" s="95" t="b">
        <f ca="1">AND(OFFSET($AL$18,0,(LOG('(코어)데이터'!H45,2)-1)*3)-'(코어)데이터'!AG45&gt;0,'예아!'!$AD$23-'(코어)데이터'!AI45&gt;0)</f>
        <v>0</v>
      </c>
      <c r="AB26" s="95" t="b">
        <f ca="1">AND(OFFSET($AL$18,0,(LOG('(코어)데이터'!H45,2)-1)*3)-'(코어)데이터'!AK45&gt;0,'예아!'!$AD$23-'(코어)데이터'!AM45&gt;0)</f>
        <v>0</v>
      </c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</row>
    <row r="27" spans="1:60" x14ac:dyDescent="0.4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 t="s">
        <v>1122</v>
      </c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</row>
    <row r="28" spans="1:60" x14ac:dyDescent="0.4">
      <c r="A28" s="67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 t="s">
        <v>1123</v>
      </c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</row>
    <row r="29" spans="1:60" x14ac:dyDescent="0.4">
      <c r="A29" s="67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 t="s">
        <v>1124</v>
      </c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</row>
    <row r="30" spans="1:60" x14ac:dyDescent="0.4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</row>
    <row r="31" spans="1:60" x14ac:dyDescent="0.4">
      <c r="A31" s="67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</row>
    <row r="32" spans="1:60" x14ac:dyDescent="0.4">
      <c r="A32" s="67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</row>
    <row r="33" spans="1:60" x14ac:dyDescent="0.4">
      <c r="A33" s="67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</row>
    <row r="34" spans="1:60" x14ac:dyDescent="0.4">
      <c r="A34" s="67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</row>
    <row r="35" spans="1:60" x14ac:dyDescent="0.4">
      <c r="A35" s="67"/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</row>
    <row r="36" spans="1:60" x14ac:dyDescent="0.4">
      <c r="A36" s="67"/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</row>
    <row r="37" spans="1:60" x14ac:dyDescent="0.4">
      <c r="A37" s="67"/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</row>
    <row r="38" spans="1:60" x14ac:dyDescent="0.4">
      <c r="A38" s="67"/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</row>
    <row r="39" spans="1:60" x14ac:dyDescent="0.4">
      <c r="A39" s="67"/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</row>
    <row r="40" spans="1:60" x14ac:dyDescent="0.4">
      <c r="A40" s="67"/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</row>
  </sheetData>
  <mergeCells count="40">
    <mergeCell ref="AD23:AE23"/>
    <mergeCell ref="AL18:AM18"/>
    <mergeCell ref="AO18:AP18"/>
    <mergeCell ref="AR18:AS18"/>
    <mergeCell ref="AO15:AP15"/>
    <mergeCell ref="AR15:AS15"/>
    <mergeCell ref="AL21:AM21"/>
    <mergeCell ref="B16:E16"/>
    <mergeCell ref="B15:E15"/>
    <mergeCell ref="B14:E14"/>
    <mergeCell ref="B7:E7"/>
    <mergeCell ref="B13:E13"/>
    <mergeCell ref="B12:E12"/>
    <mergeCell ref="B11:E11"/>
    <mergeCell ref="B10:E10"/>
    <mergeCell ref="B9:E9"/>
    <mergeCell ref="B8:E8"/>
    <mergeCell ref="B21:E21"/>
    <mergeCell ref="B20:E20"/>
    <mergeCell ref="B19:E19"/>
    <mergeCell ref="B18:E18"/>
    <mergeCell ref="B17:E17"/>
    <mergeCell ref="B26:E26"/>
    <mergeCell ref="B25:E25"/>
    <mergeCell ref="B24:E24"/>
    <mergeCell ref="B23:E23"/>
    <mergeCell ref="B22:E22"/>
    <mergeCell ref="AV8:AY8"/>
    <mergeCell ref="AD10:AM10"/>
    <mergeCell ref="B6:E6"/>
    <mergeCell ref="N6:T6"/>
    <mergeCell ref="AR8:AS8"/>
    <mergeCell ref="AO10:AR10"/>
    <mergeCell ref="AY10:BB10"/>
    <mergeCell ref="AT10:AV10"/>
    <mergeCell ref="AD13:AM13"/>
    <mergeCell ref="AR13:AS13"/>
    <mergeCell ref="AO13:AP13"/>
    <mergeCell ref="AD21:AE21"/>
    <mergeCell ref="AD8:AM8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7C80"/>
  </sheetPr>
  <dimension ref="E1:CC227"/>
  <sheetViews>
    <sheetView showGridLines="0" showRowColHeaders="0" zoomScale="115" zoomScaleNormal="115" workbookViewId="0">
      <selection activeCell="F9" sqref="F9"/>
    </sheetView>
  </sheetViews>
  <sheetFormatPr defaultColWidth="2" defaultRowHeight="15.6" x14ac:dyDescent="0.35"/>
  <cols>
    <col min="1" max="4" width="2" style="138"/>
    <col min="5" max="5" width="9.8984375" style="138" bestFit="1" customWidth="1"/>
    <col min="6" max="8" width="2.59765625" style="138" customWidth="1"/>
    <col min="9" max="9" width="2.3984375" style="138" bestFit="1" customWidth="1"/>
    <col min="10" max="10" width="3.09765625" style="138" bestFit="1" customWidth="1"/>
    <col min="11" max="11" width="2.3984375" style="138" bestFit="1" customWidth="1"/>
    <col min="12" max="12" width="3.09765625" style="138" bestFit="1" customWidth="1"/>
    <col min="13" max="13" width="2.3984375" style="138" bestFit="1" customWidth="1"/>
    <col min="14" max="14" width="3.09765625" style="138" bestFit="1" customWidth="1"/>
    <col min="15" max="15" width="2.3984375" style="138" bestFit="1" customWidth="1"/>
    <col min="16" max="16" width="3.09765625" style="138" bestFit="1" customWidth="1"/>
    <col min="17" max="23" width="3" style="138" customWidth="1"/>
    <col min="24" max="24" width="2.3984375" style="138" bestFit="1" customWidth="1"/>
    <col min="25" max="25" width="3.09765625" style="138" bestFit="1" customWidth="1"/>
    <col min="26" max="26" width="2.3984375" style="138" bestFit="1" customWidth="1"/>
    <col min="27" max="27" width="3.09765625" style="138" bestFit="1" customWidth="1"/>
    <col min="28" max="28" width="2.3984375" style="138" bestFit="1" customWidth="1"/>
    <col min="29" max="29" width="3.09765625" style="138" bestFit="1" customWidth="1"/>
    <col min="30" max="30" width="2.3984375" style="138" bestFit="1" customWidth="1"/>
    <col min="31" max="31" width="3.09765625" style="138" bestFit="1" customWidth="1"/>
    <col min="32" max="33" width="2" style="138"/>
    <col min="34" max="35" width="2.09765625" style="138" customWidth="1"/>
    <col min="36" max="39" width="2" style="138"/>
    <col min="40" max="40" width="1.8984375" style="138" customWidth="1"/>
    <col min="41" max="55" width="2" style="138"/>
    <col min="56" max="56" width="4.09765625" style="123" hidden="1" customWidth="1"/>
    <col min="57" max="57" width="8.69921875" style="138" hidden="1" customWidth="1"/>
    <col min="58" max="58" width="12.3984375" style="138" hidden="1" customWidth="1"/>
    <col min="59" max="59" width="10.3984375" style="138" hidden="1" customWidth="1"/>
    <col min="60" max="60" width="1.59765625" style="138" hidden="1" customWidth="1"/>
    <col min="61" max="61" width="11.3984375" style="5" hidden="1" customWidth="1"/>
    <col min="62" max="62" width="19.69921875" style="6" hidden="1" customWidth="1"/>
    <col min="63" max="64" width="2" style="138"/>
    <col min="65" max="65" width="2.296875" style="138" bestFit="1" customWidth="1"/>
    <col min="66" max="16384" width="2" style="138"/>
  </cols>
  <sheetData>
    <row r="1" spans="5:81" ht="16.2" customHeight="1" thickBot="1" x14ac:dyDescent="0.4">
      <c r="AN1" s="439"/>
      <c r="BF1" s="489" t="s">
        <v>891</v>
      </c>
      <c r="BG1" s="490" t="s">
        <v>894</v>
      </c>
      <c r="BH1" s="482"/>
      <c r="BI1" s="1" t="s">
        <v>371</v>
      </c>
      <c r="BJ1" s="53" t="s">
        <v>614</v>
      </c>
    </row>
    <row r="2" spans="5:81" ht="15.6" customHeight="1" x14ac:dyDescent="0.35">
      <c r="E2" s="564" t="s">
        <v>3200</v>
      </c>
      <c r="F2" s="565"/>
      <c r="G2" s="565"/>
      <c r="H2" s="565"/>
      <c r="I2" s="565"/>
      <c r="J2" s="565"/>
      <c r="K2" s="565"/>
      <c r="L2" s="565"/>
      <c r="M2" s="565"/>
      <c r="N2" s="565"/>
      <c r="O2" s="565"/>
      <c r="P2" s="565"/>
      <c r="Q2" s="565"/>
      <c r="R2" s="565"/>
      <c r="S2" s="565"/>
      <c r="T2" s="565"/>
      <c r="U2" s="565"/>
      <c r="V2" s="565"/>
      <c r="W2" s="565"/>
      <c r="X2" s="565"/>
      <c r="Y2" s="565"/>
      <c r="Z2" s="565"/>
      <c r="AA2" s="565"/>
      <c r="AB2" s="565"/>
      <c r="AC2" s="565"/>
      <c r="AD2" s="565"/>
      <c r="AE2" s="565"/>
      <c r="AF2" s="565"/>
      <c r="AG2" s="565"/>
      <c r="AH2" s="565"/>
      <c r="AI2" s="565"/>
      <c r="AJ2" s="565"/>
      <c r="AK2" s="565"/>
      <c r="AL2" s="565"/>
      <c r="AM2" s="439"/>
      <c r="BB2" s="444"/>
      <c r="BC2" s="444"/>
      <c r="BD2" s="470">
        <v>1</v>
      </c>
      <c r="BE2" s="444" t="s">
        <v>3206</v>
      </c>
      <c r="BF2" s="444" t="str">
        <f>F5</f>
        <v>*i3*4130*</v>
      </c>
      <c r="BG2" s="444" t="str">
        <f>F7</f>
        <v>*HD 4000*</v>
      </c>
      <c r="BH2" s="444"/>
      <c r="BI2" s="495"/>
      <c r="BJ2" s="496"/>
      <c r="BK2" s="444"/>
      <c r="BL2" s="444"/>
      <c r="BM2" s="444"/>
      <c r="BN2" s="444"/>
      <c r="BO2" s="444"/>
      <c r="BP2" s="444"/>
      <c r="BQ2" s="444"/>
      <c r="BR2" s="444"/>
      <c r="BS2" s="444"/>
      <c r="BT2" s="444"/>
      <c r="BU2" s="444"/>
      <c r="BV2" s="444"/>
      <c r="BW2" s="444"/>
      <c r="BX2" s="444"/>
      <c r="BY2" s="444"/>
      <c r="BZ2" s="444"/>
      <c r="CA2" s="444"/>
      <c r="CB2" s="444"/>
    </row>
    <row r="3" spans="5:81" ht="15.6" customHeight="1" x14ac:dyDescent="0.35">
      <c r="E3" s="566"/>
      <c r="F3" s="567"/>
      <c r="G3" s="567"/>
      <c r="H3" s="567"/>
      <c r="I3" s="567"/>
      <c r="J3" s="567"/>
      <c r="K3" s="567"/>
      <c r="L3" s="567"/>
      <c r="M3" s="567"/>
      <c r="N3" s="567"/>
      <c r="O3" s="567"/>
      <c r="P3" s="567"/>
      <c r="Q3" s="567"/>
      <c r="R3" s="567"/>
      <c r="S3" s="567"/>
      <c r="T3" s="567"/>
      <c r="U3" s="567"/>
      <c r="V3" s="567"/>
      <c r="W3" s="567"/>
      <c r="X3" s="567"/>
      <c r="Y3" s="567"/>
      <c r="Z3" s="567"/>
      <c r="AA3" s="567"/>
      <c r="AB3" s="567"/>
      <c r="AC3" s="567"/>
      <c r="AD3" s="567"/>
      <c r="AE3" s="567"/>
      <c r="AF3" s="567"/>
      <c r="AG3" s="567"/>
      <c r="AH3" s="567"/>
      <c r="AI3" s="567"/>
      <c r="AJ3" s="567"/>
      <c r="AK3" s="567"/>
      <c r="AL3" s="567"/>
      <c r="AM3" s="439"/>
      <c r="BB3" s="444"/>
      <c r="BC3" s="444"/>
      <c r="BD3" s="470">
        <v>2</v>
      </c>
      <c r="BE3" s="444" t="s">
        <v>3207</v>
      </c>
      <c r="BF3" s="444" t="str">
        <f>VLOOKUP(BF2,CPU벤치마크!B2:B227,1,FALSE)</f>
        <v>Core i3-4130</v>
      </c>
      <c r="BG3" s="444" t="str">
        <f>VLOOKUP(BG2,VGA벤치마크!B2:B153,1,FALSE)</f>
        <v>Intel HD 4000</v>
      </c>
      <c r="BH3" s="444"/>
      <c r="BI3" s="47" t="s">
        <v>2963</v>
      </c>
      <c r="BJ3" s="18" t="s">
        <v>776</v>
      </c>
      <c r="BK3" s="444"/>
      <c r="BL3" s="444"/>
      <c r="BM3" s="444"/>
      <c r="BN3" s="444"/>
      <c r="BO3" s="444"/>
      <c r="BP3" s="444"/>
      <c r="BQ3" s="444"/>
      <c r="BR3" s="444"/>
      <c r="BS3" s="444"/>
      <c r="BT3" s="444"/>
      <c r="BU3" s="444"/>
      <c r="BV3" s="444"/>
      <c r="BW3" s="444"/>
      <c r="BX3" s="444"/>
      <c r="BY3" s="444"/>
      <c r="BZ3" s="444"/>
      <c r="CA3" s="444"/>
      <c r="CB3" s="444"/>
    </row>
    <row r="4" spans="5:81" ht="17.399999999999999" customHeight="1" x14ac:dyDescent="0.35">
      <c r="E4" s="481" t="s">
        <v>890</v>
      </c>
      <c r="F4" s="545" t="s">
        <v>3213</v>
      </c>
      <c r="G4" s="546"/>
      <c r="H4" s="546"/>
      <c r="I4" s="546"/>
      <c r="J4" s="546"/>
      <c r="K4" s="546"/>
      <c r="L4" s="546"/>
      <c r="M4" s="546"/>
      <c r="N4" s="546"/>
      <c r="O4" s="549" t="s">
        <v>907</v>
      </c>
      <c r="P4" s="550"/>
      <c r="Q4" s="545" t="s">
        <v>3208</v>
      </c>
      <c r="R4" s="546"/>
      <c r="S4" s="546"/>
      <c r="T4" s="546"/>
      <c r="U4" s="546"/>
      <c r="V4" s="546"/>
      <c r="W4" s="546"/>
      <c r="X4" s="546"/>
      <c r="Y4" s="547"/>
      <c r="Z4" s="559" t="s">
        <v>3204</v>
      </c>
      <c r="AA4" s="559"/>
      <c r="AB4" s="559" t="s">
        <v>3205</v>
      </c>
      <c r="AC4" s="560"/>
      <c r="AE4" s="558" t="s">
        <v>3202</v>
      </c>
      <c r="AF4" s="559"/>
      <c r="AG4" s="559" t="s">
        <v>3203</v>
      </c>
      <c r="AH4" s="560"/>
      <c r="AI4" s="558" t="s">
        <v>3201</v>
      </c>
      <c r="AJ4" s="559"/>
      <c r="AK4" s="559"/>
      <c r="AL4" s="560"/>
      <c r="BA4" s="444"/>
      <c r="BB4" s="482"/>
      <c r="BC4" s="482"/>
      <c r="BD4" s="484">
        <v>3</v>
      </c>
      <c r="BE4" s="444"/>
      <c r="BF4" s="482"/>
      <c r="BG4" s="482"/>
      <c r="BH4" s="482"/>
      <c r="BI4" s="47" t="s">
        <v>537</v>
      </c>
      <c r="BJ4" s="18" t="s">
        <v>779</v>
      </c>
      <c r="BK4" s="482"/>
      <c r="BL4" s="482"/>
      <c r="BM4" s="482"/>
      <c r="BN4" s="482"/>
      <c r="BO4" s="482"/>
      <c r="BP4" s="482"/>
      <c r="BQ4" s="482"/>
      <c r="BR4" s="482"/>
      <c r="BS4" s="482"/>
      <c r="BT4" s="482"/>
      <c r="BU4" s="482"/>
      <c r="BV4" s="482"/>
      <c r="BW4" s="482"/>
      <c r="BX4" s="482"/>
      <c r="BY4" s="482"/>
      <c r="BZ4" s="444"/>
      <c r="CA4" s="444"/>
    </row>
    <row r="5" spans="5:81" ht="17.399999999999999" customHeight="1" x14ac:dyDescent="0.35">
      <c r="E5" s="574" t="s">
        <v>891</v>
      </c>
      <c r="F5" s="594" t="s">
        <v>3239</v>
      </c>
      <c r="G5" s="595"/>
      <c r="H5" s="595"/>
      <c r="I5" s="595"/>
      <c r="J5" s="595"/>
      <c r="K5" s="595"/>
      <c r="L5" s="595"/>
      <c r="M5" s="595"/>
      <c r="N5" s="595"/>
      <c r="O5" s="578">
        <v>1</v>
      </c>
      <c r="P5" s="579"/>
      <c r="Q5" s="598" t="str">
        <f>BF3</f>
        <v>Core i3-4130</v>
      </c>
      <c r="R5" s="599"/>
      <c r="S5" s="599"/>
      <c r="T5" s="599"/>
      <c r="U5" s="599"/>
      <c r="V5" s="599"/>
      <c r="W5" s="599"/>
      <c r="X5" s="599"/>
      <c r="Y5" s="600"/>
      <c r="Z5" s="583">
        <f>VLOOKUP(BF3,CPU벤치마크!B2:I227,8,FALSE)</f>
        <v>3.4</v>
      </c>
      <c r="AA5" s="583"/>
      <c r="AB5" s="562">
        <f>IF(OR(AG17="X",AG17=0),Z5,AG17)</f>
        <v>3.4</v>
      </c>
      <c r="AC5" s="563"/>
      <c r="AE5" s="561" t="str">
        <f>IF(ISNUMBER(SEARCH("Radeon",BG3)),"O","X")</f>
        <v>X</v>
      </c>
      <c r="AF5" s="562"/>
      <c r="AG5" s="562" t="str">
        <f>IF(OR(ISNUMBER(SEARCH("GeForce",BG3)),ISNUMBER(SEARCH("NVIDIA",BG3))),"O","X")</f>
        <v>X</v>
      </c>
      <c r="AH5" s="563"/>
      <c r="AI5" s="561">
        <f ca="1">OFFSET('(코어)데이터'!AS13,O7,IF(AE5="O",0,IF(AG5="O",1,2)))</f>
        <v>1</v>
      </c>
      <c r="AJ5" s="562"/>
      <c r="AK5" s="562"/>
      <c r="AL5" s="563"/>
      <c r="BA5" s="444"/>
      <c r="BB5" s="482"/>
      <c r="BC5" s="482"/>
      <c r="BD5" s="484">
        <v>4</v>
      </c>
      <c r="BE5" s="482"/>
      <c r="BF5" s="482"/>
      <c r="BG5" s="482"/>
      <c r="BH5" s="482"/>
      <c r="BI5" s="47" t="s">
        <v>536</v>
      </c>
      <c r="BJ5" s="18" t="s">
        <v>780</v>
      </c>
      <c r="BK5" s="482"/>
      <c r="BL5" s="482"/>
      <c r="BM5" s="482"/>
      <c r="BN5" s="482"/>
      <c r="BO5" s="482"/>
      <c r="BP5" s="482"/>
      <c r="BQ5" s="482"/>
      <c r="BR5" s="482"/>
      <c r="BS5" s="482"/>
      <c r="BT5" s="482"/>
      <c r="BU5" s="482"/>
      <c r="BV5" s="482"/>
      <c r="BW5" s="482"/>
      <c r="BX5" s="482"/>
      <c r="BY5" s="482"/>
      <c r="BZ5" s="444"/>
      <c r="CA5" s="444"/>
    </row>
    <row r="6" spans="5:81" ht="17.399999999999999" customHeight="1" x14ac:dyDescent="0.35">
      <c r="E6" s="575"/>
      <c r="F6" s="596"/>
      <c r="G6" s="597"/>
      <c r="H6" s="597"/>
      <c r="I6" s="597"/>
      <c r="J6" s="597"/>
      <c r="K6" s="597"/>
      <c r="L6" s="597"/>
      <c r="M6" s="597"/>
      <c r="N6" s="597"/>
      <c r="O6" s="580"/>
      <c r="P6" s="581"/>
      <c r="Q6" s="601"/>
      <c r="R6" s="602"/>
      <c r="S6" s="602"/>
      <c r="T6" s="602"/>
      <c r="U6" s="602"/>
      <c r="V6" s="602"/>
      <c r="W6" s="602"/>
      <c r="X6" s="602"/>
      <c r="Y6" s="603"/>
      <c r="Z6" s="606"/>
      <c r="AA6" s="606"/>
      <c r="AB6" s="606"/>
      <c r="AC6" s="606"/>
      <c r="AD6" s="606"/>
      <c r="AE6" s="606"/>
      <c r="AF6" s="606"/>
      <c r="AG6" s="606"/>
      <c r="AH6" s="606"/>
      <c r="AI6" s="606"/>
      <c r="AJ6" s="606"/>
      <c r="AK6" s="606"/>
      <c r="AL6" s="606"/>
      <c r="AM6" s="439"/>
      <c r="BB6" s="444"/>
      <c r="BC6" s="444"/>
      <c r="BD6" s="470"/>
      <c r="BE6" s="482"/>
      <c r="BF6" s="482"/>
      <c r="BG6" s="482"/>
      <c r="BH6" s="482"/>
      <c r="BI6" s="47" t="s">
        <v>535</v>
      </c>
      <c r="BJ6" s="18" t="s">
        <v>1327</v>
      </c>
      <c r="BK6" s="482"/>
      <c r="BL6" s="482"/>
      <c r="BM6" s="482"/>
      <c r="BN6" s="482"/>
      <c r="BO6" s="482"/>
      <c r="BP6" s="482"/>
      <c r="BQ6" s="482"/>
      <c r="BR6" s="482"/>
      <c r="BS6" s="482"/>
      <c r="BT6" s="482"/>
      <c r="BU6" s="482"/>
      <c r="BV6" s="482"/>
      <c r="BW6" s="482"/>
      <c r="BX6" s="482"/>
      <c r="BY6" s="482"/>
      <c r="BZ6" s="482"/>
      <c r="CA6" s="444"/>
      <c r="CB6" s="444"/>
    </row>
    <row r="7" spans="5:81" ht="17.399999999999999" customHeight="1" x14ac:dyDescent="0.35">
      <c r="E7" s="576" t="s">
        <v>894</v>
      </c>
      <c r="F7" s="594" t="s">
        <v>3240</v>
      </c>
      <c r="G7" s="595"/>
      <c r="H7" s="595"/>
      <c r="I7" s="595"/>
      <c r="J7" s="595"/>
      <c r="K7" s="595"/>
      <c r="L7" s="595"/>
      <c r="M7" s="595"/>
      <c r="N7" s="595"/>
      <c r="O7" s="604">
        <v>1</v>
      </c>
      <c r="P7" s="605"/>
      <c r="Q7" s="598" t="str">
        <f>BG3</f>
        <v>Intel HD 4000</v>
      </c>
      <c r="R7" s="599"/>
      <c r="S7" s="599"/>
      <c r="T7" s="599"/>
      <c r="U7" s="599"/>
      <c r="V7" s="599"/>
      <c r="W7" s="599"/>
      <c r="X7" s="599"/>
      <c r="Y7" s="599"/>
      <c r="Z7" s="558" t="s">
        <v>733</v>
      </c>
      <c r="AA7" s="559"/>
      <c r="AB7" s="559"/>
      <c r="AC7" s="558" t="s">
        <v>3198</v>
      </c>
      <c r="AD7" s="559"/>
      <c r="AE7" s="560"/>
      <c r="AF7" s="559" t="s">
        <v>3199</v>
      </c>
      <c r="AG7" s="559"/>
      <c r="AH7" s="560"/>
      <c r="AI7" s="559" t="s">
        <v>3209</v>
      </c>
      <c r="AJ7" s="559"/>
      <c r="AK7" s="559"/>
      <c r="AL7" s="560"/>
      <c r="AM7" s="439"/>
      <c r="BB7" s="444"/>
      <c r="BC7" s="444"/>
      <c r="BD7" s="123" t="s">
        <v>3212</v>
      </c>
      <c r="BE7" s="488"/>
      <c r="BF7" s="488"/>
      <c r="BG7" s="488"/>
      <c r="BH7" s="488"/>
      <c r="BI7" s="47" t="s">
        <v>534</v>
      </c>
      <c r="BJ7" s="18" t="s">
        <v>1328</v>
      </c>
      <c r="BK7" s="484"/>
      <c r="BL7" s="484"/>
      <c r="BM7" s="482"/>
      <c r="BN7" s="482"/>
      <c r="BO7" s="488"/>
      <c r="BP7" s="488"/>
      <c r="BQ7" s="482"/>
      <c r="BR7" s="482"/>
      <c r="BS7" s="488"/>
      <c r="BT7" s="488"/>
      <c r="BU7" s="488"/>
      <c r="BV7" s="488"/>
      <c r="BW7" s="482"/>
      <c r="BX7" s="482"/>
      <c r="BY7" s="482"/>
      <c r="BZ7" s="482"/>
      <c r="CA7" s="444"/>
      <c r="CB7" s="444"/>
    </row>
    <row r="8" spans="5:81" ht="17.399999999999999" customHeight="1" x14ac:dyDescent="0.35">
      <c r="E8" s="577"/>
      <c r="F8" s="596"/>
      <c r="G8" s="597"/>
      <c r="H8" s="597"/>
      <c r="I8" s="597"/>
      <c r="J8" s="597"/>
      <c r="K8" s="597"/>
      <c r="L8" s="597"/>
      <c r="M8" s="597"/>
      <c r="N8" s="597"/>
      <c r="O8" s="580"/>
      <c r="P8" s="581"/>
      <c r="Q8" s="601"/>
      <c r="R8" s="602"/>
      <c r="S8" s="602"/>
      <c r="T8" s="602"/>
      <c r="U8" s="602"/>
      <c r="V8" s="602"/>
      <c r="W8" s="602"/>
      <c r="X8" s="602"/>
      <c r="Y8" s="602"/>
      <c r="Z8" s="556">
        <f>VLOOKUP(BF3,CPU벤치마크!B2:T227,19,FALSE)*AB5/Z5</f>
        <v>1.8888</v>
      </c>
      <c r="AA8" s="557"/>
      <c r="AB8" s="557"/>
      <c r="AC8" s="556">
        <f>VLOOKUP(BF3,CPU벤치마크!B2:U227,20,FALSE)*AB5/Z5</f>
        <v>2.7576480000000001</v>
      </c>
      <c r="AD8" s="557"/>
      <c r="AE8" s="582"/>
      <c r="AF8" s="557">
        <f>VLOOKUP(BF3,CPU벤치마크!B2:V227,21,FALSE)*AB5/Z5</f>
        <v>2.7576480000000001</v>
      </c>
      <c r="AG8" s="557"/>
      <c r="AH8" s="582"/>
      <c r="AI8" s="557">
        <f ca="1">VLOOKUP(BG3,VGA벤치마크!B2:AB153,27,FALSE)*AI5</f>
        <v>48.7</v>
      </c>
      <c r="AJ8" s="557"/>
      <c r="AK8" s="557"/>
      <c r="AL8" s="582"/>
      <c r="AM8" s="439"/>
      <c r="BB8" s="444"/>
      <c r="BC8" s="444"/>
      <c r="BD8" s="471">
        <v>5</v>
      </c>
      <c r="BE8" s="488"/>
      <c r="BF8" s="488"/>
      <c r="BG8" s="488"/>
      <c r="BH8" s="488"/>
      <c r="BI8" s="47" t="s">
        <v>533</v>
      </c>
      <c r="BJ8" s="18" t="s">
        <v>1910</v>
      </c>
      <c r="BK8" s="484"/>
      <c r="BL8" s="484"/>
      <c r="BM8" s="482"/>
      <c r="BN8" s="482"/>
      <c r="BO8" s="488"/>
      <c r="BP8" s="488"/>
      <c r="BQ8" s="482"/>
      <c r="BR8" s="482"/>
      <c r="BS8" s="488"/>
      <c r="BT8" s="488"/>
      <c r="BU8" s="488"/>
      <c r="BV8" s="488"/>
      <c r="BW8" s="482"/>
      <c r="BX8" s="482"/>
      <c r="BY8" s="482"/>
      <c r="BZ8" s="482"/>
      <c r="CA8" s="444"/>
      <c r="CB8" s="444"/>
    </row>
    <row r="9" spans="5:81" x14ac:dyDescent="0.35">
      <c r="BD9" s="471">
        <v>4.9000000000000004</v>
      </c>
      <c r="BE9" s="482"/>
      <c r="BF9" s="482"/>
      <c r="BG9" s="482"/>
      <c r="BH9" s="482"/>
      <c r="BI9" s="47" t="s">
        <v>532</v>
      </c>
      <c r="BJ9" s="18" t="s">
        <v>1911</v>
      </c>
      <c r="BK9" s="482"/>
      <c r="BL9" s="482"/>
      <c r="BM9" s="482"/>
      <c r="BN9" s="482"/>
      <c r="BO9" s="482"/>
      <c r="BP9" s="482"/>
      <c r="BQ9" s="483"/>
      <c r="BR9" s="482"/>
      <c r="BS9" s="482"/>
      <c r="BT9" s="482"/>
      <c r="BU9" s="483"/>
      <c r="BV9" s="482"/>
      <c r="BW9" s="482"/>
      <c r="BX9" s="482"/>
      <c r="BY9" s="482"/>
      <c r="BZ9" s="482"/>
      <c r="CA9" s="482"/>
      <c r="CB9" s="444"/>
      <c r="CC9" s="444"/>
    </row>
    <row r="10" spans="5:81" ht="15.6" customHeight="1" x14ac:dyDescent="0.35">
      <c r="E10" s="568" t="s">
        <v>1062</v>
      </c>
      <c r="F10" s="569"/>
      <c r="G10" s="569"/>
      <c r="H10" s="569"/>
      <c r="I10" s="569"/>
      <c r="J10" s="569"/>
      <c r="K10" s="569"/>
      <c r="L10" s="569"/>
      <c r="M10" s="569"/>
      <c r="N10" s="569"/>
      <c r="O10" s="569"/>
      <c r="P10" s="569"/>
      <c r="Q10" s="569"/>
      <c r="R10" s="569"/>
      <c r="S10" s="569"/>
      <c r="T10" s="569"/>
      <c r="U10" s="569"/>
      <c r="V10" s="569"/>
      <c r="W10" s="569"/>
      <c r="X10" s="569"/>
      <c r="Y10" s="569"/>
      <c r="Z10" s="569"/>
      <c r="AA10" s="569"/>
      <c r="AB10" s="569"/>
      <c r="AC10" s="569"/>
      <c r="AD10" s="569"/>
      <c r="AE10" s="569"/>
      <c r="AF10" s="569"/>
      <c r="AG10" s="569"/>
      <c r="AH10" s="569"/>
      <c r="AI10" s="569"/>
      <c r="AJ10" s="569"/>
      <c r="AK10" s="569"/>
      <c r="AL10" s="570"/>
      <c r="BB10" s="444"/>
      <c r="BC10" s="444"/>
      <c r="BD10" s="471">
        <v>4.8</v>
      </c>
      <c r="BE10" s="488"/>
      <c r="BF10" s="488"/>
      <c r="BG10" s="488"/>
      <c r="BH10" s="488"/>
      <c r="BI10" s="47" t="s">
        <v>531</v>
      </c>
      <c r="BJ10" s="18" t="s">
        <v>620</v>
      </c>
      <c r="BK10" s="488"/>
      <c r="BL10" s="488"/>
      <c r="BM10" s="488"/>
      <c r="BN10" s="488"/>
      <c r="BO10" s="488"/>
      <c r="BP10" s="482"/>
      <c r="BQ10" s="488"/>
      <c r="BR10" s="488"/>
      <c r="BS10" s="488"/>
      <c r="BT10" s="482"/>
      <c r="BU10" s="482"/>
      <c r="BV10" s="488"/>
      <c r="BW10" s="488"/>
      <c r="BX10" s="488"/>
      <c r="BY10" s="488"/>
      <c r="BZ10" s="482"/>
      <c r="CA10" s="444"/>
      <c r="CB10" s="444"/>
    </row>
    <row r="11" spans="5:81" x14ac:dyDescent="0.35">
      <c r="E11" s="571"/>
      <c r="F11" s="572"/>
      <c r="G11" s="572"/>
      <c r="H11" s="572"/>
      <c r="I11" s="572"/>
      <c r="J11" s="572"/>
      <c r="K11" s="572"/>
      <c r="L11" s="572"/>
      <c r="M11" s="572"/>
      <c r="N11" s="572"/>
      <c r="O11" s="572"/>
      <c r="P11" s="572"/>
      <c r="Q11" s="572"/>
      <c r="R11" s="572"/>
      <c r="S11" s="572"/>
      <c r="T11" s="572"/>
      <c r="U11" s="572"/>
      <c r="V11" s="572"/>
      <c r="W11" s="572"/>
      <c r="X11" s="572"/>
      <c r="Y11" s="572"/>
      <c r="Z11" s="572"/>
      <c r="AA11" s="572"/>
      <c r="AB11" s="572"/>
      <c r="AC11" s="572"/>
      <c r="AD11" s="572"/>
      <c r="AE11" s="572"/>
      <c r="AF11" s="572"/>
      <c r="AG11" s="572"/>
      <c r="AH11" s="572"/>
      <c r="AI11" s="572"/>
      <c r="AJ11" s="572"/>
      <c r="AK11" s="572"/>
      <c r="AL11" s="573"/>
      <c r="BB11" s="444"/>
      <c r="BC11" s="444"/>
      <c r="BD11" s="471">
        <v>4.7</v>
      </c>
      <c r="BE11" s="482"/>
      <c r="BF11" s="482"/>
      <c r="BG11" s="482"/>
      <c r="BH11" s="482"/>
      <c r="BI11" s="47" t="s">
        <v>528</v>
      </c>
      <c r="BJ11" s="18" t="s">
        <v>626</v>
      </c>
      <c r="BK11" s="482"/>
      <c r="BL11" s="482"/>
      <c r="BM11" s="482"/>
      <c r="BN11" s="482"/>
      <c r="BO11" s="482"/>
      <c r="BP11" s="482"/>
      <c r="BQ11" s="482"/>
      <c r="BR11" s="482"/>
      <c r="BS11" s="482"/>
      <c r="BT11" s="482"/>
      <c r="BU11" s="482"/>
      <c r="BV11" s="482"/>
      <c r="BW11" s="482"/>
      <c r="BX11" s="482"/>
      <c r="BY11" s="482"/>
      <c r="BZ11" s="482"/>
      <c r="CA11" s="444"/>
      <c r="CB11" s="444"/>
    </row>
    <row r="12" spans="5:81" ht="16.2" thickBot="1" x14ac:dyDescent="0.4">
      <c r="E12" s="571"/>
      <c r="F12" s="572"/>
      <c r="G12" s="572"/>
      <c r="H12" s="572"/>
      <c r="I12" s="572"/>
      <c r="J12" s="572"/>
      <c r="K12" s="572"/>
      <c r="L12" s="572"/>
      <c r="M12" s="572"/>
      <c r="N12" s="572"/>
      <c r="O12" s="572"/>
      <c r="P12" s="572"/>
      <c r="Q12" s="572"/>
      <c r="R12" s="572"/>
      <c r="S12" s="572"/>
      <c r="T12" s="572"/>
      <c r="U12" s="572"/>
      <c r="V12" s="572"/>
      <c r="W12" s="572"/>
      <c r="X12" s="572"/>
      <c r="Y12" s="572"/>
      <c r="Z12" s="572"/>
      <c r="AA12" s="572"/>
      <c r="AB12" s="572"/>
      <c r="AC12" s="572"/>
      <c r="AD12" s="572"/>
      <c r="AE12" s="572"/>
      <c r="AF12" s="572"/>
      <c r="AG12" s="572"/>
      <c r="AH12" s="572"/>
      <c r="AI12" s="572"/>
      <c r="AJ12" s="572"/>
      <c r="AK12" s="572"/>
      <c r="AL12" s="573"/>
      <c r="BB12" s="444"/>
      <c r="BC12" s="444"/>
      <c r="BD12" s="471">
        <v>4.5999999999999996</v>
      </c>
      <c r="BE12" s="482"/>
      <c r="BF12" s="482"/>
      <c r="BG12" s="482"/>
      <c r="BH12" s="482"/>
      <c r="BI12" s="47" t="s">
        <v>541</v>
      </c>
      <c r="BJ12" s="18" t="s">
        <v>627</v>
      </c>
      <c r="BK12" s="482"/>
      <c r="BL12" s="482"/>
      <c r="BM12" s="482"/>
      <c r="BN12" s="482"/>
      <c r="BO12" s="482"/>
      <c r="BP12" s="482"/>
      <c r="BQ12" s="482"/>
      <c r="BR12" s="482"/>
      <c r="BS12" s="482"/>
      <c r="BT12" s="482"/>
      <c r="BU12" s="482"/>
      <c r="BV12" s="482"/>
      <c r="BW12" s="482"/>
      <c r="BX12" s="482"/>
      <c r="BY12" s="482"/>
      <c r="BZ12" s="482"/>
      <c r="CA12" s="444"/>
      <c r="CB12" s="444"/>
    </row>
    <row r="13" spans="5:81" x14ac:dyDescent="0.35">
      <c r="E13" s="543"/>
      <c r="F13" s="544"/>
      <c r="G13" s="544"/>
      <c r="H13" s="544"/>
      <c r="I13" s="485"/>
      <c r="J13" s="485" t="s">
        <v>1228</v>
      </c>
      <c r="K13" s="485"/>
      <c r="L13" s="485" t="s">
        <v>1061</v>
      </c>
      <c r="M13" s="485"/>
      <c r="N13" s="485" t="s">
        <v>1232</v>
      </c>
      <c r="O13" s="485"/>
      <c r="P13" s="485" t="s">
        <v>1287</v>
      </c>
      <c r="Q13" s="544"/>
      <c r="R13" s="544"/>
      <c r="S13" s="544"/>
      <c r="T13" s="544"/>
      <c r="U13" s="544"/>
      <c r="V13" s="544"/>
      <c r="W13" s="544"/>
      <c r="X13" s="485"/>
      <c r="Y13" s="485" t="s">
        <v>1228</v>
      </c>
      <c r="Z13" s="485"/>
      <c r="AA13" s="485" t="s">
        <v>1061</v>
      </c>
      <c r="AB13" s="485"/>
      <c r="AC13" s="485" t="s">
        <v>1232</v>
      </c>
      <c r="AD13" s="485"/>
      <c r="AE13" s="485" t="s">
        <v>1287</v>
      </c>
      <c r="AF13" s="487"/>
      <c r="AG13" s="487"/>
      <c r="AH13" s="487"/>
      <c r="AI13" s="487"/>
      <c r="AJ13" s="487"/>
      <c r="AK13" s="487"/>
      <c r="AL13" s="492"/>
      <c r="BB13" s="444"/>
      <c r="BC13" s="444"/>
      <c r="BD13" s="471">
        <v>4.5</v>
      </c>
      <c r="BE13" s="488"/>
      <c r="BF13" s="488"/>
      <c r="BG13" s="488"/>
      <c r="BH13" s="488"/>
      <c r="BI13" s="47" t="s">
        <v>540</v>
      </c>
      <c r="BJ13" s="18" t="s">
        <v>2962</v>
      </c>
      <c r="BK13" s="488"/>
      <c r="BL13" s="488"/>
      <c r="BM13" s="488"/>
      <c r="BN13" s="482"/>
      <c r="BO13" s="488"/>
      <c r="BP13" s="488"/>
      <c r="BQ13" s="482"/>
      <c r="BR13" s="482"/>
      <c r="BS13" s="482"/>
      <c r="BT13" s="482"/>
      <c r="BU13" s="482"/>
      <c r="BV13" s="482"/>
      <c r="BW13" s="482"/>
      <c r="BX13" s="482"/>
      <c r="BY13" s="482"/>
      <c r="BZ13" s="482"/>
      <c r="CA13" s="444"/>
      <c r="CB13" s="444"/>
    </row>
    <row r="14" spans="5:81" x14ac:dyDescent="0.35">
      <c r="E14" s="553" t="s">
        <v>1032</v>
      </c>
      <c r="F14" s="548"/>
      <c r="G14" s="548"/>
      <c r="H14" s="548"/>
      <c r="I14" s="493" t="str">
        <f ca="1">IF(AND(OFFSET($Z$8,0,(LOG('(코어)데이터'!H6,2)-1)*3)-'(코어)데이터'!I6&gt;0,$AI$8-'(코어)데이터'!K6&gt;0),"O","X")</f>
        <v>X</v>
      </c>
      <c r="J14" s="493" t="str">
        <f ca="1">IF(AND(OFFSET($Z$8,0,(LOG('(코어)데이터'!H6,2)-1)*3)-'(코어)데이터'!M6&gt;0,$AI$8-'(코어)데이터'!O6&gt;0),"O","X")</f>
        <v>X</v>
      </c>
      <c r="K14" s="493" t="str">
        <f ca="1">IF(AND(OFFSET($Z$8,0,(LOG('(코어)데이터'!H6,2)-1)*3)-'(코어)데이터'!Q6&gt;0,$AI$8-'(코어)데이터'!S6&gt;0),"O","X")</f>
        <v>X</v>
      </c>
      <c r="L14" s="493" t="str">
        <f ca="1">IF(AND(OFFSET($Z$8,0,(LOG('(코어)데이터'!H6,2)-1)*3)-'(코어)데이터'!U6&gt;0,$AI$8-'(코어)데이터'!W6&gt;0),"O","X")</f>
        <v>X</v>
      </c>
      <c r="M14" s="493" t="str">
        <f ca="1">IF(AND(OFFSET($Z$8,0,(LOG('(코어)데이터'!H6,2)-1)*3)-'(코어)데이터'!Y6&gt;0,$AI$8-'(코어)데이터'!AA6&gt;0),"O","X")</f>
        <v>X</v>
      </c>
      <c r="N14" s="493" t="str">
        <f ca="1">IF(AND(OFFSET($Z$8,0,(LOG('(코어)데이터'!H6,2)-1)*3)-'(코어)데이터'!AC6&gt;0,$AI$8-'(코어)데이터'!AE6&gt;0),"O","X")</f>
        <v>X</v>
      </c>
      <c r="O14" s="493" t="str">
        <f ca="1">IF(AND(OFFSET($Z$8,0,(LOG('(코어)데이터'!H6,2)-1)*3)-'(코어)데이터'!AG6&gt;0,$AI$8-'(코어)데이터'!AI6&gt;0),"O","X")</f>
        <v>X</v>
      </c>
      <c r="P14" s="493" t="str">
        <f ca="1">IF(AND(OFFSET($Z$8,0,(LOG('(코어)데이터'!H6,2)-1)*3)-'(코어)데이터'!AK6&gt;0,$AI$8-'(코어)데이터'!AM6&gt;0),"O","X")</f>
        <v>X</v>
      </c>
      <c r="Q14" s="548" t="s">
        <v>2835</v>
      </c>
      <c r="R14" s="548"/>
      <c r="S14" s="548"/>
      <c r="T14" s="548"/>
      <c r="U14" s="548"/>
      <c r="V14" s="548"/>
      <c r="W14" s="548"/>
      <c r="X14" s="493" t="str">
        <f ca="1">IF(AND(OFFSET($Z$8,0,(LOG('(코어)데이터'!H26,2)-1)*3)-'(코어)데이터'!I26&gt;0,$AI$8-'(코어)데이터'!K26&gt;0),"O","X")</f>
        <v>X</v>
      </c>
      <c r="Y14" s="493" t="str">
        <f ca="1">IF(AND(OFFSET($Z$8,0,(LOG('(코어)데이터'!H26,2)-1)*3)-'(코어)데이터'!M26&gt;0,$AI$8-'(코어)데이터'!O26&gt;0),"O","X")</f>
        <v>X</v>
      </c>
      <c r="Z14" s="493" t="str">
        <f ca="1">IF(AND(OFFSET($Z$8,0,(LOG('(코어)데이터'!H26,2)-1)*3)-'(코어)데이터'!Q26&gt;0,$AI$8-'(코어)데이터'!S26&gt;0),"O","X")</f>
        <v>X</v>
      </c>
      <c r="AA14" s="493" t="str">
        <f ca="1">IF(AND(OFFSET($Z$8,0,(LOG('(코어)데이터'!H26,2)-1)*3)-'(코어)데이터'!U26&gt;0,$AI$8-'(코어)데이터'!W26&gt;0),"O","X")</f>
        <v>X</v>
      </c>
      <c r="AB14" s="493" t="str">
        <f ca="1">IF(AND(OFFSET($Z$8,0,(LOG('(코어)데이터'!H26,2)-1)*3)-'(코어)데이터'!Y26&gt;0,$AI$8-'(코어)데이터'!AA26&gt;0),"O","X")</f>
        <v>X</v>
      </c>
      <c r="AC14" s="493" t="str">
        <f ca="1">IF(AND(OFFSET($Z$8,0,(LOG('(코어)데이터'!H26,2)-1)*3)-'(코어)데이터'!AC26&gt;0,$AI$8-'(코어)데이터'!AE26&gt;0),"O","X")</f>
        <v>X</v>
      </c>
      <c r="AD14" s="493" t="str">
        <f ca="1">IF(AND(OFFSET($Z$8,0,(LOG('(코어)데이터'!H26,2)-1)*3)-'(코어)데이터'!AG26&gt;0,$AI$8-'(코어)데이터'!AI26&gt;0),"O","X")</f>
        <v>X</v>
      </c>
      <c r="AE14" s="493" t="str">
        <f ca="1">IF(AND(OFFSET($Z$8,0,(LOG('(코어)데이터'!H26,2)-1)*3)-'(코어)데이터'!AK26&gt;0,$AI$8-'(코어)데이터'!AM26&gt;0),"O","X")</f>
        <v>X</v>
      </c>
      <c r="AF14" s="476"/>
      <c r="AG14" s="476"/>
      <c r="AH14" s="476"/>
      <c r="AI14" s="476"/>
      <c r="AJ14" s="476"/>
      <c r="AK14" s="476"/>
      <c r="AL14" s="486"/>
      <c r="BB14" s="444"/>
      <c r="BC14" s="444"/>
      <c r="BD14" s="471">
        <v>4.4000000000000004</v>
      </c>
      <c r="BE14" s="482"/>
      <c r="BF14" s="482"/>
      <c r="BG14" s="482"/>
      <c r="BH14" s="482"/>
      <c r="BI14" s="47" t="s">
        <v>538</v>
      </c>
      <c r="BJ14" s="18" t="s">
        <v>629</v>
      </c>
      <c r="BK14" s="482"/>
      <c r="BL14" s="482"/>
      <c r="BM14" s="482"/>
      <c r="BN14" s="482"/>
      <c r="BO14" s="482"/>
      <c r="BP14" s="482"/>
      <c r="BQ14" s="482"/>
      <c r="BR14" s="482"/>
      <c r="BS14" s="482"/>
      <c r="BT14" s="482"/>
      <c r="BU14" s="482"/>
      <c r="BV14" s="482"/>
      <c r="BW14" s="482"/>
      <c r="BX14" s="482"/>
      <c r="BY14" s="482"/>
      <c r="BZ14" s="482"/>
      <c r="CA14" s="444"/>
      <c r="CB14" s="444"/>
    </row>
    <row r="15" spans="5:81" x14ac:dyDescent="0.35">
      <c r="E15" s="553" t="s">
        <v>1034</v>
      </c>
      <c r="F15" s="548"/>
      <c r="G15" s="548"/>
      <c r="H15" s="548"/>
      <c r="I15" s="493" t="str">
        <f ca="1">IF(AND(OFFSET($Z$8,0,(LOG('(코어)데이터'!H7,2)-1)*3)-'(코어)데이터'!I7&gt;0,$AI$8-'(코어)데이터'!K7&gt;0),"O","X")</f>
        <v>O</v>
      </c>
      <c r="J15" s="493" t="str">
        <f ca="1">IF(AND(OFFSET($Z$8,0,(LOG('(코어)데이터'!H7,2)-1)*3)-'(코어)데이터'!M7&gt;0,$AI$8-'(코어)데이터'!O7&gt;0),"O","X")</f>
        <v>O</v>
      </c>
      <c r="K15" s="493" t="str">
        <f ca="1">IF(AND(OFFSET($Z$8,0,(LOG('(코어)데이터'!H7,2)-1)*3)-'(코어)데이터'!Q7&gt;0,$AI$8-'(코어)데이터'!S7&gt;0),"O","X")</f>
        <v>O</v>
      </c>
      <c r="L15" s="493" t="str">
        <f ca="1">IF(AND(OFFSET($Z$8,0,(LOG('(코어)데이터'!H7,2)-1)*3)-'(코어)데이터'!U7&gt;0,$AI$8-'(코어)데이터'!W7&gt;0),"O","X")</f>
        <v>O</v>
      </c>
      <c r="M15" s="493" t="str">
        <f ca="1">IF(AND(OFFSET($Z$8,0,(LOG('(코어)데이터'!H7,2)-1)*3)-'(코어)데이터'!Y7&gt;0,$AI$8-'(코어)데이터'!AA7&gt;0),"O","X")</f>
        <v>O</v>
      </c>
      <c r="N15" s="493" t="str">
        <f ca="1">IF(AND(OFFSET($Z$8,0,(LOG('(코어)데이터'!H7,2)-1)*3)-'(코어)데이터'!AC7&gt;0,$AI$8-'(코어)데이터'!AE7&gt;0),"O","X")</f>
        <v>X</v>
      </c>
      <c r="O15" s="493" t="str">
        <f ca="1">IF(AND(OFFSET($Z$8,0,(LOG('(코어)데이터'!H7,2)-1)*3)-'(코어)데이터'!AG7&gt;0,$AI$8-'(코어)데이터'!AI7&gt;0),"O","X")</f>
        <v>X</v>
      </c>
      <c r="P15" s="493" t="str">
        <f ca="1">IF(AND(OFFSET($Z$8,0,(LOG('(코어)데이터'!H7,2)-1)*3)-'(코어)데이터'!AK7&gt;0,$AI$8-'(코어)데이터'!AM7&gt;0),"O","X")</f>
        <v>X</v>
      </c>
      <c r="Q15" s="548" t="s">
        <v>3040</v>
      </c>
      <c r="R15" s="548"/>
      <c r="S15" s="548"/>
      <c r="T15" s="548"/>
      <c r="U15" s="548"/>
      <c r="V15" s="548"/>
      <c r="W15" s="548"/>
      <c r="X15" s="493" t="str">
        <f ca="1">IF(AND(OFFSET($Z$8,0,(LOG('(코어)데이터'!H27,2)-1)*3)-'(코어)데이터'!I27&gt;0,$AI$8-'(코어)데이터'!K27&gt;0),"O","X")</f>
        <v>X</v>
      </c>
      <c r="Y15" s="493" t="str">
        <f ca="1">IF(AND(OFFSET($Z$8,0,(LOG('(코어)데이터'!H27,2)-1)*3)-'(코어)데이터'!M27&gt;0,$AI$8-'(코어)데이터'!O27&gt;0),"O","X")</f>
        <v>X</v>
      </c>
      <c r="Z15" s="493" t="str">
        <f ca="1">IF(AND(OFFSET($Z$8,0,(LOG('(코어)데이터'!H27,2)-1)*3)-'(코어)데이터'!Q27&gt;0,$AI$8-'(코어)데이터'!S27&gt;0),"O","X")</f>
        <v>X</v>
      </c>
      <c r="AA15" s="493" t="str">
        <f ca="1">IF(AND(OFFSET($Z$8,0,(LOG('(코어)데이터'!H27,2)-1)*3)-'(코어)데이터'!U27&gt;0,$AI$8-'(코어)데이터'!W27&gt;0),"O","X")</f>
        <v>X</v>
      </c>
      <c r="AB15" s="493" t="str">
        <f ca="1">IF(AND(OFFSET($Z$8,0,(LOG('(코어)데이터'!H27,2)-1)*3)-'(코어)데이터'!Y27&gt;0,$AI$8-'(코어)데이터'!AA27&gt;0),"O","X")</f>
        <v>X</v>
      </c>
      <c r="AC15" s="493" t="str">
        <f ca="1">IF(AND(OFFSET($Z$8,0,(LOG('(코어)데이터'!H27,2)-1)*3)-'(코어)데이터'!AC27&gt;0,$AI$8-'(코어)데이터'!AE27&gt;0),"O","X")</f>
        <v>X</v>
      </c>
      <c r="AD15" s="493" t="str">
        <f ca="1">IF(AND(OFFSET($Z$8,0,(LOG('(코어)데이터'!H27,2)-1)*3)-'(코어)데이터'!AG27&gt;0,$AI$8-'(코어)데이터'!AI27&gt;0),"O","X")</f>
        <v>X</v>
      </c>
      <c r="AE15" s="493" t="str">
        <f ca="1">IF(AND(OFFSET($Z$8,0,(LOG('(코어)데이터'!H27,2)-1)*3)-'(코어)데이터'!AK27&gt;0,$AI$8-'(코어)데이터'!AM27&gt;0),"O","X")</f>
        <v>X</v>
      </c>
      <c r="AF15" s="476"/>
      <c r="AG15" s="476"/>
      <c r="AH15" s="476"/>
      <c r="AI15" s="476"/>
      <c r="AJ15" s="476"/>
      <c r="AK15" s="476"/>
      <c r="AL15" s="486"/>
      <c r="BB15" s="444"/>
      <c r="BC15" s="444"/>
      <c r="BD15" s="471">
        <v>4.3</v>
      </c>
      <c r="BE15" s="482"/>
      <c r="BF15" s="484"/>
      <c r="BG15" s="482"/>
      <c r="BH15" s="482"/>
      <c r="BI15" s="47" t="s">
        <v>543</v>
      </c>
      <c r="BJ15" s="18" t="s">
        <v>631</v>
      </c>
      <c r="BK15" s="488"/>
      <c r="BL15" s="488"/>
      <c r="BM15" s="488"/>
      <c r="BN15" s="482"/>
      <c r="BO15" s="488"/>
      <c r="BP15" s="488"/>
      <c r="BQ15" s="482"/>
      <c r="BR15" s="482"/>
      <c r="BS15" s="482"/>
      <c r="BT15" s="482"/>
      <c r="BU15" s="482"/>
      <c r="BV15" s="482"/>
      <c r="BW15" s="482"/>
      <c r="BX15" s="482"/>
      <c r="BY15" s="482"/>
      <c r="BZ15" s="482"/>
      <c r="CA15" s="444"/>
      <c r="CB15" s="444"/>
    </row>
    <row r="16" spans="5:81" x14ac:dyDescent="0.35">
      <c r="E16" s="553" t="s">
        <v>1036</v>
      </c>
      <c r="F16" s="548"/>
      <c r="G16" s="548"/>
      <c r="H16" s="548"/>
      <c r="I16" s="493" t="str">
        <f ca="1">IF(AND(OFFSET($Z$8,0,(LOG('(코어)데이터'!H8,2)-1)*3)-'(코어)데이터'!I8&gt;0,$AI$8-'(코어)데이터'!K8&gt;0),"O","X")</f>
        <v>O</v>
      </c>
      <c r="J16" s="493" t="str">
        <f ca="1">IF(AND(OFFSET($Z$8,0,(LOG('(코어)데이터'!H8,2)-1)*3)-'(코어)데이터'!M8&gt;0,$AI$8-'(코어)데이터'!O8&gt;0),"O","X")</f>
        <v>O</v>
      </c>
      <c r="K16" s="493" t="str">
        <f ca="1">IF(AND(OFFSET($Z$8,0,(LOG('(코어)데이터'!H8,2)-1)*3)-'(코어)데이터'!Q8&gt;0,$AI$8-'(코어)데이터'!S8&gt;0),"O","X")</f>
        <v>O</v>
      </c>
      <c r="L16" s="493" t="str">
        <f ca="1">IF(AND(OFFSET($Z$8,0,(LOG('(코어)데이터'!H8,2)-1)*3)-'(코어)데이터'!U8&gt;0,$AI$8-'(코어)데이터'!W8&gt;0),"O","X")</f>
        <v>O</v>
      </c>
      <c r="M16" s="493" t="str">
        <f ca="1">IF(AND(OFFSET($Z$8,0,(LOG('(코어)데이터'!H8,2)-1)*3)-'(코어)데이터'!Y8&gt;0,$AI$8-'(코어)데이터'!AA8&gt;0),"O","X")</f>
        <v>O</v>
      </c>
      <c r="N16" s="493" t="str">
        <f ca="1">IF(AND(OFFSET($Z$8,0,(LOG('(코어)데이터'!H8,2)-1)*3)-'(코어)데이터'!AC8&gt;0,$AI$8-'(코어)데이터'!AE8&gt;0),"O","X")</f>
        <v>X</v>
      </c>
      <c r="O16" s="493" t="str">
        <f ca="1">IF(AND(OFFSET($Z$8,0,(LOG('(코어)데이터'!H8,2)-1)*3)-'(코어)데이터'!AG8&gt;0,$AI$8-'(코어)데이터'!AI8&gt;0),"O","X")</f>
        <v>X</v>
      </c>
      <c r="P16" s="493" t="str">
        <f ca="1">IF(AND(OFFSET($Z$8,0,(LOG('(코어)데이터'!H8,2)-1)*3)-'(코어)데이터'!AK8&gt;0,$AI$8-'(코어)데이터'!AM8&gt;0),"O","X")</f>
        <v>X</v>
      </c>
      <c r="Q16" s="548" t="s">
        <v>2993</v>
      </c>
      <c r="R16" s="548"/>
      <c r="S16" s="548"/>
      <c r="T16" s="548"/>
      <c r="U16" s="548"/>
      <c r="V16" s="548"/>
      <c r="W16" s="548"/>
      <c r="X16" s="493" t="str">
        <f ca="1">IF(AND(OFFSET($Z$8,0,(LOG('(코어)데이터'!H28,2)-1)*3)-'(코어)데이터'!I28&gt;0,$AI$8-'(코어)데이터'!K28&gt;0),"O","X")</f>
        <v>X</v>
      </c>
      <c r="Y16" s="493" t="str">
        <f ca="1">IF(AND(OFFSET($Z$8,0,(LOG('(코어)데이터'!H28,2)-1)*3)-'(코어)데이터'!M28&gt;0,$AI$8-'(코어)데이터'!O28&gt;0),"O","X")</f>
        <v>X</v>
      </c>
      <c r="Z16" s="493" t="str">
        <f ca="1">IF(AND(OFFSET($Z$8,0,(LOG('(코어)데이터'!H28,2)-1)*3)-'(코어)데이터'!Q28&gt;0,$AI$8-'(코어)데이터'!S28&gt;0),"O","X")</f>
        <v>X</v>
      </c>
      <c r="AA16" s="493" t="str">
        <f ca="1">IF(AND(OFFSET($Z$8,0,(LOG('(코어)데이터'!H28,2)-1)*3)-'(코어)데이터'!U28&gt;0,$AI$8-'(코어)데이터'!W28&gt;0),"O","X")</f>
        <v>X</v>
      </c>
      <c r="AB16" s="493" t="str">
        <f ca="1">IF(AND(OFFSET($Z$8,0,(LOG('(코어)데이터'!H28,2)-1)*3)-'(코어)데이터'!Y28&gt;0,$AI$8-'(코어)데이터'!AA28&gt;0),"O","X")</f>
        <v>X</v>
      </c>
      <c r="AC16" s="493" t="str">
        <f ca="1">IF(AND(OFFSET($Z$8,0,(LOG('(코어)데이터'!H28,2)-1)*3)-'(코어)데이터'!AC28&gt;0,$AI$8-'(코어)데이터'!AE28&gt;0),"O","X")</f>
        <v>X</v>
      </c>
      <c r="AD16" s="493" t="str">
        <f ca="1">IF(AND(OFFSET($Z$8,0,(LOG('(코어)데이터'!H28,2)-1)*3)-'(코어)데이터'!AG28&gt;0,$AI$8-'(코어)데이터'!AI28&gt;0),"O","X")</f>
        <v>X</v>
      </c>
      <c r="AE16" s="493" t="str">
        <f ca="1">IF(AND(OFFSET($Z$8,0,(LOG('(코어)데이터'!H28,2)-1)*3)-'(코어)데이터'!AK28&gt;0,$AI$8-'(코어)데이터'!AM28&gt;0),"O","X")</f>
        <v>X</v>
      </c>
      <c r="AF16" s="476"/>
      <c r="AG16" s="593" t="s">
        <v>1223</v>
      </c>
      <c r="AH16" s="593"/>
      <c r="AI16" s="593"/>
      <c r="AJ16" s="593"/>
      <c r="AK16" s="476"/>
      <c r="AL16" s="486"/>
      <c r="BB16" s="444"/>
      <c r="BC16" s="444"/>
      <c r="BD16" s="471">
        <v>4.2</v>
      </c>
      <c r="BE16" s="482"/>
      <c r="BF16" s="482"/>
      <c r="BG16" s="482"/>
      <c r="BH16" s="482"/>
      <c r="BI16" s="47" t="s">
        <v>542</v>
      </c>
      <c r="BJ16" s="18" t="s">
        <v>617</v>
      </c>
      <c r="BK16" s="482"/>
      <c r="BL16" s="482"/>
      <c r="BM16" s="482"/>
      <c r="BN16" s="482"/>
      <c r="BO16" s="482"/>
      <c r="BP16" s="482"/>
      <c r="BQ16" s="482"/>
      <c r="BR16" s="482"/>
      <c r="BS16" s="482"/>
      <c r="BT16" s="482"/>
      <c r="BU16" s="482"/>
      <c r="BV16" s="482"/>
      <c r="BW16" s="482"/>
      <c r="BX16" s="482"/>
      <c r="BY16" s="482"/>
      <c r="BZ16" s="482"/>
      <c r="CA16" s="444"/>
      <c r="CB16" s="444"/>
    </row>
    <row r="17" spans="5:80" x14ac:dyDescent="0.35">
      <c r="E17" s="553" t="s">
        <v>1038</v>
      </c>
      <c r="F17" s="548"/>
      <c r="G17" s="548"/>
      <c r="H17" s="548"/>
      <c r="I17" s="493" t="str">
        <f ca="1">IF(AND(OFFSET($Z$8,0,(LOG('(코어)데이터'!H9,2)-1)*3)-'(코어)데이터'!I9&gt;0,$AI$8-'(코어)데이터'!K9&gt;0),"O","X")</f>
        <v>X</v>
      </c>
      <c r="J17" s="493" t="str">
        <f ca="1">IF(AND(OFFSET($Z$8,0,(LOG('(코어)데이터'!H9,2)-1)*3)-'(코어)데이터'!M9&gt;0,$AI$8-'(코어)데이터'!O9&gt;0),"O","X")</f>
        <v>X</v>
      </c>
      <c r="K17" s="493" t="str">
        <f ca="1">IF(AND(OFFSET($Z$8,0,(LOG('(코어)데이터'!H9,2)-1)*3)-'(코어)데이터'!Q9&gt;0,$AI$8-'(코어)데이터'!S9&gt;0),"O","X")</f>
        <v>X</v>
      </c>
      <c r="L17" s="493" t="str">
        <f ca="1">IF(AND(OFFSET($Z$8,0,(LOG('(코어)데이터'!H9,2)-1)*3)-'(코어)데이터'!U9&gt;0,$AI$8-'(코어)데이터'!W9&gt;0),"O","X")</f>
        <v>X</v>
      </c>
      <c r="M17" s="493" t="str">
        <f ca="1">IF(AND(OFFSET($Z$8,0,(LOG('(코어)데이터'!H9,2)-1)*3)-'(코어)데이터'!Y9&gt;0,$AI$8-'(코어)데이터'!AA9&gt;0),"O","X")</f>
        <v>X</v>
      </c>
      <c r="N17" s="493" t="str">
        <f ca="1">IF(AND(OFFSET($Z$8,0,(LOG('(코어)데이터'!H9,2)-1)*3)-'(코어)데이터'!AC9&gt;0,$AI$8-'(코어)데이터'!AE9&gt;0),"O","X")</f>
        <v>X</v>
      </c>
      <c r="O17" s="493" t="str">
        <f ca="1">IF(AND(OFFSET($Z$8,0,(LOG('(코어)데이터'!H9,2)-1)*3)-'(코어)데이터'!AG9&gt;0,$AI$8-'(코어)데이터'!AI9&gt;0),"O","X")</f>
        <v>X</v>
      </c>
      <c r="P17" s="493" t="str">
        <f ca="1">IF(AND(OFFSET($Z$8,0,(LOG('(코어)데이터'!H9,2)-1)*3)-'(코어)데이터'!AK9&gt;0,$AI$8-'(코어)데이터'!AM9&gt;0),"O","X")</f>
        <v>X</v>
      </c>
      <c r="Q17" s="548" t="s">
        <v>1077</v>
      </c>
      <c r="R17" s="548"/>
      <c r="S17" s="548"/>
      <c r="T17" s="548"/>
      <c r="U17" s="548"/>
      <c r="V17" s="548"/>
      <c r="W17" s="548"/>
      <c r="X17" s="493" t="str">
        <f ca="1">IF(AND(OFFSET($Z$8,0,(LOG('(코어)데이터'!H29,2)-1)*3)-'(코어)데이터'!I29&gt;0,$AI$8-'(코어)데이터'!K29&gt;0),"O","X")</f>
        <v>X</v>
      </c>
      <c r="Y17" s="493" t="str">
        <f ca="1">IF(AND(OFFSET($Z$8,0,(LOG('(코어)데이터'!H29,2)-1)*3)-'(코어)데이터'!M29&gt;0,$AI$8-'(코어)데이터'!O29&gt;0),"O","X")</f>
        <v>X</v>
      </c>
      <c r="Z17" s="493" t="str">
        <f ca="1">IF(AND(OFFSET($Z$8,0,(LOG('(코어)데이터'!H29,2)-1)*3)-'(코어)데이터'!Q29&gt;0,$AI$8-'(코어)데이터'!S29&gt;0),"O","X")</f>
        <v>X</v>
      </c>
      <c r="AA17" s="493" t="str">
        <f ca="1">IF(AND(OFFSET($Z$8,0,(LOG('(코어)데이터'!H29,2)-1)*3)-'(코어)데이터'!U29&gt;0,$AI$8-'(코어)데이터'!W29&gt;0),"O","X")</f>
        <v>X</v>
      </c>
      <c r="AB17" s="493" t="str">
        <f ca="1">IF(AND(OFFSET($Z$8,0,(LOG('(코어)데이터'!H29,2)-1)*3)-'(코어)데이터'!Y29&gt;0,$AI$8-'(코어)데이터'!AA29&gt;0),"O","X")</f>
        <v>X</v>
      </c>
      <c r="AC17" s="493" t="str">
        <f ca="1">IF(AND(OFFSET($Z$8,0,(LOG('(코어)데이터'!H29,2)-1)*3)-'(코어)데이터'!AC29&gt;0,$AI$8-'(코어)데이터'!AE29&gt;0),"O","X")</f>
        <v>X</v>
      </c>
      <c r="AD17" s="493" t="str">
        <f ca="1">IF(AND(OFFSET($Z$8,0,(LOG('(코어)데이터'!H29,2)-1)*3)-'(코어)데이터'!AG29&gt;0,$AI$8-'(코어)데이터'!AI29&gt;0),"O","X")</f>
        <v>X</v>
      </c>
      <c r="AE17" s="493" t="str">
        <f ca="1">IF(AND(OFFSET($Z$8,0,(LOG('(코어)데이터'!H29,2)-1)*3)-'(코어)데이터'!AK29&gt;0,$AI$8-'(코어)데이터'!AM29&gt;0),"O","X")</f>
        <v>X</v>
      </c>
      <c r="AF17" s="476"/>
      <c r="AG17" s="584" t="s">
        <v>229</v>
      </c>
      <c r="AH17" s="585"/>
      <c r="AI17" s="585"/>
      <c r="AJ17" s="586"/>
      <c r="AK17" s="476"/>
      <c r="AL17" s="486"/>
      <c r="BB17" s="444"/>
      <c r="BC17" s="444"/>
      <c r="BD17" s="471">
        <v>4.0999999999999996</v>
      </c>
      <c r="BE17" s="482"/>
      <c r="BF17" s="482"/>
      <c r="BG17" s="482"/>
      <c r="BH17" s="482"/>
      <c r="BI17" s="47" t="s">
        <v>377</v>
      </c>
      <c r="BJ17" s="18" t="s">
        <v>623</v>
      </c>
      <c r="BK17" s="482"/>
      <c r="BL17" s="482"/>
      <c r="BM17" s="482"/>
      <c r="BN17" s="482"/>
      <c r="BO17" s="482"/>
      <c r="BP17" s="482"/>
      <c r="BQ17" s="482"/>
      <c r="BR17" s="482"/>
      <c r="BS17" s="482"/>
      <c r="BT17" s="482"/>
      <c r="BU17" s="482"/>
      <c r="BV17" s="482"/>
      <c r="BW17" s="482"/>
      <c r="BX17" s="482"/>
      <c r="BY17" s="482"/>
      <c r="BZ17" s="482"/>
      <c r="CA17" s="444"/>
      <c r="CB17" s="444"/>
    </row>
    <row r="18" spans="5:80" x14ac:dyDescent="0.35">
      <c r="E18" s="553" t="s">
        <v>1040</v>
      </c>
      <c r="F18" s="548"/>
      <c r="G18" s="548"/>
      <c r="H18" s="548"/>
      <c r="I18" s="493" t="str">
        <f ca="1">IF(AND(OFFSET($Z$8,0,(LOG('(코어)데이터'!H10,2)-1)*3)-'(코어)데이터'!I10&gt;0,$AI$8-'(코어)데이터'!K10&gt;0),"O","X")</f>
        <v>X</v>
      </c>
      <c r="J18" s="493" t="str">
        <f ca="1">IF(AND(OFFSET($Z$8,0,(LOG('(코어)데이터'!H10,2)-1)*3)-'(코어)데이터'!M10&gt;0,$AI$8-'(코어)데이터'!O10&gt;0),"O","X")</f>
        <v>X</v>
      </c>
      <c r="K18" s="493" t="str">
        <f ca="1">IF(AND(OFFSET($Z$8,0,(LOG('(코어)데이터'!H10,2)-1)*3)-'(코어)데이터'!Q10&gt;0,$AI$8-'(코어)데이터'!S10&gt;0),"O","X")</f>
        <v>X</v>
      </c>
      <c r="L18" s="493" t="str">
        <f ca="1">IF(AND(OFFSET($Z$8,0,(LOG('(코어)데이터'!H10,2)-1)*3)-'(코어)데이터'!U10&gt;0,$AI$8-'(코어)데이터'!W10&gt;0),"O","X")</f>
        <v>X</v>
      </c>
      <c r="M18" s="493" t="str">
        <f ca="1">IF(AND(OFFSET($Z$8,0,(LOG('(코어)데이터'!H10,2)-1)*3)-'(코어)데이터'!Y10&gt;0,$AI$8-'(코어)데이터'!AA10&gt;0),"O","X")</f>
        <v>X</v>
      </c>
      <c r="N18" s="493" t="str">
        <f ca="1">IF(AND(OFFSET($Z$8,0,(LOG('(코어)데이터'!H10,2)-1)*3)-'(코어)데이터'!AC10&gt;0,$AI$8-'(코어)데이터'!AE10&gt;0),"O","X")</f>
        <v>X</v>
      </c>
      <c r="O18" s="493" t="str">
        <f ca="1">IF(AND(OFFSET($Z$8,0,(LOG('(코어)데이터'!H10,2)-1)*3)-'(코어)데이터'!AG10&gt;0,$AI$8-'(코어)데이터'!AI10&gt;0),"O","X")</f>
        <v>X</v>
      </c>
      <c r="P18" s="493" t="str">
        <f ca="1">IF(AND(OFFSET($Z$8,0,(LOG('(코어)데이터'!H10,2)-1)*3)-'(코어)데이터'!AK10&gt;0,$AI$8-'(코어)데이터'!AM10&gt;0),"O","X")</f>
        <v>X</v>
      </c>
      <c r="Q18" s="548" t="s">
        <v>1072</v>
      </c>
      <c r="R18" s="548"/>
      <c r="S18" s="548"/>
      <c r="T18" s="548"/>
      <c r="U18" s="548"/>
      <c r="V18" s="548"/>
      <c r="W18" s="548"/>
      <c r="X18" s="493" t="str">
        <f ca="1">IF(AND(OFFSET($Z$8,0,(LOG('(코어)데이터'!H30,2)-1)*3)-'(코어)데이터'!I30&gt;0,$AI$8-'(코어)데이터'!K30&gt;0),"O","X")</f>
        <v>X</v>
      </c>
      <c r="Y18" s="493" t="str">
        <f ca="1">IF(AND(OFFSET($Z$8,0,(LOG('(코어)데이터'!H30,2)-1)*3)-'(코어)데이터'!M30&gt;0,$AI$8-'(코어)데이터'!O30&gt;0),"O","X")</f>
        <v>X</v>
      </c>
      <c r="Z18" s="493" t="str">
        <f ca="1">IF(AND(OFFSET($Z$8,0,(LOG('(코어)데이터'!H30,2)-1)*3)-'(코어)데이터'!Q30&gt;0,$AI$8-'(코어)데이터'!S30&gt;0),"O","X")</f>
        <v>X</v>
      </c>
      <c r="AA18" s="493" t="str">
        <f ca="1">IF(AND(OFFSET($Z$8,0,(LOG('(코어)데이터'!H30,2)-1)*3)-'(코어)데이터'!U30&gt;0,$AI$8-'(코어)데이터'!W30&gt;0),"O","X")</f>
        <v>X</v>
      </c>
      <c r="AB18" s="493" t="str">
        <f ca="1">IF(AND(OFFSET($Z$8,0,(LOG('(코어)데이터'!H30,2)-1)*3)-'(코어)데이터'!Y30&gt;0,$AI$8-'(코어)데이터'!AA30&gt;0),"O","X")</f>
        <v>X</v>
      </c>
      <c r="AC18" s="493" t="str">
        <f ca="1">IF(AND(OFFSET($Z$8,0,(LOG('(코어)데이터'!H30,2)-1)*3)-'(코어)데이터'!AC30&gt;0,$AI$8-'(코어)데이터'!AE30&gt;0),"O","X")</f>
        <v>X</v>
      </c>
      <c r="AD18" s="493" t="str">
        <f ca="1">IF(AND(OFFSET($Z$8,0,(LOG('(코어)데이터'!H30,2)-1)*3)-'(코어)데이터'!AG30&gt;0,$AI$8-'(코어)데이터'!AI30&gt;0),"O","X")</f>
        <v>X</v>
      </c>
      <c r="AE18" s="493" t="str">
        <f ca="1">IF(AND(OFFSET($Z$8,0,(LOG('(코어)데이터'!H30,2)-1)*3)-'(코어)데이터'!AK30&gt;0,$AI$8-'(코어)데이터'!AM30&gt;0),"O","X")</f>
        <v>X</v>
      </c>
      <c r="AF18" s="476"/>
      <c r="AG18" s="587"/>
      <c r="AH18" s="588"/>
      <c r="AI18" s="588"/>
      <c r="AJ18" s="589"/>
      <c r="AK18" s="476"/>
      <c r="AL18" s="486"/>
      <c r="BB18" s="444"/>
      <c r="BC18" s="444"/>
      <c r="BD18" s="471">
        <v>4</v>
      </c>
      <c r="BE18" s="482"/>
      <c r="BF18" s="482"/>
      <c r="BG18" s="482"/>
      <c r="BH18" s="482"/>
      <c r="BI18" s="47" t="s">
        <v>374</v>
      </c>
      <c r="BJ18" s="18" t="s">
        <v>632</v>
      </c>
      <c r="BK18" s="488"/>
      <c r="BL18" s="488"/>
      <c r="BM18" s="488"/>
      <c r="BN18" s="482"/>
      <c r="BO18" s="488"/>
      <c r="BP18" s="488"/>
      <c r="BQ18" s="482"/>
      <c r="BR18" s="482"/>
      <c r="BS18" s="482"/>
      <c r="BT18" s="482"/>
      <c r="BU18" s="482"/>
      <c r="BV18" s="482"/>
      <c r="BW18" s="482"/>
      <c r="BX18" s="482"/>
      <c r="BY18" s="482"/>
      <c r="BZ18" s="482"/>
      <c r="CA18" s="444"/>
      <c r="CB18" s="444"/>
    </row>
    <row r="19" spans="5:80" x14ac:dyDescent="0.35">
      <c r="E19" s="551" t="s">
        <v>1042</v>
      </c>
      <c r="F19" s="552"/>
      <c r="G19" s="552"/>
      <c r="H19" s="552"/>
      <c r="I19" s="493" t="str">
        <f ca="1">IF(AND(OFFSET($Z$8,0,(LOG('(코어)데이터'!H11,2)-1)*3)-'(코어)데이터'!I11&gt;0,$AI$8-'(코어)데이터'!K11&gt;0),"O","X")</f>
        <v>X</v>
      </c>
      <c r="J19" s="493" t="str">
        <f ca="1">IF(AND(OFFSET($Z$8,0,(LOG('(코어)데이터'!H11,2)-1)*3)-'(코어)데이터'!M11&gt;0,$AI$8-'(코어)데이터'!O11&gt;0),"O","X")</f>
        <v>X</v>
      </c>
      <c r="K19" s="493" t="str">
        <f ca="1">IF(AND(OFFSET($Z$8,0,(LOG('(코어)데이터'!H11,2)-1)*3)-'(코어)데이터'!Q11&gt;0,$AI$8-'(코어)데이터'!S11&gt;0),"O","X")</f>
        <v>X</v>
      </c>
      <c r="L19" s="493" t="str">
        <f ca="1">IF(AND(OFFSET($Z$8,0,(LOG('(코어)데이터'!H11,2)-1)*3)-'(코어)데이터'!U11&gt;0,$AI$8-'(코어)데이터'!W11&gt;0),"O","X")</f>
        <v>X</v>
      </c>
      <c r="M19" s="493" t="str">
        <f ca="1">IF(AND(OFFSET($Z$8,0,(LOG('(코어)데이터'!H11,2)-1)*3)-'(코어)데이터'!Y11&gt;0,$AI$8-'(코어)데이터'!AA11&gt;0),"O","X")</f>
        <v>X</v>
      </c>
      <c r="N19" s="493" t="str">
        <f ca="1">IF(AND(OFFSET($Z$8,0,(LOG('(코어)데이터'!H11,2)-1)*3)-'(코어)데이터'!AC11&gt;0,$AI$8-'(코어)데이터'!AE11&gt;0),"O","X")</f>
        <v>X</v>
      </c>
      <c r="O19" s="493" t="str">
        <f ca="1">IF(AND(OFFSET($Z$8,0,(LOG('(코어)데이터'!H11,2)-1)*3)-'(코어)데이터'!AG11&gt;0,$AI$8-'(코어)데이터'!AI11&gt;0),"O","X")</f>
        <v>X</v>
      </c>
      <c r="P19" s="493" t="str">
        <f ca="1">IF(AND(OFFSET($Z$8,0,(LOG('(코어)데이터'!H11,2)-1)*3)-'(코어)데이터'!AK11&gt;0,$AI$8-'(코어)데이터'!AM11&gt;0),"O","X")</f>
        <v>X</v>
      </c>
      <c r="Q19" s="548" t="s">
        <v>1083</v>
      </c>
      <c r="R19" s="548"/>
      <c r="S19" s="548"/>
      <c r="T19" s="548"/>
      <c r="U19" s="548"/>
      <c r="V19" s="548"/>
      <c r="W19" s="548"/>
      <c r="X19" s="493" t="str">
        <f ca="1">IF(AND(OFFSET($Z$8,0,(LOG('(코어)데이터'!H31,2)-1)*3)-'(코어)데이터'!I31&gt;0,$AI$8-'(코어)데이터'!K31&gt;0),"O","X")</f>
        <v>X</v>
      </c>
      <c r="Y19" s="493" t="str">
        <f ca="1">IF(AND(OFFSET($Z$8,0,(LOG('(코어)데이터'!H31,2)-1)*3)-'(코어)데이터'!M31&gt;0,$AI$8-'(코어)데이터'!O31&gt;0),"O","X")</f>
        <v>X</v>
      </c>
      <c r="Z19" s="493" t="str">
        <f ca="1">IF(AND(OFFSET($Z$8,0,(LOG('(코어)데이터'!H31,2)-1)*3)-'(코어)데이터'!Q31&gt;0,$AI$8-'(코어)데이터'!S31&gt;0),"O","X")</f>
        <v>X</v>
      </c>
      <c r="AA19" s="493" t="str">
        <f ca="1">IF(AND(OFFSET($Z$8,0,(LOG('(코어)데이터'!H31,2)-1)*3)-'(코어)데이터'!U31&gt;0,$AI$8-'(코어)데이터'!W31&gt;0),"O","X")</f>
        <v>X</v>
      </c>
      <c r="AB19" s="493" t="str">
        <f ca="1">IF(AND(OFFSET($Z$8,0,(LOG('(코어)데이터'!H31,2)-1)*3)-'(코어)데이터'!Y31&gt;0,$AI$8-'(코어)데이터'!AA31&gt;0),"O","X")</f>
        <v>X</v>
      </c>
      <c r="AC19" s="493" t="str">
        <f ca="1">IF(AND(OFFSET($Z$8,0,(LOG('(코어)데이터'!H31,2)-1)*3)-'(코어)데이터'!AC31&gt;0,$AI$8-'(코어)데이터'!AE31&gt;0),"O","X")</f>
        <v>X</v>
      </c>
      <c r="AD19" s="493" t="str">
        <f ca="1">IF(AND(OFFSET($Z$8,0,(LOG('(코어)데이터'!H31,2)-1)*3)-'(코어)데이터'!AG31&gt;0,$AI$8-'(코어)데이터'!AI31&gt;0),"O","X")</f>
        <v>X</v>
      </c>
      <c r="AE19" s="493" t="str">
        <f ca="1">IF(AND(OFFSET($Z$8,0,(LOG('(코어)데이터'!H31,2)-1)*3)-'(코어)데이터'!AK31&gt;0,$AI$8-'(코어)데이터'!AM31&gt;0),"O","X")</f>
        <v>X</v>
      </c>
      <c r="AF19" s="476"/>
      <c r="AG19" s="590"/>
      <c r="AH19" s="591"/>
      <c r="AI19" s="591"/>
      <c r="AJ19" s="592"/>
      <c r="AK19" s="476"/>
      <c r="AL19" s="486"/>
      <c r="BB19" s="444"/>
      <c r="BC19" s="444"/>
      <c r="BD19" s="471">
        <v>3.9</v>
      </c>
      <c r="BE19" s="482"/>
      <c r="BF19" s="482"/>
      <c r="BG19" s="482"/>
      <c r="BH19" s="482"/>
      <c r="BI19" s="47" t="s">
        <v>421</v>
      </c>
      <c r="BJ19" s="18" t="s">
        <v>633</v>
      </c>
      <c r="BK19" s="482"/>
      <c r="BL19" s="482"/>
      <c r="BM19" s="482"/>
      <c r="BN19" s="482"/>
      <c r="BO19" s="482"/>
      <c r="BP19" s="482"/>
      <c r="BQ19" s="482"/>
      <c r="BR19" s="482"/>
      <c r="BS19" s="482"/>
      <c r="BT19" s="482"/>
      <c r="BU19" s="482"/>
      <c r="BV19" s="482"/>
      <c r="BW19" s="482"/>
      <c r="BX19" s="482"/>
      <c r="BY19" s="482"/>
      <c r="BZ19" s="482"/>
      <c r="CA19" s="444"/>
      <c r="CB19" s="444"/>
    </row>
    <row r="20" spans="5:80" x14ac:dyDescent="0.35">
      <c r="E20" s="553" t="s">
        <v>1044</v>
      </c>
      <c r="F20" s="548"/>
      <c r="G20" s="548"/>
      <c r="H20" s="548"/>
      <c r="I20" s="493" t="str">
        <f ca="1">IF(AND(OFFSET($Z$8,0,(LOG('(코어)데이터'!H12,2)-1)*3)-'(코어)데이터'!I12&gt;0,$AI$8-'(코어)데이터'!K12&gt;0),"O","X")</f>
        <v>X</v>
      </c>
      <c r="J20" s="493" t="str">
        <f ca="1">IF(AND(OFFSET($Z$8,0,(LOG('(코어)데이터'!H12,2)-1)*3)-'(코어)데이터'!M12&gt;0,$AI$8-'(코어)데이터'!O12&gt;0),"O","X")</f>
        <v>X</v>
      </c>
      <c r="K20" s="493" t="str">
        <f ca="1">IF(AND(OFFSET($Z$8,0,(LOG('(코어)데이터'!H12,2)-1)*3)-'(코어)데이터'!Q12&gt;0,$AI$8-'(코어)데이터'!S12&gt;0),"O","X")</f>
        <v>X</v>
      </c>
      <c r="L20" s="493" t="str">
        <f ca="1">IF(AND(OFFSET($Z$8,0,(LOG('(코어)데이터'!H12,2)-1)*3)-'(코어)데이터'!U12&gt;0,$AI$8-'(코어)데이터'!W12&gt;0),"O","X")</f>
        <v>X</v>
      </c>
      <c r="M20" s="493" t="str">
        <f ca="1">IF(AND(OFFSET($Z$8,0,(LOG('(코어)데이터'!H12,2)-1)*3)-'(코어)데이터'!Y12&gt;0,$AI$8-'(코어)데이터'!AA12&gt;0),"O","X")</f>
        <v>X</v>
      </c>
      <c r="N20" s="493" t="str">
        <f ca="1">IF(AND(OFFSET($Z$8,0,(LOG('(코어)데이터'!H12,2)-1)*3)-'(코어)데이터'!AC12&gt;0,$AI$8-'(코어)데이터'!AE12&gt;0),"O","X")</f>
        <v>X</v>
      </c>
      <c r="O20" s="493" t="str">
        <f ca="1">IF(AND(OFFSET($Z$8,0,(LOG('(코어)데이터'!H12,2)-1)*3)-'(코어)데이터'!AG12&gt;0,$AI$8-'(코어)데이터'!AI12&gt;0),"O","X")</f>
        <v>X</v>
      </c>
      <c r="P20" s="493" t="str">
        <f ca="1">IF(AND(OFFSET($Z$8,0,(LOG('(코어)데이터'!H12,2)-1)*3)-'(코어)데이터'!AK12&gt;0,$AI$8-'(코어)데이터'!AM12&gt;0),"O","X")</f>
        <v>X</v>
      </c>
      <c r="Q20" s="548" t="s">
        <v>1075</v>
      </c>
      <c r="R20" s="548"/>
      <c r="S20" s="548"/>
      <c r="T20" s="548"/>
      <c r="U20" s="548"/>
      <c r="V20" s="548"/>
      <c r="W20" s="548"/>
      <c r="X20" s="493" t="str">
        <f ca="1">IF(AND(OFFSET($Z$8,0,(LOG('(코어)데이터'!H32,2)-1)*3)-'(코어)데이터'!I32&gt;0,$AI$8-'(코어)데이터'!K32&gt;0),"O","X")</f>
        <v>X</v>
      </c>
      <c r="Y20" s="493" t="str">
        <f ca="1">IF(AND(OFFSET($Z$8,0,(LOG('(코어)데이터'!H32,2)-1)*3)-'(코어)데이터'!M32&gt;0,$AI$8-'(코어)데이터'!O32&gt;0),"O","X")</f>
        <v>X</v>
      </c>
      <c r="Z20" s="493" t="str">
        <f ca="1">IF(AND(OFFSET($Z$8,0,(LOG('(코어)데이터'!H32,2)-1)*3)-'(코어)데이터'!Q32&gt;0,$AI$8-'(코어)데이터'!S32&gt;0),"O","X")</f>
        <v>X</v>
      </c>
      <c r="AA20" s="493" t="str">
        <f ca="1">IF(AND(OFFSET($Z$8,0,(LOG('(코어)데이터'!H32,2)-1)*3)-'(코어)데이터'!U32&gt;0,$AI$8-'(코어)데이터'!W32&gt;0),"O","X")</f>
        <v>X</v>
      </c>
      <c r="AB20" s="493" t="str">
        <f ca="1">IF(AND(OFFSET($Z$8,0,(LOG('(코어)데이터'!H32,2)-1)*3)-'(코어)데이터'!Y32&gt;0,$AI$8-'(코어)데이터'!AA32&gt;0),"O","X")</f>
        <v>X</v>
      </c>
      <c r="AC20" s="493" t="str">
        <f ca="1">IF(AND(OFFSET($Z$8,0,(LOG('(코어)데이터'!H32,2)-1)*3)-'(코어)데이터'!AC32&gt;0,$AI$8-'(코어)데이터'!AE32&gt;0),"O","X")</f>
        <v>X</v>
      </c>
      <c r="AD20" s="493" t="str">
        <f ca="1">IF(AND(OFFSET($Z$8,0,(LOG('(코어)데이터'!H32,2)-1)*3)-'(코어)데이터'!AG32&gt;0,$AI$8-'(코어)데이터'!AI32&gt;0),"O","X")</f>
        <v>X</v>
      </c>
      <c r="AE20" s="493" t="str">
        <f ca="1">IF(AND(OFFSET($Z$8,0,(LOG('(코어)데이터'!H32,2)-1)*3)-'(코어)데이터'!AK32&gt;0,$AI$8-'(코어)데이터'!AM32&gt;0),"O","X")</f>
        <v>X</v>
      </c>
      <c r="AF20" s="476"/>
      <c r="AG20" s="476"/>
      <c r="AH20" s="476"/>
      <c r="AI20" s="476"/>
      <c r="AJ20" s="476"/>
      <c r="AK20" s="476"/>
      <c r="AL20" s="486"/>
      <c r="BB20" s="444"/>
      <c r="BC20" s="444"/>
      <c r="BD20" s="471">
        <v>3.8</v>
      </c>
      <c r="BE20" s="482"/>
      <c r="BF20" s="482"/>
      <c r="BG20" s="482"/>
      <c r="BH20" s="482"/>
      <c r="BI20" s="47" t="s">
        <v>420</v>
      </c>
      <c r="BJ20" s="18" t="s">
        <v>634</v>
      </c>
      <c r="BK20" s="482"/>
      <c r="BL20" s="482"/>
      <c r="BM20" s="482"/>
      <c r="BN20" s="482"/>
      <c r="BO20" s="482"/>
      <c r="BP20" s="482"/>
      <c r="BQ20" s="482"/>
      <c r="BR20" s="482"/>
      <c r="BS20" s="482"/>
      <c r="BT20" s="482"/>
      <c r="BU20" s="482"/>
      <c r="BV20" s="482"/>
      <c r="BW20" s="482"/>
      <c r="BX20" s="482"/>
      <c r="BY20" s="482"/>
      <c r="BZ20" s="482"/>
      <c r="CA20" s="444"/>
      <c r="CB20" s="444"/>
    </row>
    <row r="21" spans="5:80" x14ac:dyDescent="0.35">
      <c r="E21" s="553" t="s">
        <v>1049</v>
      </c>
      <c r="F21" s="548"/>
      <c r="G21" s="548"/>
      <c r="H21" s="548"/>
      <c r="I21" s="493" t="str">
        <f ca="1">IF(AND(OFFSET($Z$8,0,(LOG('(코어)데이터'!H13,2)-1)*3)-'(코어)데이터'!I13&gt;0,$AI$8-'(코어)데이터'!K13&gt;0),"O","X")</f>
        <v>X</v>
      </c>
      <c r="J21" s="493" t="str">
        <f ca="1">IF(AND(OFFSET($Z$8,0,(LOG('(코어)데이터'!H13,2)-1)*3)-'(코어)데이터'!M13&gt;0,$AI$8-'(코어)데이터'!O13&gt;0),"O","X")</f>
        <v>X</v>
      </c>
      <c r="K21" s="493" t="str">
        <f ca="1">IF(AND(OFFSET($Z$8,0,(LOG('(코어)데이터'!H13,2)-1)*3)-'(코어)데이터'!Q13&gt;0,$AI$8-'(코어)데이터'!S13&gt;0),"O","X")</f>
        <v>X</v>
      </c>
      <c r="L21" s="493" t="str">
        <f ca="1">IF(AND(OFFSET($Z$8,0,(LOG('(코어)데이터'!H13,2)-1)*3)-'(코어)데이터'!U13&gt;0,$AI$8-'(코어)데이터'!W13&gt;0),"O","X")</f>
        <v>X</v>
      </c>
      <c r="M21" s="493" t="str">
        <f ca="1">IF(AND(OFFSET($Z$8,0,(LOG('(코어)데이터'!H13,2)-1)*3)-'(코어)데이터'!Y13&gt;0,$AI$8-'(코어)데이터'!AA13&gt;0),"O","X")</f>
        <v>X</v>
      </c>
      <c r="N21" s="493" t="str">
        <f ca="1">IF(AND(OFFSET($Z$8,0,(LOG('(코어)데이터'!H13,2)-1)*3)-'(코어)데이터'!AC13&gt;0,$AI$8-'(코어)데이터'!AE13&gt;0),"O","X")</f>
        <v>X</v>
      </c>
      <c r="O21" s="493" t="str">
        <f ca="1">IF(AND(OFFSET($Z$8,0,(LOG('(코어)데이터'!H13,2)-1)*3)-'(코어)데이터'!AG13&gt;0,$AI$8-'(코어)데이터'!AI13&gt;0),"O","X")</f>
        <v>X</v>
      </c>
      <c r="P21" s="493" t="str">
        <f ca="1">IF(AND(OFFSET($Z$8,0,(LOG('(코어)데이터'!H13,2)-1)*3)-'(코어)데이터'!AK13&gt;0,$AI$8-'(코어)데이터'!AM13&gt;0),"O","X")</f>
        <v>X</v>
      </c>
      <c r="Q21" s="548" t="s">
        <v>2839</v>
      </c>
      <c r="R21" s="548"/>
      <c r="S21" s="548"/>
      <c r="T21" s="548"/>
      <c r="U21" s="548"/>
      <c r="V21" s="548"/>
      <c r="W21" s="548"/>
      <c r="X21" s="493" t="str">
        <f ca="1">IF(AND(OFFSET($Z$8,0,(LOG('(코어)데이터'!H33,2)-1)*3)-'(코어)데이터'!I33&gt;0,$AI$8-'(코어)데이터'!K33&gt;0),"O","X")</f>
        <v>X</v>
      </c>
      <c r="Y21" s="493" t="str">
        <f ca="1">IF(AND(OFFSET($Z$8,0,(LOG('(코어)데이터'!H33,2)-1)*3)-'(코어)데이터'!M33&gt;0,$AI$8-'(코어)데이터'!O33&gt;0),"O","X")</f>
        <v>X</v>
      </c>
      <c r="Z21" s="493" t="str">
        <f ca="1">IF(AND(OFFSET($Z$8,0,(LOG('(코어)데이터'!H33,2)-1)*3)-'(코어)데이터'!Q33&gt;0,$AI$8-'(코어)데이터'!S33&gt;0),"O","X")</f>
        <v>X</v>
      </c>
      <c r="AA21" s="493" t="str">
        <f ca="1">IF(AND(OFFSET($Z$8,0,(LOG('(코어)데이터'!H33,2)-1)*3)-'(코어)데이터'!U33&gt;0,$AI$8-'(코어)데이터'!W33&gt;0),"O","X")</f>
        <v>X</v>
      </c>
      <c r="AB21" s="493" t="str">
        <f ca="1">IF(AND(OFFSET($Z$8,0,(LOG('(코어)데이터'!H33,2)-1)*3)-'(코어)데이터'!Y33&gt;0,$AI$8-'(코어)데이터'!AA33&gt;0),"O","X")</f>
        <v>X</v>
      </c>
      <c r="AC21" s="493" t="str">
        <f ca="1">IF(AND(OFFSET($Z$8,0,(LOG('(코어)데이터'!H33,2)-1)*3)-'(코어)데이터'!AC33&gt;0,$AI$8-'(코어)데이터'!AE33&gt;0),"O","X")</f>
        <v>X</v>
      </c>
      <c r="AD21" s="493" t="str">
        <f ca="1">IF(AND(OFFSET($Z$8,0,(LOG('(코어)데이터'!H33,2)-1)*3)-'(코어)데이터'!AG33&gt;0,$AI$8-'(코어)데이터'!AI33&gt;0),"O","X")</f>
        <v>X</v>
      </c>
      <c r="AE21" s="493" t="str">
        <f ca="1">IF(AND(OFFSET($Z$8,0,(LOG('(코어)데이터'!H33,2)-1)*3)-'(코어)데이터'!AK33&gt;0,$AI$8-'(코어)데이터'!AM33&gt;0),"O","X")</f>
        <v>X</v>
      </c>
      <c r="AF21" s="476"/>
      <c r="AG21" s="476"/>
      <c r="AH21" s="476"/>
      <c r="AI21" s="476"/>
      <c r="AJ21" s="476"/>
      <c r="AK21" s="476"/>
      <c r="AL21" s="486"/>
      <c r="BB21" s="444"/>
      <c r="BC21" s="444"/>
      <c r="BD21" s="471">
        <v>3.7</v>
      </c>
      <c r="BE21" s="482"/>
      <c r="BF21" s="482"/>
      <c r="BG21" s="482"/>
      <c r="BH21" s="482"/>
      <c r="BI21" s="47" t="s">
        <v>417</v>
      </c>
      <c r="BJ21" s="18" t="s">
        <v>636</v>
      </c>
      <c r="BK21" s="482"/>
      <c r="BL21" s="482"/>
      <c r="BM21" s="482"/>
      <c r="BN21" s="482"/>
      <c r="BO21" s="482"/>
      <c r="BP21" s="482"/>
      <c r="BQ21" s="482"/>
      <c r="BR21" s="482"/>
      <c r="BS21" s="482"/>
      <c r="BT21" s="482"/>
      <c r="BU21" s="482"/>
      <c r="BV21" s="482"/>
      <c r="BW21" s="482"/>
      <c r="BX21" s="482"/>
      <c r="BY21" s="482"/>
      <c r="BZ21" s="482"/>
      <c r="CA21" s="444"/>
      <c r="CB21" s="444"/>
    </row>
    <row r="22" spans="5:80" x14ac:dyDescent="0.35">
      <c r="E22" s="553" t="s">
        <v>1093</v>
      </c>
      <c r="F22" s="548"/>
      <c r="G22" s="548"/>
      <c r="H22" s="548"/>
      <c r="I22" s="493" t="str">
        <f ca="1">IF(AND(OFFSET($Z$8,0,(LOG('(코어)데이터'!H14,2)-1)*3)-'(코어)데이터'!I14&gt;0,$AI$8-'(코어)데이터'!K14&gt;0),"O","X")</f>
        <v>X</v>
      </c>
      <c r="J22" s="493" t="str">
        <f ca="1">IF(AND(OFFSET($Z$8,0,(LOG('(코어)데이터'!H14,2)-1)*3)-'(코어)데이터'!M14&gt;0,$AI$8-'(코어)데이터'!O14&gt;0),"O","X")</f>
        <v>X</v>
      </c>
      <c r="K22" s="493" t="str">
        <f ca="1">IF(AND(OFFSET($Z$8,0,(LOG('(코어)데이터'!H14,2)-1)*3)-'(코어)데이터'!Q14&gt;0,$AI$8-'(코어)데이터'!S14&gt;0),"O","X")</f>
        <v>X</v>
      </c>
      <c r="L22" s="493" t="str">
        <f ca="1">IF(AND(OFFSET($Z$8,0,(LOG('(코어)데이터'!H14,2)-1)*3)-'(코어)데이터'!U14&gt;0,$AI$8-'(코어)데이터'!W14&gt;0),"O","X")</f>
        <v>X</v>
      </c>
      <c r="M22" s="493" t="str">
        <f ca="1">IF(AND(OFFSET($Z$8,0,(LOG('(코어)데이터'!H14,2)-1)*3)-'(코어)데이터'!Y14&gt;0,$AI$8-'(코어)데이터'!AA14&gt;0),"O","X")</f>
        <v>X</v>
      </c>
      <c r="N22" s="493" t="str">
        <f ca="1">IF(AND(OFFSET($Z$8,0,(LOG('(코어)데이터'!H14,2)-1)*3)-'(코어)데이터'!AC14&gt;0,$AI$8-'(코어)데이터'!AE14&gt;0),"O","X")</f>
        <v>X</v>
      </c>
      <c r="O22" s="493" t="str">
        <f ca="1">IF(AND(OFFSET($Z$8,0,(LOG('(코어)데이터'!H14,2)-1)*3)-'(코어)데이터'!AG14&gt;0,$AI$8-'(코어)데이터'!AI14&gt;0),"O","X")</f>
        <v>X</v>
      </c>
      <c r="P22" s="493" t="str">
        <f ca="1">IF(AND(OFFSET($Z$8,0,(LOG('(코어)데이터'!H14,2)-1)*3)-'(코어)데이터'!AK14&gt;0,$AI$8-'(코어)데이터'!AM14&gt;0),"O","X")</f>
        <v>X</v>
      </c>
      <c r="Q22" s="548" t="s">
        <v>2836</v>
      </c>
      <c r="R22" s="548"/>
      <c r="S22" s="548"/>
      <c r="T22" s="548"/>
      <c r="U22" s="548"/>
      <c r="V22" s="548"/>
      <c r="W22" s="548"/>
      <c r="X22" s="493" t="str">
        <f ca="1">IF(AND(OFFSET($Z$8,0,(LOG('(코어)데이터'!H34,2)-1)*3)-'(코어)데이터'!I34&gt;0,$AI$8-'(코어)데이터'!K34&gt;0),"O","X")</f>
        <v>X</v>
      </c>
      <c r="Y22" s="493" t="str">
        <f ca="1">IF(AND(OFFSET($Z$8,0,(LOG('(코어)데이터'!H34,2)-1)*3)-'(코어)데이터'!M34&gt;0,$AI$8-'(코어)데이터'!O34&gt;0),"O","X")</f>
        <v>X</v>
      </c>
      <c r="Z22" s="493" t="str">
        <f ca="1">IF(AND(OFFSET($Z$8,0,(LOG('(코어)데이터'!H34,2)-1)*3)-'(코어)데이터'!Q34&gt;0,$AI$8-'(코어)데이터'!S34&gt;0),"O","X")</f>
        <v>X</v>
      </c>
      <c r="AA22" s="493" t="str">
        <f ca="1">IF(AND(OFFSET($Z$8,0,(LOG('(코어)데이터'!H34,2)-1)*3)-'(코어)데이터'!U34&gt;0,$AI$8-'(코어)데이터'!W34&gt;0),"O","X")</f>
        <v>X</v>
      </c>
      <c r="AB22" s="493" t="str">
        <f ca="1">IF(AND(OFFSET($Z$8,0,(LOG('(코어)데이터'!H34,2)-1)*3)-'(코어)데이터'!Y34&gt;0,$AI$8-'(코어)데이터'!AA34&gt;0),"O","X")</f>
        <v>X</v>
      </c>
      <c r="AC22" s="493" t="str">
        <f ca="1">IF(AND(OFFSET($Z$8,0,(LOG('(코어)데이터'!H34,2)-1)*3)-'(코어)데이터'!AC34&gt;0,$AI$8-'(코어)데이터'!AE34&gt;0),"O","X")</f>
        <v>X</v>
      </c>
      <c r="AD22" s="493" t="str">
        <f ca="1">IF(AND(OFFSET($Z$8,0,(LOG('(코어)데이터'!H34,2)-1)*3)-'(코어)데이터'!AG34&gt;0,$AI$8-'(코어)데이터'!AI34&gt;0),"O","X")</f>
        <v>X</v>
      </c>
      <c r="AE22" s="493" t="str">
        <f ca="1">IF(AND(OFFSET($Z$8,0,(LOG('(코어)데이터'!H34,2)-1)*3)-'(코어)데이터'!AK34&gt;0,$AI$8-'(코어)데이터'!AM34&gt;0),"O","X")</f>
        <v>X</v>
      </c>
      <c r="AF22" s="477"/>
      <c r="AG22" s="477"/>
      <c r="AH22" s="477"/>
      <c r="AI22" s="477"/>
      <c r="AJ22" s="477"/>
      <c r="AK22" s="476"/>
      <c r="AL22" s="486"/>
      <c r="BB22" s="444"/>
      <c r="BC22" s="444"/>
      <c r="BD22" s="471">
        <v>3.6</v>
      </c>
      <c r="BE22" s="482"/>
      <c r="BF22" s="482"/>
      <c r="BG22" s="482"/>
      <c r="BH22" s="482"/>
      <c r="BI22" s="47" t="s">
        <v>406</v>
      </c>
      <c r="BJ22" s="18" t="s">
        <v>636</v>
      </c>
      <c r="BK22" s="482"/>
      <c r="BL22" s="482"/>
      <c r="BM22" s="482"/>
      <c r="BN22" s="482"/>
      <c r="BO22" s="482"/>
      <c r="BP22" s="482"/>
      <c r="BQ22" s="482"/>
      <c r="BR22" s="482"/>
      <c r="BS22" s="482"/>
      <c r="BT22" s="482"/>
      <c r="BU22" s="482"/>
      <c r="BV22" s="482"/>
      <c r="BW22" s="482"/>
      <c r="BX22" s="482"/>
      <c r="BY22" s="482"/>
      <c r="BZ22" s="482"/>
      <c r="CA22" s="444"/>
      <c r="CB22" s="444"/>
    </row>
    <row r="23" spans="5:80" x14ac:dyDescent="0.35">
      <c r="E23" s="553" t="s">
        <v>1052</v>
      </c>
      <c r="F23" s="548"/>
      <c r="G23" s="548"/>
      <c r="H23" s="548"/>
      <c r="I23" s="493" t="str">
        <f ca="1">IF(AND(OFFSET($Z$8,0,(LOG('(코어)데이터'!H15,2)-1)*3)-'(코어)데이터'!I15&gt;0,$AI$8-'(코어)데이터'!K15&gt;0),"O","X")</f>
        <v>X</v>
      </c>
      <c r="J23" s="493" t="str">
        <f ca="1">IF(AND(OFFSET($Z$8,0,(LOG('(코어)데이터'!H15,2)-1)*3)-'(코어)데이터'!M15&gt;0,$AI$8-'(코어)데이터'!O15&gt;0),"O","X")</f>
        <v>X</v>
      </c>
      <c r="K23" s="493" t="str">
        <f ca="1">IF(AND(OFFSET($Z$8,0,(LOG('(코어)데이터'!H15,2)-1)*3)-'(코어)데이터'!Q15&gt;0,$AI$8-'(코어)데이터'!S15&gt;0),"O","X")</f>
        <v>X</v>
      </c>
      <c r="L23" s="493" t="str">
        <f ca="1">IF(AND(OFFSET($Z$8,0,(LOG('(코어)데이터'!H15,2)-1)*3)-'(코어)데이터'!U15&gt;0,$AI$8-'(코어)데이터'!W15&gt;0),"O","X")</f>
        <v>X</v>
      </c>
      <c r="M23" s="493" t="str">
        <f ca="1">IF(AND(OFFSET($Z$8,0,(LOG('(코어)데이터'!H15,2)-1)*3)-'(코어)데이터'!Y15&gt;0,$AI$8-'(코어)데이터'!AA15&gt;0),"O","X")</f>
        <v>X</v>
      </c>
      <c r="N23" s="493" t="str">
        <f ca="1">IF(AND(OFFSET($Z$8,0,(LOG('(코어)데이터'!H15,2)-1)*3)-'(코어)데이터'!AC15&gt;0,$AI$8-'(코어)데이터'!AE15&gt;0),"O","X")</f>
        <v>X</v>
      </c>
      <c r="O23" s="493" t="str">
        <f ca="1">IF(AND(OFFSET($Z$8,0,(LOG('(코어)데이터'!H15,2)-1)*3)-'(코어)데이터'!AG15&gt;0,$AI$8-'(코어)데이터'!AI15&gt;0),"O","X")</f>
        <v>X</v>
      </c>
      <c r="P23" s="493" t="str">
        <f ca="1">IF(AND(OFFSET($Z$8,0,(LOG('(코어)데이터'!H15,2)-1)*3)-'(코어)데이터'!AK15&gt;0,$AI$8-'(코어)데이터'!AM15&gt;0),"O","X")</f>
        <v>X</v>
      </c>
      <c r="Q23" s="548" t="s">
        <v>1079</v>
      </c>
      <c r="R23" s="548"/>
      <c r="S23" s="548"/>
      <c r="T23" s="548"/>
      <c r="U23" s="548"/>
      <c r="V23" s="548"/>
      <c r="W23" s="548"/>
      <c r="X23" s="493" t="str">
        <f ca="1">IF(AND(OFFSET($Z$8,0,(LOG('(코어)데이터'!H35,2)-1)*3)-'(코어)데이터'!I35&gt;0,$AI$8-'(코어)데이터'!K35&gt;0),"O","X")</f>
        <v>X</v>
      </c>
      <c r="Y23" s="493" t="str">
        <f ca="1">IF(AND(OFFSET($Z$8,0,(LOG('(코어)데이터'!H35,2)-1)*3)-'(코어)데이터'!M35&gt;0,$AI$8-'(코어)데이터'!O35&gt;0),"O","X")</f>
        <v>X</v>
      </c>
      <c r="Z23" s="493" t="str">
        <f ca="1">IF(AND(OFFSET($Z$8,0,(LOG('(코어)데이터'!H35,2)-1)*3)-'(코어)데이터'!Q35&gt;0,$AI$8-'(코어)데이터'!S35&gt;0),"O","X")</f>
        <v>X</v>
      </c>
      <c r="AA23" s="493" t="str">
        <f ca="1">IF(AND(OFFSET($Z$8,0,(LOG('(코어)데이터'!H35,2)-1)*3)-'(코어)데이터'!U35&gt;0,$AI$8-'(코어)데이터'!W35&gt;0),"O","X")</f>
        <v>X</v>
      </c>
      <c r="AB23" s="493" t="str">
        <f ca="1">IF(AND(OFFSET($Z$8,0,(LOG('(코어)데이터'!H35,2)-1)*3)-'(코어)데이터'!Y35&gt;0,$AI$8-'(코어)데이터'!AA35&gt;0),"O","X")</f>
        <v>X</v>
      </c>
      <c r="AC23" s="493" t="str">
        <f ca="1">IF(AND(OFFSET($Z$8,0,(LOG('(코어)데이터'!H35,2)-1)*3)-'(코어)데이터'!AC35&gt;0,$AI$8-'(코어)데이터'!AE35&gt;0),"O","X")</f>
        <v>X</v>
      </c>
      <c r="AD23" s="493" t="str">
        <f ca="1">IF(AND(OFFSET($Z$8,0,(LOG('(코어)데이터'!H35,2)-1)*3)-'(코어)데이터'!AG35&gt;0,$AI$8-'(코어)데이터'!AI35&gt;0),"O","X")</f>
        <v>X</v>
      </c>
      <c r="AE23" s="493" t="str">
        <f ca="1">IF(AND(OFFSET($Z$8,0,(LOG('(코어)데이터'!H35,2)-1)*3)-'(코어)데이터'!AK35&gt;0,$AI$8-'(코어)데이터'!AM35&gt;0),"O","X")</f>
        <v>X</v>
      </c>
      <c r="AF23" s="477"/>
      <c r="AG23" s="477"/>
      <c r="AH23" s="477"/>
      <c r="AI23" s="477"/>
      <c r="AJ23" s="477"/>
      <c r="AK23" s="477"/>
      <c r="AL23" s="478"/>
      <c r="BB23" s="444"/>
      <c r="BC23" s="444"/>
      <c r="BD23" s="471">
        <v>3.5</v>
      </c>
      <c r="BE23" s="482"/>
      <c r="BF23" s="482"/>
      <c r="BG23" s="482"/>
      <c r="BH23" s="482"/>
      <c r="BI23" s="47" t="s">
        <v>405</v>
      </c>
      <c r="BJ23" s="18" t="s">
        <v>636</v>
      </c>
      <c r="BK23" s="482"/>
      <c r="BL23" s="482"/>
      <c r="BM23" s="482"/>
      <c r="BN23" s="482"/>
      <c r="BO23" s="482"/>
      <c r="BP23" s="482"/>
      <c r="BQ23" s="482"/>
      <c r="BR23" s="482"/>
      <c r="BS23" s="482"/>
      <c r="BT23" s="482"/>
      <c r="BU23" s="482"/>
      <c r="BV23" s="482"/>
      <c r="BW23" s="482"/>
      <c r="BX23" s="482"/>
      <c r="BY23" s="482"/>
      <c r="BZ23" s="482"/>
      <c r="CA23" s="444"/>
      <c r="CB23" s="444"/>
    </row>
    <row r="24" spans="5:80" x14ac:dyDescent="0.35">
      <c r="E24" s="553" t="s">
        <v>1055</v>
      </c>
      <c r="F24" s="548"/>
      <c r="G24" s="548"/>
      <c r="H24" s="548"/>
      <c r="I24" s="493" t="str">
        <f ca="1">IF(AND(OFFSET($Z$8,0,(LOG('(코어)데이터'!H16,2)-1)*3)-'(코어)데이터'!I16&gt;0,$AI$8-'(코어)데이터'!K16&gt;0),"O","X")</f>
        <v>X</v>
      </c>
      <c r="J24" s="493" t="str">
        <f ca="1">IF(AND(OFFSET($Z$8,0,(LOG('(코어)데이터'!H16,2)-1)*3)-'(코어)데이터'!M16&gt;0,$AI$8-'(코어)데이터'!O16&gt;0),"O","X")</f>
        <v>X</v>
      </c>
      <c r="K24" s="493" t="str">
        <f ca="1">IF(AND(OFFSET($Z$8,0,(LOG('(코어)데이터'!H16,2)-1)*3)-'(코어)데이터'!Q16&gt;0,$AI$8-'(코어)데이터'!S16&gt;0),"O","X")</f>
        <v>X</v>
      </c>
      <c r="L24" s="493" t="str">
        <f ca="1">IF(AND(OFFSET($Z$8,0,(LOG('(코어)데이터'!H16,2)-1)*3)-'(코어)데이터'!U16&gt;0,$AI$8-'(코어)데이터'!W16&gt;0),"O","X")</f>
        <v>X</v>
      </c>
      <c r="M24" s="493" t="str">
        <f ca="1">IF(AND(OFFSET($Z$8,0,(LOG('(코어)데이터'!H16,2)-1)*3)-'(코어)데이터'!Y16&gt;0,$AI$8-'(코어)데이터'!AA16&gt;0),"O","X")</f>
        <v>X</v>
      </c>
      <c r="N24" s="493" t="str">
        <f ca="1">IF(AND(OFFSET($Z$8,0,(LOG('(코어)데이터'!H16,2)-1)*3)-'(코어)데이터'!AC16&gt;0,$AI$8-'(코어)데이터'!AE16&gt;0),"O","X")</f>
        <v>X</v>
      </c>
      <c r="O24" s="493" t="str">
        <f ca="1">IF(AND(OFFSET($Z$8,0,(LOG('(코어)데이터'!H16,2)-1)*3)-'(코어)데이터'!AG16&gt;0,$AI$8-'(코어)데이터'!AI16&gt;0),"O","X")</f>
        <v>X</v>
      </c>
      <c r="P24" s="493" t="str">
        <f ca="1">IF(AND(OFFSET($Z$8,0,(LOG('(코어)데이터'!H16,2)-1)*3)-'(코어)데이터'!AK16&gt;0,$AI$8-'(코어)데이터'!AM16&gt;0),"O","X")</f>
        <v>X</v>
      </c>
      <c r="Q24" s="548" t="s">
        <v>3019</v>
      </c>
      <c r="R24" s="548"/>
      <c r="S24" s="548"/>
      <c r="T24" s="548"/>
      <c r="U24" s="548"/>
      <c r="V24" s="548"/>
      <c r="W24" s="548"/>
      <c r="X24" s="493" t="str">
        <f ca="1">IF(AND(OFFSET($Z$8,0,(LOG('(코어)데이터'!H36,2)-1)*3)-'(코어)데이터'!I36&gt;0,$AI$8-'(코어)데이터'!K36&gt;0),"O","X")</f>
        <v>X</v>
      </c>
      <c r="Y24" s="493" t="str">
        <f ca="1">IF(AND(OFFSET($Z$8,0,(LOG('(코어)데이터'!H36,2)-1)*3)-'(코어)데이터'!M36&gt;0,$AI$8-'(코어)데이터'!O36&gt;0),"O","X")</f>
        <v>X</v>
      </c>
      <c r="Z24" s="493" t="str">
        <f ca="1">IF(AND(OFFSET($Z$8,0,(LOG('(코어)데이터'!H36,2)-1)*3)-'(코어)데이터'!Q36&gt;0,$AI$8-'(코어)데이터'!S36&gt;0),"O","X")</f>
        <v>X</v>
      </c>
      <c r="AA24" s="493" t="str">
        <f ca="1">IF(AND(OFFSET($Z$8,0,(LOG('(코어)데이터'!H36,2)-1)*3)-'(코어)데이터'!U36&gt;0,$AI$8-'(코어)데이터'!W36&gt;0),"O","X")</f>
        <v>X</v>
      </c>
      <c r="AB24" s="493" t="str">
        <f ca="1">IF(AND(OFFSET($Z$8,0,(LOG('(코어)데이터'!H36,2)-1)*3)-'(코어)데이터'!Y36&gt;0,$AI$8-'(코어)데이터'!AA36&gt;0),"O","X")</f>
        <v>X</v>
      </c>
      <c r="AC24" s="493" t="str">
        <f ca="1">IF(AND(OFFSET($Z$8,0,(LOG('(코어)데이터'!H36,2)-1)*3)-'(코어)데이터'!AC36&gt;0,$AI$8-'(코어)데이터'!AE36&gt;0),"O","X")</f>
        <v>X</v>
      </c>
      <c r="AD24" s="493" t="str">
        <f ca="1">IF(AND(OFFSET($Z$8,0,(LOG('(코어)데이터'!H36,2)-1)*3)-'(코어)데이터'!AG36&gt;0,$AI$8-'(코어)데이터'!AI36&gt;0),"O","X")</f>
        <v>X</v>
      </c>
      <c r="AE24" s="493" t="str">
        <f ca="1">IF(AND(OFFSET($Z$8,0,(LOG('(코어)데이터'!H36,2)-1)*3)-'(코어)데이터'!AK36&gt;0,$AI$8-'(코어)데이터'!AM36&gt;0),"O","X")</f>
        <v>X</v>
      </c>
      <c r="AF24" s="477"/>
      <c r="AG24" s="477"/>
      <c r="AH24" s="477"/>
      <c r="AI24" s="477"/>
      <c r="AJ24" s="477"/>
      <c r="AK24" s="477"/>
      <c r="AL24" s="478"/>
      <c r="BB24" s="444"/>
      <c r="BC24" s="444"/>
      <c r="BD24" s="471">
        <v>3.4</v>
      </c>
      <c r="BE24" s="482"/>
      <c r="BF24" s="482"/>
      <c r="BG24" s="482"/>
      <c r="BH24" s="482"/>
      <c r="BI24" s="47" t="s">
        <v>404</v>
      </c>
      <c r="BJ24" s="13" t="s">
        <v>2974</v>
      </c>
      <c r="BK24" s="482"/>
      <c r="BL24" s="482"/>
      <c r="BM24" s="482"/>
      <c r="BN24" s="482"/>
      <c r="BO24" s="482"/>
      <c r="BP24" s="482"/>
      <c r="BQ24" s="482"/>
      <c r="BR24" s="482"/>
      <c r="BS24" s="482"/>
      <c r="BT24" s="482"/>
      <c r="BU24" s="482"/>
      <c r="BV24" s="482"/>
      <c r="BW24" s="482"/>
      <c r="BX24" s="482"/>
      <c r="BY24" s="482"/>
      <c r="BZ24" s="482"/>
      <c r="CA24" s="444"/>
      <c r="CB24" s="444"/>
    </row>
    <row r="25" spans="5:80" x14ac:dyDescent="0.35">
      <c r="E25" s="553" t="s">
        <v>1057</v>
      </c>
      <c r="F25" s="548"/>
      <c r="G25" s="548"/>
      <c r="H25" s="548"/>
      <c r="I25" s="493" t="str">
        <f ca="1">IF(AND(OFFSET($Z$8,0,(LOG('(코어)데이터'!H17,2)-1)*3)-'(코어)데이터'!I17&gt;0,$AI$8-'(코어)데이터'!K17&gt;0),"O","X")</f>
        <v>X</v>
      </c>
      <c r="J25" s="493" t="str">
        <f ca="1">IF(AND(OFFSET($Z$8,0,(LOG('(코어)데이터'!H17,2)-1)*3)-'(코어)데이터'!M17&gt;0,$AI$8-'(코어)데이터'!O17&gt;0),"O","X")</f>
        <v>X</v>
      </c>
      <c r="K25" s="493" t="str">
        <f ca="1">IF(AND(OFFSET($Z$8,0,(LOG('(코어)데이터'!H17,2)-1)*3)-'(코어)데이터'!Q17&gt;0,$AI$8-'(코어)데이터'!S17&gt;0),"O","X")</f>
        <v>X</v>
      </c>
      <c r="L25" s="493" t="str">
        <f ca="1">IF(AND(OFFSET($Z$8,0,(LOG('(코어)데이터'!H17,2)-1)*3)-'(코어)데이터'!U17&gt;0,$AI$8-'(코어)데이터'!W17&gt;0),"O","X")</f>
        <v>X</v>
      </c>
      <c r="M25" s="493" t="str">
        <f ca="1">IF(AND(OFFSET($Z$8,0,(LOG('(코어)데이터'!H17,2)-1)*3)-'(코어)데이터'!Y17&gt;0,$AI$8-'(코어)데이터'!AA17&gt;0),"O","X")</f>
        <v>X</v>
      </c>
      <c r="N25" s="493" t="str">
        <f ca="1">IF(AND(OFFSET($Z$8,0,(LOG('(코어)데이터'!H17,2)-1)*3)-'(코어)데이터'!AC17&gt;0,$AI$8-'(코어)데이터'!AE17&gt;0),"O","X")</f>
        <v>X</v>
      </c>
      <c r="O25" s="493" t="str">
        <f ca="1">IF(AND(OFFSET($Z$8,0,(LOG('(코어)데이터'!H17,2)-1)*3)-'(코어)데이터'!AG17&gt;0,$AI$8-'(코어)데이터'!AI17&gt;0),"O","X")</f>
        <v>X</v>
      </c>
      <c r="P25" s="493" t="str">
        <f ca="1">IF(AND(OFFSET($Z$8,0,(LOG('(코어)데이터'!H17,2)-1)*3)-'(코어)데이터'!AK17&gt;0,$AI$8-'(코어)데이터'!AM17&gt;0),"O","X")</f>
        <v>X</v>
      </c>
      <c r="Q25" s="548" t="s">
        <v>3017</v>
      </c>
      <c r="R25" s="548"/>
      <c r="S25" s="548"/>
      <c r="T25" s="548"/>
      <c r="U25" s="548"/>
      <c r="V25" s="548"/>
      <c r="W25" s="548"/>
      <c r="X25" s="493" t="str">
        <f ca="1">IF(AND(OFFSET($Z$8,0,(LOG('(코어)데이터'!H37,2)-1)*3)-'(코어)데이터'!I37&gt;0,$AI$8-'(코어)데이터'!K37&gt;0),"O","X")</f>
        <v>X</v>
      </c>
      <c r="Y25" s="493" t="str">
        <f ca="1">IF(AND(OFFSET($Z$8,0,(LOG('(코어)데이터'!H37,2)-1)*3)-'(코어)데이터'!M37&gt;0,$AI$8-'(코어)데이터'!O37&gt;0),"O","X")</f>
        <v>X</v>
      </c>
      <c r="Z25" s="493" t="str">
        <f ca="1">IF(AND(OFFSET($Z$8,0,(LOG('(코어)데이터'!H37,2)-1)*3)-'(코어)데이터'!Q37&gt;0,$AI$8-'(코어)데이터'!S37&gt;0),"O","X")</f>
        <v>X</v>
      </c>
      <c r="AA25" s="493" t="str">
        <f ca="1">IF(AND(OFFSET($Z$8,0,(LOG('(코어)데이터'!H37,2)-1)*3)-'(코어)데이터'!U37&gt;0,$AI$8-'(코어)데이터'!W37&gt;0),"O","X")</f>
        <v>X</v>
      </c>
      <c r="AB25" s="493" t="str">
        <f ca="1">IF(AND(OFFSET($Z$8,0,(LOG('(코어)데이터'!H37,2)-1)*3)-'(코어)데이터'!Y37&gt;0,$AI$8-'(코어)데이터'!AA37&gt;0),"O","X")</f>
        <v>X</v>
      </c>
      <c r="AC25" s="493" t="str">
        <f ca="1">IF(AND(OFFSET($Z$8,0,(LOG('(코어)데이터'!H37,2)-1)*3)-'(코어)데이터'!AC37&gt;0,$AI$8-'(코어)데이터'!AE37&gt;0),"O","X")</f>
        <v>X</v>
      </c>
      <c r="AD25" s="493" t="str">
        <f ca="1">IF(AND(OFFSET($Z$8,0,(LOG('(코어)데이터'!H37,2)-1)*3)-'(코어)데이터'!AG37&gt;0,$AI$8-'(코어)데이터'!AI37&gt;0),"O","X")</f>
        <v>X</v>
      </c>
      <c r="AE25" s="493" t="str">
        <f ca="1">IF(AND(OFFSET($Z$8,0,(LOG('(코어)데이터'!H37,2)-1)*3)-'(코어)데이터'!AK37&gt;0,$AI$8-'(코어)데이터'!AM37&gt;0),"O","X")</f>
        <v>X</v>
      </c>
      <c r="AF25" s="477"/>
      <c r="AG25" s="477"/>
      <c r="AH25" s="477"/>
      <c r="AI25" s="477"/>
      <c r="AJ25" s="477"/>
      <c r="AK25" s="477"/>
      <c r="AL25" s="478"/>
      <c r="BB25" s="444"/>
      <c r="BC25" s="444"/>
      <c r="BD25" s="471">
        <v>3.3</v>
      </c>
      <c r="BE25" s="482"/>
      <c r="BF25" s="482"/>
      <c r="BG25" s="482"/>
      <c r="BH25" s="482"/>
      <c r="BI25" s="47" t="s">
        <v>403</v>
      </c>
      <c r="BJ25" s="18" t="s">
        <v>639</v>
      </c>
      <c r="BK25" s="482"/>
      <c r="BL25" s="482"/>
      <c r="BM25" s="482"/>
      <c r="BN25" s="482"/>
      <c r="BO25" s="482"/>
      <c r="BP25" s="482"/>
      <c r="BQ25" s="482"/>
      <c r="BR25" s="482"/>
      <c r="BS25" s="482"/>
      <c r="BT25" s="482"/>
      <c r="BU25" s="482"/>
      <c r="BV25" s="482"/>
      <c r="BW25" s="482"/>
      <c r="BX25" s="482"/>
      <c r="BY25" s="482"/>
      <c r="BZ25" s="482"/>
      <c r="CA25" s="444"/>
      <c r="CB25" s="444"/>
    </row>
    <row r="26" spans="5:80" x14ac:dyDescent="0.35">
      <c r="E26" s="553" t="s">
        <v>1095</v>
      </c>
      <c r="F26" s="548"/>
      <c r="G26" s="548"/>
      <c r="H26" s="548"/>
      <c r="I26" s="493" t="str">
        <f ca="1">IF(AND(OFFSET($Z$8,0,(LOG('(코어)데이터'!H18,2)-1)*3)-'(코어)데이터'!I18&gt;0,$AI$8-'(코어)데이터'!K18&gt;0),"O","X")</f>
        <v>X</v>
      </c>
      <c r="J26" s="493" t="str">
        <f ca="1">IF(AND(OFFSET($Z$8,0,(LOG('(코어)데이터'!H18,2)-1)*3)-'(코어)데이터'!M18&gt;0,$AI$8-'(코어)데이터'!O18&gt;0),"O","X")</f>
        <v>X</v>
      </c>
      <c r="K26" s="493" t="str">
        <f ca="1">IF(AND(OFFSET($Z$8,0,(LOG('(코어)데이터'!H18,2)-1)*3)-'(코어)데이터'!Q18&gt;0,$AI$8-'(코어)데이터'!S18&gt;0),"O","X")</f>
        <v>X</v>
      </c>
      <c r="L26" s="493" t="str">
        <f ca="1">IF(AND(OFFSET($Z$8,0,(LOG('(코어)데이터'!H18,2)-1)*3)-'(코어)데이터'!U18&gt;0,$AI$8-'(코어)데이터'!W18&gt;0),"O","X")</f>
        <v>X</v>
      </c>
      <c r="M26" s="493" t="str">
        <f ca="1">IF(AND(OFFSET($Z$8,0,(LOG('(코어)데이터'!H18,2)-1)*3)-'(코어)데이터'!Y18&gt;0,$AI$8-'(코어)데이터'!AA18&gt;0),"O","X")</f>
        <v>X</v>
      </c>
      <c r="N26" s="493" t="str">
        <f ca="1">IF(AND(OFFSET($Z$8,0,(LOG('(코어)데이터'!H18,2)-1)*3)-'(코어)데이터'!AC18&gt;0,$AI$8-'(코어)데이터'!AE18&gt;0),"O","X")</f>
        <v>X</v>
      </c>
      <c r="O26" s="493" t="str">
        <f ca="1">IF(AND(OFFSET($Z$8,0,(LOG('(코어)데이터'!H18,2)-1)*3)-'(코어)데이터'!AG18&gt;0,$AI$8-'(코어)데이터'!AI18&gt;0),"O","X")</f>
        <v>X</v>
      </c>
      <c r="P26" s="493" t="str">
        <f ca="1">IF(AND(OFFSET($Z$8,0,(LOG('(코어)데이터'!H18,2)-1)*3)-'(코어)데이터'!AK18&gt;0,$AI$8-'(코어)데이터'!AM18&gt;0),"O","X")</f>
        <v>X</v>
      </c>
      <c r="Q26" s="548" t="s">
        <v>1085</v>
      </c>
      <c r="R26" s="548"/>
      <c r="S26" s="548"/>
      <c r="T26" s="548"/>
      <c r="U26" s="548"/>
      <c r="V26" s="548"/>
      <c r="W26" s="548"/>
      <c r="X26" s="493" t="str">
        <f ca="1">IF(AND(OFFSET($Z$8,0,(LOG('(코어)데이터'!H38,2)-1)*3)-'(코어)데이터'!I38&gt;0,$AI$8-'(코어)데이터'!K38&gt;0),"O","X")</f>
        <v>X</v>
      </c>
      <c r="Y26" s="493" t="str">
        <f ca="1">IF(AND(OFFSET($Z$8,0,(LOG('(코어)데이터'!H38,2)-1)*3)-'(코어)데이터'!M38&gt;0,$AI$8-'(코어)데이터'!O38&gt;0),"O","X")</f>
        <v>X</v>
      </c>
      <c r="Z26" s="493" t="str">
        <f ca="1">IF(AND(OFFSET($Z$8,0,(LOG('(코어)데이터'!H38,2)-1)*3)-'(코어)데이터'!Q38&gt;0,$AI$8-'(코어)데이터'!S38&gt;0),"O","X")</f>
        <v>X</v>
      </c>
      <c r="AA26" s="493" t="str">
        <f ca="1">IF(AND(OFFSET($Z$8,0,(LOG('(코어)데이터'!H38,2)-1)*3)-'(코어)데이터'!U38&gt;0,$AI$8-'(코어)데이터'!W38&gt;0),"O","X")</f>
        <v>X</v>
      </c>
      <c r="AB26" s="493" t="str">
        <f ca="1">IF(AND(OFFSET($Z$8,0,(LOG('(코어)데이터'!H38,2)-1)*3)-'(코어)데이터'!Y38&gt;0,$AI$8-'(코어)데이터'!AA38&gt;0),"O","X")</f>
        <v>X</v>
      </c>
      <c r="AC26" s="493" t="str">
        <f ca="1">IF(AND(OFFSET($Z$8,0,(LOG('(코어)데이터'!H38,2)-1)*3)-'(코어)데이터'!AC38&gt;0,$AI$8-'(코어)데이터'!AE38&gt;0),"O","X")</f>
        <v>X</v>
      </c>
      <c r="AD26" s="493" t="str">
        <f ca="1">IF(AND(OFFSET($Z$8,0,(LOG('(코어)데이터'!H38,2)-1)*3)-'(코어)데이터'!AG38&gt;0,$AI$8-'(코어)데이터'!AI38&gt;0),"O","X")</f>
        <v>X</v>
      </c>
      <c r="AE26" s="493" t="str">
        <f ca="1">IF(AND(OFFSET($Z$8,0,(LOG('(코어)데이터'!H38,2)-1)*3)-'(코어)데이터'!AK38&gt;0,$AI$8-'(코어)데이터'!AM38&gt;0),"O","X")</f>
        <v>X</v>
      </c>
      <c r="AF26" s="477"/>
      <c r="AG26" s="477"/>
      <c r="AH26" s="477"/>
      <c r="AI26" s="477"/>
      <c r="AJ26" s="477"/>
      <c r="AK26" s="477"/>
      <c r="AL26" s="478"/>
      <c r="BB26" s="444"/>
      <c r="BC26" s="444"/>
      <c r="BD26" s="471">
        <v>3.2</v>
      </c>
      <c r="BE26" s="444"/>
      <c r="BF26" s="444"/>
      <c r="BG26" s="444"/>
      <c r="BH26" s="444"/>
      <c r="BI26" s="47" t="s">
        <v>402</v>
      </c>
      <c r="BJ26" s="18" t="s">
        <v>650</v>
      </c>
      <c r="BK26" s="444"/>
      <c r="BL26" s="444"/>
      <c r="BM26" s="444"/>
      <c r="BN26" s="444"/>
      <c r="BO26" s="444"/>
      <c r="BP26" s="444"/>
      <c r="BQ26" s="444"/>
      <c r="BR26" s="444"/>
      <c r="BS26" s="444"/>
      <c r="BT26" s="444"/>
      <c r="BU26" s="444"/>
      <c r="BV26" s="444"/>
      <c r="BW26" s="444"/>
      <c r="BX26" s="444"/>
      <c r="BY26" s="444"/>
      <c r="BZ26" s="444"/>
      <c r="CA26" s="444"/>
      <c r="CB26" s="444"/>
    </row>
    <row r="27" spans="5:80" x14ac:dyDescent="0.35">
      <c r="E27" s="553" t="s">
        <v>1051</v>
      </c>
      <c r="F27" s="548"/>
      <c r="G27" s="548"/>
      <c r="H27" s="548"/>
      <c r="I27" s="493" t="str">
        <f ca="1">IF(AND(OFFSET($Z$8,0,(LOG('(코어)데이터'!H19,2)-1)*3)-'(코어)데이터'!I19&gt;0,$AI$8-'(코어)데이터'!K19&gt;0),"O","X")</f>
        <v>O</v>
      </c>
      <c r="J27" s="493" t="str">
        <f ca="1">IF(AND(OFFSET($Z$8,0,(LOG('(코어)데이터'!H19,2)-1)*3)-'(코어)데이터'!M19&gt;0,$AI$8-'(코어)데이터'!O19&gt;0),"O","X")</f>
        <v>O</v>
      </c>
      <c r="K27" s="493" t="str">
        <f ca="1">IF(AND(OFFSET($Z$8,0,(LOG('(코어)데이터'!H19,2)-1)*3)-'(코어)데이터'!Q19&gt;0,$AI$8-'(코어)데이터'!S19&gt;0),"O","X")</f>
        <v>O</v>
      </c>
      <c r="L27" s="493" t="str">
        <f ca="1">IF(AND(OFFSET($Z$8,0,(LOG('(코어)데이터'!H19,2)-1)*3)-'(코어)데이터'!U19&gt;0,$AI$8-'(코어)데이터'!W19&gt;0),"O","X")</f>
        <v>X</v>
      </c>
      <c r="M27" s="493" t="str">
        <f ca="1">IF(AND(OFFSET($Z$8,0,(LOG('(코어)데이터'!H19,2)-1)*3)-'(코어)데이터'!Y19&gt;0,$AI$8-'(코어)데이터'!AA19&gt;0),"O","X")</f>
        <v>X</v>
      </c>
      <c r="N27" s="493" t="str">
        <f ca="1">IF(AND(OFFSET($Z$8,0,(LOG('(코어)데이터'!H19,2)-1)*3)-'(코어)데이터'!AC19&gt;0,$AI$8-'(코어)데이터'!AE19&gt;0),"O","X")</f>
        <v>X</v>
      </c>
      <c r="O27" s="493" t="str">
        <f ca="1">IF(AND(OFFSET($Z$8,0,(LOG('(코어)데이터'!H19,2)-1)*3)-'(코어)데이터'!AG19&gt;0,$AI$8-'(코어)데이터'!AI19&gt;0),"O","X")</f>
        <v>X</v>
      </c>
      <c r="P27" s="493" t="str">
        <f ca="1">IF(AND(OFFSET($Z$8,0,(LOG('(코어)데이터'!H19,2)-1)*3)-'(코어)데이터'!AK19&gt;0,$AI$8-'(코어)데이터'!AM19&gt;0),"O","X")</f>
        <v>X</v>
      </c>
      <c r="Q27" s="548" t="s">
        <v>1099</v>
      </c>
      <c r="R27" s="548"/>
      <c r="S27" s="548"/>
      <c r="T27" s="548"/>
      <c r="U27" s="548"/>
      <c r="V27" s="548"/>
      <c r="W27" s="548"/>
      <c r="X27" s="493" t="str">
        <f ca="1">IF(AND(OFFSET($Z$8,0,(LOG('(코어)데이터'!H39,2)-1)*3)-'(코어)데이터'!I39&gt;0,$AI$8-'(코어)데이터'!K39&gt;0),"O","X")</f>
        <v>X</v>
      </c>
      <c r="Y27" s="493" t="str">
        <f ca="1">IF(AND(OFFSET($Z$8,0,(LOG('(코어)데이터'!H39,2)-1)*3)-'(코어)데이터'!M39&gt;0,$AI$8-'(코어)데이터'!O39&gt;0),"O","X")</f>
        <v>X</v>
      </c>
      <c r="Z27" s="493" t="str">
        <f ca="1">IF(AND(OFFSET($Z$8,0,(LOG('(코어)데이터'!H39,2)-1)*3)-'(코어)데이터'!Q39&gt;0,$AI$8-'(코어)데이터'!S39&gt;0),"O","X")</f>
        <v>X</v>
      </c>
      <c r="AA27" s="493" t="str">
        <f ca="1">IF(AND(OFFSET($Z$8,0,(LOG('(코어)데이터'!H39,2)-1)*3)-'(코어)데이터'!U39&gt;0,$AI$8-'(코어)데이터'!W39&gt;0),"O","X")</f>
        <v>X</v>
      </c>
      <c r="AB27" s="493" t="str">
        <f ca="1">IF(AND(OFFSET($Z$8,0,(LOG('(코어)데이터'!H39,2)-1)*3)-'(코어)데이터'!Y39&gt;0,$AI$8-'(코어)데이터'!AA39&gt;0),"O","X")</f>
        <v>X</v>
      </c>
      <c r="AC27" s="493" t="str">
        <f ca="1">IF(AND(OFFSET($Z$8,0,(LOG('(코어)데이터'!H39,2)-1)*3)-'(코어)데이터'!AC39&gt;0,$AI$8-'(코어)데이터'!AE39&gt;0),"O","X")</f>
        <v>X</v>
      </c>
      <c r="AD27" s="493" t="str">
        <f ca="1">IF(AND(OFFSET($Z$8,0,(LOG('(코어)데이터'!H39,2)-1)*3)-'(코어)데이터'!AG39&gt;0,$AI$8-'(코어)데이터'!AI39&gt;0),"O","X")</f>
        <v>X</v>
      </c>
      <c r="AE27" s="493" t="str">
        <f ca="1">IF(AND(OFFSET($Z$8,0,(LOG('(코어)데이터'!H39,2)-1)*3)-'(코어)데이터'!AK39&gt;0,$AI$8-'(코어)데이터'!AM39&gt;0),"O","X")</f>
        <v>X</v>
      </c>
      <c r="AF27" s="477"/>
      <c r="AG27" s="477"/>
      <c r="AH27" s="477"/>
      <c r="AI27" s="477"/>
      <c r="AJ27" s="477"/>
      <c r="AK27" s="477"/>
      <c r="AL27" s="478"/>
      <c r="BB27" s="444"/>
      <c r="BC27" s="444"/>
      <c r="BD27" s="471">
        <v>3.1</v>
      </c>
      <c r="BE27" s="444"/>
      <c r="BF27" s="444"/>
      <c r="BG27" s="444"/>
      <c r="BH27" s="444"/>
      <c r="BI27" s="47" t="s">
        <v>441</v>
      </c>
      <c r="BJ27" s="18" t="s">
        <v>650</v>
      </c>
      <c r="BK27" s="444"/>
      <c r="BL27" s="444"/>
      <c r="BM27" s="444"/>
      <c r="BN27" s="444"/>
      <c r="BO27" s="444"/>
      <c r="BP27" s="444"/>
      <c r="BQ27" s="444"/>
      <c r="BR27" s="444"/>
      <c r="BS27" s="444"/>
      <c r="BT27" s="444"/>
      <c r="BU27" s="444"/>
      <c r="BV27" s="444"/>
      <c r="BW27" s="444"/>
      <c r="BX27" s="444"/>
      <c r="BY27" s="444"/>
      <c r="BZ27" s="444"/>
      <c r="CA27" s="444"/>
      <c r="CB27" s="444"/>
    </row>
    <row r="28" spans="5:80" x14ac:dyDescent="0.35">
      <c r="E28" s="553" t="s">
        <v>2989</v>
      </c>
      <c r="F28" s="548"/>
      <c r="G28" s="548"/>
      <c r="H28" s="548"/>
      <c r="I28" s="493" t="str">
        <f ca="1">IF(AND(OFFSET($Z$8,0,(LOG('(코어)데이터'!H20,2)-1)*3)-'(코어)데이터'!I20&gt;0,$AI$8-'(코어)데이터'!K20&gt;0),"O","X")</f>
        <v>X</v>
      </c>
      <c r="J28" s="493" t="str">
        <f ca="1">IF(AND(OFFSET($Z$8,0,(LOG('(코어)데이터'!H20,2)-1)*3)-'(코어)데이터'!M20&gt;0,$AI$8-'(코어)데이터'!O20&gt;0),"O","X")</f>
        <v>X</v>
      </c>
      <c r="K28" s="493" t="str">
        <f ca="1">IF(AND(OFFSET($Z$8,0,(LOG('(코어)데이터'!H20,2)-1)*3)-'(코어)데이터'!Q20&gt;0,$AI$8-'(코어)데이터'!S20&gt;0),"O","X")</f>
        <v>X</v>
      </c>
      <c r="L28" s="493" t="str">
        <f ca="1">IF(AND(OFFSET($Z$8,0,(LOG('(코어)데이터'!H20,2)-1)*3)-'(코어)데이터'!U20&gt;0,$AI$8-'(코어)데이터'!W20&gt;0),"O","X")</f>
        <v>X</v>
      </c>
      <c r="M28" s="493" t="str">
        <f ca="1">IF(AND(OFFSET($Z$8,0,(LOG('(코어)데이터'!H20,2)-1)*3)-'(코어)데이터'!Y20&gt;0,$AI$8-'(코어)데이터'!AA20&gt;0),"O","X")</f>
        <v>X</v>
      </c>
      <c r="N28" s="493" t="str">
        <f ca="1">IF(AND(OFFSET($Z$8,0,(LOG('(코어)데이터'!H20,2)-1)*3)-'(코어)데이터'!AC20&gt;0,$AI$8-'(코어)데이터'!AE20&gt;0),"O","X")</f>
        <v>X</v>
      </c>
      <c r="O28" s="493" t="str">
        <f ca="1">IF(AND(OFFSET($Z$8,0,(LOG('(코어)데이터'!H20,2)-1)*3)-'(코어)데이터'!AG20&gt;0,$AI$8-'(코어)데이터'!AI20&gt;0),"O","X")</f>
        <v>X</v>
      </c>
      <c r="P28" s="493" t="str">
        <f ca="1">IF(AND(OFFSET($Z$8,0,(LOG('(코어)데이터'!H20,2)-1)*3)-'(코어)데이터'!AK20&gt;0,$AI$8-'(코어)데이터'!AM20&gt;0),"O","X")</f>
        <v>X</v>
      </c>
      <c r="Q28" s="548" t="s">
        <v>1091</v>
      </c>
      <c r="R28" s="548"/>
      <c r="S28" s="548"/>
      <c r="T28" s="548"/>
      <c r="U28" s="548"/>
      <c r="V28" s="548"/>
      <c r="W28" s="548"/>
      <c r="X28" s="493" t="str">
        <f ca="1">IF(AND(OFFSET($Z$8,0,(LOG('(코어)데이터'!H40,2)-1)*3)-'(코어)데이터'!I40&gt;0,$AI$8-'(코어)데이터'!K40&gt;0),"O","X")</f>
        <v>X</v>
      </c>
      <c r="Y28" s="493" t="str">
        <f ca="1">IF(AND(OFFSET($Z$8,0,(LOG('(코어)데이터'!H40,2)-1)*3)-'(코어)데이터'!M40&gt;0,$AI$8-'(코어)데이터'!O40&gt;0),"O","X")</f>
        <v>X</v>
      </c>
      <c r="Z28" s="493" t="str">
        <f ca="1">IF(AND(OFFSET($Z$8,0,(LOG('(코어)데이터'!H40,2)-1)*3)-'(코어)데이터'!Q40&gt;0,$AI$8-'(코어)데이터'!S40&gt;0),"O","X")</f>
        <v>X</v>
      </c>
      <c r="AA28" s="493" t="str">
        <f ca="1">IF(AND(OFFSET($Z$8,0,(LOG('(코어)데이터'!H40,2)-1)*3)-'(코어)데이터'!U40&gt;0,$AI$8-'(코어)데이터'!W40&gt;0),"O","X")</f>
        <v>X</v>
      </c>
      <c r="AB28" s="493" t="str">
        <f ca="1">IF(AND(OFFSET($Z$8,0,(LOG('(코어)데이터'!H40,2)-1)*3)-'(코어)데이터'!Y40&gt;0,$AI$8-'(코어)데이터'!AA40&gt;0),"O","X")</f>
        <v>X</v>
      </c>
      <c r="AC28" s="493" t="str">
        <f ca="1">IF(AND(OFFSET($Z$8,0,(LOG('(코어)데이터'!H40,2)-1)*3)-'(코어)데이터'!AC40&gt;0,$AI$8-'(코어)데이터'!AE40&gt;0),"O","X")</f>
        <v>X</v>
      </c>
      <c r="AD28" s="493" t="str">
        <f ca="1">IF(AND(OFFSET($Z$8,0,(LOG('(코어)데이터'!H40,2)-1)*3)-'(코어)데이터'!AG40&gt;0,$AI$8-'(코어)데이터'!AI40&gt;0),"O","X")</f>
        <v>X</v>
      </c>
      <c r="AE28" s="493" t="str">
        <f ca="1">IF(AND(OFFSET($Z$8,0,(LOG('(코어)데이터'!H40,2)-1)*3)-'(코어)데이터'!AK40&gt;0,$AI$8-'(코어)데이터'!AM40&gt;0),"O","X")</f>
        <v>X</v>
      </c>
      <c r="AF28" s="477"/>
      <c r="AG28" s="477"/>
      <c r="AH28" s="477"/>
      <c r="AI28" s="477"/>
      <c r="AJ28" s="477"/>
      <c r="AK28" s="477"/>
      <c r="AL28" s="478"/>
      <c r="BB28" s="444"/>
      <c r="BC28" s="444"/>
      <c r="BD28" s="471">
        <v>3</v>
      </c>
      <c r="BE28" s="444"/>
      <c r="BF28" s="444"/>
      <c r="BG28" s="444"/>
      <c r="BH28" s="444"/>
      <c r="BI28" s="47" t="s">
        <v>439</v>
      </c>
      <c r="BJ28" s="18" t="s">
        <v>651</v>
      </c>
      <c r="BK28" s="444"/>
      <c r="BL28" s="444"/>
      <c r="BM28" s="444"/>
      <c r="BN28" s="444"/>
      <c r="BO28" s="444"/>
      <c r="BP28" s="444"/>
      <c r="BQ28" s="444"/>
      <c r="BR28" s="444"/>
      <c r="BS28" s="444"/>
      <c r="BT28" s="444"/>
      <c r="BU28" s="444"/>
      <c r="BV28" s="444"/>
      <c r="BW28" s="444"/>
      <c r="BX28" s="444"/>
      <c r="BY28" s="444"/>
      <c r="BZ28" s="444"/>
      <c r="CA28" s="444"/>
      <c r="CB28" s="444"/>
    </row>
    <row r="29" spans="5:80" x14ac:dyDescent="0.35">
      <c r="E29" s="553" t="s">
        <v>2995</v>
      </c>
      <c r="F29" s="548"/>
      <c r="G29" s="548"/>
      <c r="H29" s="548"/>
      <c r="I29" s="493" t="str">
        <f ca="1">IF(AND(OFFSET($Z$8,0,(LOG('(코어)데이터'!H21,2)-1)*3)-'(코어)데이터'!I21&gt;0,$AI$8-'(코어)데이터'!K21&gt;0),"O","X")</f>
        <v>O</v>
      </c>
      <c r="J29" s="493" t="str">
        <f ca="1">IF(AND(OFFSET($Z$8,0,(LOG('(코어)데이터'!H21,2)-1)*3)-'(코어)데이터'!M21&gt;0,$AI$8-'(코어)데이터'!O21&gt;0),"O","X")</f>
        <v>O</v>
      </c>
      <c r="K29" s="493" t="str">
        <f ca="1">IF(AND(OFFSET($Z$8,0,(LOG('(코어)데이터'!H21,2)-1)*3)-'(코어)데이터'!Q21&gt;0,$AI$8-'(코어)데이터'!S21&gt;0),"O","X")</f>
        <v>O</v>
      </c>
      <c r="L29" s="493" t="str">
        <f ca="1">IF(AND(OFFSET($Z$8,0,(LOG('(코어)데이터'!H21,2)-1)*3)-'(코어)데이터'!U21&gt;0,$AI$8-'(코어)데이터'!W21&gt;0),"O","X")</f>
        <v>X</v>
      </c>
      <c r="M29" s="493" t="str">
        <f ca="1">IF(AND(OFFSET($Z$8,0,(LOG('(코어)데이터'!H21,2)-1)*3)-'(코어)데이터'!Y21&gt;0,$AI$8-'(코어)데이터'!AA21&gt;0),"O","X")</f>
        <v>X</v>
      </c>
      <c r="N29" s="493" t="str">
        <f ca="1">IF(AND(OFFSET($Z$8,0,(LOG('(코어)데이터'!H21,2)-1)*3)-'(코어)데이터'!AC21&gt;0,$AI$8-'(코어)데이터'!AE21&gt;0),"O","X")</f>
        <v>X</v>
      </c>
      <c r="O29" s="493" t="str">
        <f ca="1">IF(AND(OFFSET($Z$8,0,(LOG('(코어)데이터'!H21,2)-1)*3)-'(코어)데이터'!AG21&gt;0,$AI$8-'(코어)데이터'!AI21&gt;0),"O","X")</f>
        <v>X</v>
      </c>
      <c r="P29" s="493" t="str">
        <f ca="1">IF(AND(OFFSET($Z$8,0,(LOG('(코어)데이터'!H21,2)-1)*3)-'(코어)데이터'!AK21&gt;0,$AI$8-'(코어)데이터'!AM21&gt;0),"O","X")</f>
        <v>X</v>
      </c>
      <c r="Q29" s="548" t="s">
        <v>1089</v>
      </c>
      <c r="R29" s="548"/>
      <c r="S29" s="548"/>
      <c r="T29" s="548"/>
      <c r="U29" s="548"/>
      <c r="V29" s="548"/>
      <c r="W29" s="548"/>
      <c r="X29" s="493" t="str">
        <f ca="1">IF(AND(OFFSET($Z$8,0,(LOG('(코어)데이터'!H41,2)-1)*3)-'(코어)데이터'!I41&gt;0,$AI$8-'(코어)데이터'!K41&gt;0),"O","X")</f>
        <v>X</v>
      </c>
      <c r="Y29" s="493" t="str">
        <f ca="1">IF(AND(OFFSET($Z$8,0,(LOG('(코어)데이터'!H41,2)-1)*3)-'(코어)데이터'!M41&gt;0,$AI$8-'(코어)데이터'!O41&gt;0),"O","X")</f>
        <v>X</v>
      </c>
      <c r="Z29" s="493" t="str">
        <f ca="1">IF(AND(OFFSET($Z$8,0,(LOG('(코어)데이터'!H41,2)-1)*3)-'(코어)데이터'!Q41&gt;0,$AI$8-'(코어)데이터'!S41&gt;0),"O","X")</f>
        <v>X</v>
      </c>
      <c r="AA29" s="493" t="str">
        <f ca="1">IF(AND(OFFSET($Z$8,0,(LOG('(코어)데이터'!H41,2)-1)*3)-'(코어)데이터'!U41&gt;0,$AI$8-'(코어)데이터'!W41&gt;0),"O","X")</f>
        <v>X</v>
      </c>
      <c r="AB29" s="493" t="str">
        <f ca="1">IF(AND(OFFSET($Z$8,0,(LOG('(코어)데이터'!H41,2)-1)*3)-'(코어)데이터'!Y41&gt;0,$AI$8-'(코어)데이터'!AA41&gt;0),"O","X")</f>
        <v>X</v>
      </c>
      <c r="AC29" s="493" t="str">
        <f ca="1">IF(AND(OFFSET($Z$8,0,(LOG('(코어)데이터'!H41,2)-1)*3)-'(코어)데이터'!AC41&gt;0,$AI$8-'(코어)데이터'!AE41&gt;0),"O","X")</f>
        <v>X</v>
      </c>
      <c r="AD29" s="493" t="str">
        <f ca="1">IF(AND(OFFSET($Z$8,0,(LOG('(코어)데이터'!H41,2)-1)*3)-'(코어)데이터'!AG41&gt;0,$AI$8-'(코어)데이터'!AI41&gt;0),"O","X")</f>
        <v>X</v>
      </c>
      <c r="AE29" s="493" t="str">
        <f ca="1">IF(AND(OFFSET($Z$8,0,(LOG('(코어)데이터'!H41,2)-1)*3)-'(코어)데이터'!AK41&gt;0,$AI$8-'(코어)데이터'!AM41&gt;0),"O","X")</f>
        <v>X</v>
      </c>
      <c r="AF29" s="477"/>
      <c r="AG29" s="477"/>
      <c r="AH29" s="477"/>
      <c r="AI29" s="477"/>
      <c r="AJ29" s="477"/>
      <c r="AK29" s="477"/>
      <c r="AL29" s="478"/>
      <c r="BD29" s="471">
        <v>2.9</v>
      </c>
      <c r="BI29" s="47" t="s">
        <v>438</v>
      </c>
      <c r="BJ29" s="18" t="s">
        <v>651</v>
      </c>
    </row>
    <row r="30" spans="5:80" x14ac:dyDescent="0.35">
      <c r="E30" s="553" t="s">
        <v>3057</v>
      </c>
      <c r="F30" s="548"/>
      <c r="G30" s="548"/>
      <c r="H30" s="548"/>
      <c r="I30" s="493" t="str">
        <f ca="1">IF(AND(OFFSET($Z$8,0,(LOG('(코어)데이터'!H22,2)-1)*3)-'(코어)데이터'!I22&gt;0,$AI$8-'(코어)데이터'!K22&gt;0),"O","X")</f>
        <v>O</v>
      </c>
      <c r="J30" s="493" t="str">
        <f ca="1">IF(AND(OFFSET($Z$8,0,(LOG('(코어)데이터'!H22,2)-1)*3)-'(코어)데이터'!M22&gt;0,$AI$8-'(코어)데이터'!O22&gt;0),"O","X")</f>
        <v>O</v>
      </c>
      <c r="K30" s="493" t="str">
        <f ca="1">IF(AND(OFFSET($Z$8,0,(LOG('(코어)데이터'!H22,2)-1)*3)-'(코어)데이터'!Q22&gt;0,$AI$8-'(코어)데이터'!S22&gt;0),"O","X")</f>
        <v>O</v>
      </c>
      <c r="L30" s="493" t="str">
        <f ca="1">IF(AND(OFFSET($Z$8,0,(LOG('(코어)데이터'!H22,2)-1)*3)-'(코어)데이터'!U22&gt;0,$AI$8-'(코어)데이터'!W22&gt;0),"O","X")</f>
        <v>X</v>
      </c>
      <c r="M30" s="493" t="str">
        <f ca="1">IF(AND(OFFSET($Z$8,0,(LOG('(코어)데이터'!H22,2)-1)*3)-'(코어)데이터'!Y22&gt;0,$AI$8-'(코어)데이터'!AA22&gt;0),"O","X")</f>
        <v>X</v>
      </c>
      <c r="N30" s="493" t="str">
        <f ca="1">IF(AND(OFFSET($Z$8,0,(LOG('(코어)데이터'!H22,2)-1)*3)-'(코어)데이터'!AC22&gt;0,$AI$8-'(코어)데이터'!AE22&gt;0),"O","X")</f>
        <v>X</v>
      </c>
      <c r="O30" s="493" t="str">
        <f ca="1">IF(AND(OFFSET($Z$8,0,(LOG('(코어)데이터'!H22,2)-1)*3)-'(코어)데이터'!AG22&gt;0,$AI$8-'(코어)데이터'!AI22&gt;0),"O","X")</f>
        <v>X</v>
      </c>
      <c r="P30" s="493" t="str">
        <f ca="1">IF(AND(OFFSET($Z$8,0,(LOG('(코어)데이터'!H22,2)-1)*3)-'(코어)데이터'!AK22&gt;0,$AI$8-'(코어)데이터'!AM22&gt;0),"O","X")</f>
        <v>X</v>
      </c>
      <c r="Q30" s="548" t="s">
        <v>1087</v>
      </c>
      <c r="R30" s="548"/>
      <c r="S30" s="548"/>
      <c r="T30" s="548"/>
      <c r="U30" s="548"/>
      <c r="V30" s="548"/>
      <c r="W30" s="548"/>
      <c r="X30" s="493" t="str">
        <f ca="1">IF(AND(OFFSET($Z$8,0,(LOG('(코어)데이터'!H42,2)-1)*3)-'(코어)데이터'!I42&gt;0,$AI$8-'(코어)데이터'!K42&gt;0),"O","X")</f>
        <v>X</v>
      </c>
      <c r="Y30" s="493" t="str">
        <f ca="1">IF(AND(OFFSET($Z$8,0,(LOG('(코어)데이터'!H42,2)-1)*3)-'(코어)데이터'!M42&gt;0,$AI$8-'(코어)데이터'!O42&gt;0),"O","X")</f>
        <v>X</v>
      </c>
      <c r="Z30" s="493" t="str">
        <f ca="1">IF(AND(OFFSET($Z$8,0,(LOG('(코어)데이터'!H42,2)-1)*3)-'(코어)데이터'!Q42&gt;0,$AI$8-'(코어)데이터'!S42&gt;0),"O","X")</f>
        <v>X</v>
      </c>
      <c r="AA30" s="493" t="str">
        <f ca="1">IF(AND(OFFSET($Z$8,0,(LOG('(코어)데이터'!H42,2)-1)*3)-'(코어)데이터'!U42&gt;0,$AI$8-'(코어)데이터'!W42&gt;0),"O","X")</f>
        <v>X</v>
      </c>
      <c r="AB30" s="493" t="str">
        <f ca="1">IF(AND(OFFSET($Z$8,0,(LOG('(코어)데이터'!H42,2)-1)*3)-'(코어)데이터'!Y42&gt;0,$AI$8-'(코어)데이터'!AA42&gt;0),"O","X")</f>
        <v>X</v>
      </c>
      <c r="AC30" s="493" t="str">
        <f ca="1">IF(AND(OFFSET($Z$8,0,(LOG('(코어)데이터'!H42,2)-1)*3)-'(코어)데이터'!AC42&gt;0,$AI$8-'(코어)데이터'!AE42&gt;0),"O","X")</f>
        <v>X</v>
      </c>
      <c r="AD30" s="493" t="str">
        <f ca="1">IF(AND(OFFSET($Z$8,0,(LOG('(코어)데이터'!H42,2)-1)*3)-'(코어)데이터'!AG42&gt;0,$AI$8-'(코어)데이터'!AI42&gt;0),"O","X")</f>
        <v>X</v>
      </c>
      <c r="AE30" s="493" t="str">
        <f ca="1">IF(AND(OFFSET($Z$8,0,(LOG('(코어)데이터'!H42,2)-1)*3)-'(코어)데이터'!AK42&gt;0,$AI$8-'(코어)데이터'!AM42&gt;0),"O","X")</f>
        <v>X</v>
      </c>
      <c r="AF30" s="477"/>
      <c r="AG30" s="477"/>
      <c r="AH30" s="477"/>
      <c r="AI30" s="477"/>
      <c r="AJ30" s="477"/>
      <c r="AK30" s="477"/>
      <c r="AL30" s="478"/>
      <c r="BD30" s="471">
        <v>2.8</v>
      </c>
      <c r="BI30" s="47" t="s">
        <v>437</v>
      </c>
      <c r="BJ30" s="18" t="s">
        <v>651</v>
      </c>
    </row>
    <row r="31" spans="5:80" x14ac:dyDescent="0.35">
      <c r="E31" s="553" t="s">
        <v>2990</v>
      </c>
      <c r="F31" s="548"/>
      <c r="G31" s="548"/>
      <c r="H31" s="548"/>
      <c r="I31" s="493" t="str">
        <f ca="1">IF(AND(OFFSET($Z$8,0,(LOG('(코어)데이터'!H23,2)-1)*3)-'(코어)데이터'!I23&gt;0,$AI$8-'(코어)데이터'!K23&gt;0),"O","X")</f>
        <v>X</v>
      </c>
      <c r="J31" s="493" t="str">
        <f ca="1">IF(AND(OFFSET($Z$8,0,(LOG('(코어)데이터'!H23,2)-1)*3)-'(코어)데이터'!M23&gt;0,$AI$8-'(코어)데이터'!O23&gt;0),"O","X")</f>
        <v>X</v>
      </c>
      <c r="K31" s="493" t="str">
        <f ca="1">IF(AND(OFFSET($Z$8,0,(LOG('(코어)데이터'!H23,2)-1)*3)-'(코어)데이터'!Q23&gt;0,$AI$8-'(코어)데이터'!S23&gt;0),"O","X")</f>
        <v>X</v>
      </c>
      <c r="L31" s="493" t="str">
        <f ca="1">IF(AND(OFFSET($Z$8,0,(LOG('(코어)데이터'!H23,2)-1)*3)-'(코어)데이터'!U23&gt;0,$AI$8-'(코어)데이터'!W23&gt;0),"O","X")</f>
        <v>X</v>
      </c>
      <c r="M31" s="493" t="str">
        <f ca="1">IF(AND(OFFSET($Z$8,0,(LOG('(코어)데이터'!H23,2)-1)*3)-'(코어)데이터'!Y23&gt;0,$AI$8-'(코어)데이터'!AA23&gt;0),"O","X")</f>
        <v>X</v>
      </c>
      <c r="N31" s="493" t="str">
        <f ca="1">IF(AND(OFFSET($Z$8,0,(LOG('(코어)데이터'!H23,2)-1)*3)-'(코어)데이터'!AC23&gt;0,$AI$8-'(코어)데이터'!AE23&gt;0),"O","X")</f>
        <v>X</v>
      </c>
      <c r="O31" s="493" t="str">
        <f ca="1">IF(AND(OFFSET($Z$8,0,(LOG('(코어)데이터'!H23,2)-1)*3)-'(코어)데이터'!AG23&gt;0,$AI$8-'(코어)데이터'!AI23&gt;0),"O","X")</f>
        <v>X</v>
      </c>
      <c r="P31" s="493" t="str">
        <f ca="1">IF(AND(OFFSET($Z$8,0,(LOG('(코어)데이터'!H23,2)-1)*3)-'(코어)데이터'!AK23&gt;0,$AI$8-'(코어)데이터'!AM23&gt;0),"O","X")</f>
        <v>X</v>
      </c>
      <c r="Q31" s="548" t="s">
        <v>1225</v>
      </c>
      <c r="R31" s="548"/>
      <c r="S31" s="548"/>
      <c r="T31" s="548"/>
      <c r="U31" s="548"/>
      <c r="V31" s="548"/>
      <c r="W31" s="548"/>
      <c r="X31" s="493" t="str">
        <f ca="1">IF(AND(OFFSET($Z$8,0,(LOG('(코어)데이터'!H43,2)-1)*3)-'(코어)데이터'!I43&gt;0,$AI$8-'(코어)데이터'!K43&gt;0),"O","X")</f>
        <v>X</v>
      </c>
      <c r="Y31" s="493" t="str">
        <f ca="1">IF(AND(OFFSET($Z$8,0,(LOG('(코어)데이터'!H43,2)-1)*3)-'(코어)데이터'!M43&gt;0,$AI$8-'(코어)데이터'!O43&gt;0),"O","X")</f>
        <v>X</v>
      </c>
      <c r="Z31" s="493" t="str">
        <f ca="1">IF(AND(OFFSET($Z$8,0,(LOG('(코어)데이터'!H43,2)-1)*3)-'(코어)데이터'!Q43&gt;0,$AI$8-'(코어)데이터'!S43&gt;0),"O","X")</f>
        <v>X</v>
      </c>
      <c r="AA31" s="493" t="str">
        <f ca="1">IF(AND(OFFSET($Z$8,0,(LOG('(코어)데이터'!H43,2)-1)*3)-'(코어)데이터'!U43&gt;0,$AI$8-'(코어)데이터'!W43&gt;0),"O","X")</f>
        <v>X</v>
      </c>
      <c r="AB31" s="493" t="str">
        <f ca="1">IF(AND(OFFSET($Z$8,0,(LOG('(코어)데이터'!H43,2)-1)*3)-'(코어)데이터'!Y43&gt;0,$AI$8-'(코어)데이터'!AA43&gt;0),"O","X")</f>
        <v>X</v>
      </c>
      <c r="AC31" s="493" t="str">
        <f ca="1">IF(AND(OFFSET($Z$8,0,(LOG('(코어)데이터'!H43,2)-1)*3)-'(코어)데이터'!AC43&gt;0,$AI$8-'(코어)데이터'!AE43&gt;0),"O","X")</f>
        <v>X</v>
      </c>
      <c r="AD31" s="493" t="str">
        <f ca="1">IF(AND(OFFSET($Z$8,0,(LOG('(코어)데이터'!H43,2)-1)*3)-'(코어)데이터'!AG43&gt;0,$AI$8-'(코어)데이터'!AI43&gt;0),"O","X")</f>
        <v>X</v>
      </c>
      <c r="AE31" s="493" t="str">
        <f ca="1">IF(AND(OFFSET($Z$8,0,(LOG('(코어)데이터'!H43,2)-1)*3)-'(코어)데이터'!AK43&gt;0,$AI$8-'(코어)데이터'!AM43&gt;0),"O","X")</f>
        <v>X</v>
      </c>
      <c r="AF31" s="477"/>
      <c r="AG31" s="477"/>
      <c r="AH31" s="477"/>
      <c r="AI31" s="477"/>
      <c r="AJ31" s="477"/>
      <c r="AK31" s="477"/>
      <c r="AL31" s="478"/>
      <c r="BD31" s="471">
        <v>2.7</v>
      </c>
      <c r="BI31" s="47" t="s">
        <v>436</v>
      </c>
      <c r="BJ31" s="18" t="s">
        <v>624</v>
      </c>
    </row>
    <row r="32" spans="5:80" x14ac:dyDescent="0.35">
      <c r="E32" s="553" t="s">
        <v>2991</v>
      </c>
      <c r="F32" s="548"/>
      <c r="G32" s="548"/>
      <c r="H32" s="548"/>
      <c r="I32" s="493" t="str">
        <f ca="1">IF(AND(OFFSET($Z$8,0,(LOG('(코어)데이터'!H24,2)-1)*3)-'(코어)데이터'!I24&gt;0,$AI$8-'(코어)데이터'!K24&gt;0),"O","X")</f>
        <v>X</v>
      </c>
      <c r="J32" s="493" t="str">
        <f ca="1">IF(AND(OFFSET($Z$8,0,(LOG('(코어)데이터'!H24,2)-1)*3)-'(코어)데이터'!M24&gt;0,$AI$8-'(코어)데이터'!O24&gt;0),"O","X")</f>
        <v>X</v>
      </c>
      <c r="K32" s="493" t="str">
        <f ca="1">IF(AND(OFFSET($Z$8,0,(LOG('(코어)데이터'!H24,2)-1)*3)-'(코어)데이터'!Q24&gt;0,$AI$8-'(코어)데이터'!S24&gt;0),"O","X")</f>
        <v>X</v>
      </c>
      <c r="L32" s="493" t="str">
        <f ca="1">IF(AND(OFFSET($Z$8,0,(LOG('(코어)데이터'!H24,2)-1)*3)-'(코어)데이터'!U24&gt;0,$AI$8-'(코어)데이터'!W24&gt;0),"O","X")</f>
        <v>X</v>
      </c>
      <c r="M32" s="493" t="str">
        <f ca="1">IF(AND(OFFSET($Z$8,0,(LOG('(코어)데이터'!H24,2)-1)*3)-'(코어)데이터'!Y24&gt;0,$AI$8-'(코어)데이터'!AA24&gt;0),"O","X")</f>
        <v>X</v>
      </c>
      <c r="N32" s="493" t="str">
        <f ca="1">IF(AND(OFFSET($Z$8,0,(LOG('(코어)데이터'!H24,2)-1)*3)-'(코어)데이터'!AC24&gt;0,$AI$8-'(코어)데이터'!AE24&gt;0),"O","X")</f>
        <v>X</v>
      </c>
      <c r="O32" s="493" t="str">
        <f ca="1">IF(AND(OFFSET($Z$8,0,(LOG('(코어)데이터'!H24,2)-1)*3)-'(코어)데이터'!AG24&gt;0,$AI$8-'(코어)데이터'!AI24&gt;0),"O","X")</f>
        <v>X</v>
      </c>
      <c r="P32" s="493" t="str">
        <f ca="1">IF(AND(OFFSET($Z$8,0,(LOG('(코어)데이터'!H24,2)-1)*3)-'(코어)데이터'!AK24&gt;0,$AI$8-'(코어)데이터'!AM24&gt;0),"O","X")</f>
        <v>X</v>
      </c>
      <c r="Q32" s="548" t="s">
        <v>2837</v>
      </c>
      <c r="R32" s="548"/>
      <c r="S32" s="548"/>
      <c r="T32" s="548"/>
      <c r="U32" s="548"/>
      <c r="V32" s="548"/>
      <c r="W32" s="548"/>
      <c r="X32" s="493" t="str">
        <f ca="1">IF(AND(OFFSET($Z$8,0,(LOG('(코어)데이터'!H44,2)-1)*3)-'(코어)데이터'!I44&gt;0,$AI$8-'(코어)데이터'!K44&gt;0),"O","X")</f>
        <v>X</v>
      </c>
      <c r="Y32" s="493" t="str">
        <f ca="1">IF(AND(OFFSET($Z$8,0,(LOG('(코어)데이터'!H44,2)-1)*3)-'(코어)데이터'!M44&gt;0,$AI$8-'(코어)데이터'!O44&gt;0),"O","X")</f>
        <v>X</v>
      </c>
      <c r="Z32" s="493" t="str">
        <f ca="1">IF(AND(OFFSET($Z$8,0,(LOG('(코어)데이터'!H44,2)-1)*3)-'(코어)데이터'!Q44&gt;0,$AI$8-'(코어)데이터'!S44&gt;0),"O","X")</f>
        <v>X</v>
      </c>
      <c r="AA32" s="493" t="str">
        <f ca="1">IF(AND(OFFSET($Z$8,0,(LOG('(코어)데이터'!H44,2)-1)*3)-'(코어)데이터'!U44&gt;0,$AI$8-'(코어)데이터'!W44&gt;0),"O","X")</f>
        <v>X</v>
      </c>
      <c r="AB32" s="493" t="str">
        <f ca="1">IF(AND(OFFSET($Z$8,0,(LOG('(코어)데이터'!H44,2)-1)*3)-'(코어)데이터'!Y44&gt;0,$AI$8-'(코어)데이터'!AA44&gt;0),"O","X")</f>
        <v>X</v>
      </c>
      <c r="AC32" s="493" t="str">
        <f ca="1">IF(AND(OFFSET($Z$8,0,(LOG('(코어)데이터'!H44,2)-1)*3)-'(코어)데이터'!AC44&gt;0,$AI$8-'(코어)데이터'!AE44&gt;0),"O","X")</f>
        <v>X</v>
      </c>
      <c r="AD32" s="493" t="str">
        <f ca="1">IF(AND(OFFSET($Z$8,0,(LOG('(코어)데이터'!H44,2)-1)*3)-'(코어)데이터'!AG44&gt;0,$AI$8-'(코어)데이터'!AI44&gt;0),"O","X")</f>
        <v>X</v>
      </c>
      <c r="AE32" s="493" t="str">
        <f ca="1">IF(AND(OFFSET($Z$8,0,(LOG('(코어)데이터'!H44,2)-1)*3)-'(코어)데이터'!AK44&gt;0,$AI$8-'(코어)데이터'!AM44&gt;0),"O","X")</f>
        <v>X</v>
      </c>
      <c r="AF32" s="477"/>
      <c r="AG32" s="477"/>
      <c r="AH32" s="477"/>
      <c r="AI32" s="477"/>
      <c r="AJ32" s="477"/>
      <c r="AK32" s="477"/>
      <c r="AL32" s="478"/>
      <c r="BD32" s="471">
        <v>2.6</v>
      </c>
      <c r="BI32" s="47" t="s">
        <v>435</v>
      </c>
      <c r="BJ32" s="18" t="s">
        <v>640</v>
      </c>
    </row>
    <row r="33" spans="5:62" ht="16.2" thickBot="1" x14ac:dyDescent="0.4">
      <c r="E33" s="554" t="s">
        <v>2992</v>
      </c>
      <c r="F33" s="555"/>
      <c r="G33" s="555"/>
      <c r="H33" s="555"/>
      <c r="I33" s="494" t="str">
        <f ca="1">IF(AND(OFFSET($Z$8,0,(LOG('(코어)데이터'!H25,2)-1)*3)-'(코어)데이터'!I25&gt;0,$AI$8-'(코어)데이터'!K25&gt;0),"O","X")</f>
        <v>X</v>
      </c>
      <c r="J33" s="494" t="str">
        <f ca="1">IF(AND(OFFSET($Z$8,0,(LOG('(코어)데이터'!H25,2)-1)*3)-'(코어)데이터'!M25&gt;0,$AI$8-'(코어)데이터'!O25&gt;0),"O","X")</f>
        <v>X</v>
      </c>
      <c r="K33" s="494" t="str">
        <f ca="1">IF(AND(OFFSET($Z$8,0,(LOG('(코어)데이터'!H25,2)-1)*3)-'(코어)데이터'!Q25&gt;0,$AI$8-'(코어)데이터'!S25&gt;0),"O","X")</f>
        <v>X</v>
      </c>
      <c r="L33" s="494" t="str">
        <f ca="1">IF(AND(OFFSET($Z$8,0,(LOG('(코어)데이터'!H25,2)-1)*3)-'(코어)데이터'!U25&gt;0,$AI$8-'(코어)데이터'!W25&gt;0),"O","X")</f>
        <v>X</v>
      </c>
      <c r="M33" s="494" t="str">
        <f ca="1">IF(AND(OFFSET($Z$8,0,(LOG('(코어)데이터'!H25,2)-1)*3)-'(코어)데이터'!Y25&gt;0,$AI$8-'(코어)데이터'!AA25&gt;0),"O","X")</f>
        <v>X</v>
      </c>
      <c r="N33" s="494" t="str">
        <f ca="1">IF(AND(OFFSET($Z$8,0,(LOG('(코어)데이터'!H25,2)-1)*3)-'(코어)데이터'!AC25&gt;0,$AI$8-'(코어)데이터'!AE25&gt;0),"O","X")</f>
        <v>X</v>
      </c>
      <c r="O33" s="494" t="str">
        <f ca="1">IF(AND(OFFSET($Z$8,0,(LOG('(코어)데이터'!H25,2)-1)*3)-'(코어)데이터'!AG25&gt;0,$AI$8-'(코어)데이터'!AI25&gt;0),"O","X")</f>
        <v>X</v>
      </c>
      <c r="P33" s="494" t="str">
        <f ca="1">IF(AND(OFFSET($Z$8,0,(LOG('(코어)데이터'!H25,2)-1)*3)-'(코어)데이터'!AK25&gt;0,$AI$8-'(코어)데이터'!AM25&gt;0),"O","X")</f>
        <v>X</v>
      </c>
      <c r="Q33" s="555" t="s">
        <v>3039</v>
      </c>
      <c r="R33" s="555"/>
      <c r="S33" s="555"/>
      <c r="T33" s="555"/>
      <c r="U33" s="555"/>
      <c r="V33" s="555"/>
      <c r="W33" s="555"/>
      <c r="X33" s="494" t="str">
        <f ca="1">IF(AND(OFFSET($Z$8,0,(LOG('(코어)데이터'!H45,2)-1)*3)-'(코어)데이터'!I45&gt;0,$AI$8-'(코어)데이터'!K45&gt;0),"O","X")</f>
        <v>X</v>
      </c>
      <c r="Y33" s="494" t="str">
        <f ca="1">IF(AND(OFFSET($Z$8,0,(LOG('(코어)데이터'!H45,2)-1)*3)-'(코어)데이터'!M45&gt;0,$AI$8-'(코어)데이터'!O45&gt;0),"O","X")</f>
        <v>X</v>
      </c>
      <c r="Z33" s="494" t="str">
        <f ca="1">IF(AND(OFFSET($Z$8,0,(LOG('(코어)데이터'!H45,2)-1)*3)-'(코어)데이터'!Q45&gt;0,$AI$8-'(코어)데이터'!S45&gt;0),"O","X")</f>
        <v>X</v>
      </c>
      <c r="AA33" s="494" t="str">
        <f ca="1">IF(AND(OFFSET($Z$8,0,(LOG('(코어)데이터'!H45,2)-1)*3)-'(코어)데이터'!U45&gt;0,$AI$8-'(코어)데이터'!W45&gt;0),"O","X")</f>
        <v>X</v>
      </c>
      <c r="AB33" s="494" t="str">
        <f ca="1">IF(AND(OFFSET($Z$8,0,(LOG('(코어)데이터'!H45,2)-1)*3)-'(코어)데이터'!Y45&gt;0,$AI$8-'(코어)데이터'!AA45&gt;0),"O","X")</f>
        <v>X</v>
      </c>
      <c r="AC33" s="494" t="str">
        <f ca="1">IF(AND(OFFSET($Z$8,0,(LOG('(코어)데이터'!H45,2)-1)*3)-'(코어)데이터'!AC45&gt;0,$AI$8-'(코어)데이터'!AE45&gt;0),"O","X")</f>
        <v>X</v>
      </c>
      <c r="AD33" s="494" t="str">
        <f ca="1">IF(AND(OFFSET($Z$8,0,(LOG('(코어)데이터'!H45,2)-1)*3)-'(코어)데이터'!AG45&gt;0,$AI$8-'(코어)데이터'!AI45&gt;0),"O","X")</f>
        <v>X</v>
      </c>
      <c r="AE33" s="494" t="str">
        <f ca="1">IF(AND(OFFSET($Z$8,0,(LOG('(코어)데이터'!H45,2)-1)*3)-'(코어)데이터'!AK45&gt;0,$AI$8-'(코어)데이터'!AM45&gt;0),"O","X")</f>
        <v>X</v>
      </c>
      <c r="AF33" s="479"/>
      <c r="AG33" s="479"/>
      <c r="AH33" s="479"/>
      <c r="AI33" s="479"/>
      <c r="AJ33" s="479"/>
      <c r="AK33" s="479"/>
      <c r="AL33" s="480"/>
      <c r="BD33" s="471">
        <v>2.5</v>
      </c>
      <c r="BI33" s="47" t="s">
        <v>434</v>
      </c>
      <c r="BJ33" s="18" t="s">
        <v>641</v>
      </c>
    </row>
    <row r="34" spans="5:62" x14ac:dyDescent="0.35">
      <c r="BD34" s="471">
        <v>2.4</v>
      </c>
      <c r="BI34" s="47" t="s">
        <v>433</v>
      </c>
      <c r="BJ34" s="18" t="s">
        <v>642</v>
      </c>
    </row>
    <row r="35" spans="5:62" x14ac:dyDescent="0.35">
      <c r="BD35" s="471">
        <v>2.30000000000001</v>
      </c>
      <c r="BI35" s="47" t="s">
        <v>432</v>
      </c>
      <c r="BJ35" s="18" t="s">
        <v>643</v>
      </c>
    </row>
    <row r="36" spans="5:62" x14ac:dyDescent="0.35">
      <c r="BD36" s="471">
        <v>2.2000000000000099</v>
      </c>
      <c r="BI36" s="47" t="s">
        <v>431</v>
      </c>
      <c r="BJ36" s="18" t="s">
        <v>644</v>
      </c>
    </row>
    <row r="37" spans="5:62" x14ac:dyDescent="0.35">
      <c r="BD37" s="471">
        <v>2.1000000000000099</v>
      </c>
      <c r="BI37" s="47" t="s">
        <v>430</v>
      </c>
      <c r="BJ37" s="18" t="s">
        <v>646</v>
      </c>
    </row>
    <row r="38" spans="5:62" x14ac:dyDescent="0.35">
      <c r="BD38" s="471">
        <v>2.0000000000000102</v>
      </c>
      <c r="BI38" s="47" t="s">
        <v>429</v>
      </c>
      <c r="BJ38" s="18" t="s">
        <v>647</v>
      </c>
    </row>
    <row r="39" spans="5:62" x14ac:dyDescent="0.35">
      <c r="BI39" s="47" t="s">
        <v>428</v>
      </c>
      <c r="BJ39" s="18" t="s">
        <v>648</v>
      </c>
    </row>
    <row r="40" spans="5:62" x14ac:dyDescent="0.35">
      <c r="BI40" s="47" t="s">
        <v>427</v>
      </c>
      <c r="BJ40" s="18" t="s">
        <v>654</v>
      </c>
    </row>
    <row r="41" spans="5:62" x14ac:dyDescent="0.35">
      <c r="BI41" s="47" t="s">
        <v>426</v>
      </c>
      <c r="BJ41" s="18" t="s">
        <v>655</v>
      </c>
    </row>
    <row r="42" spans="5:62" x14ac:dyDescent="0.35">
      <c r="BI42" s="47" t="s">
        <v>424</v>
      </c>
      <c r="BJ42" s="18" t="s">
        <v>843</v>
      </c>
    </row>
    <row r="43" spans="5:62" x14ac:dyDescent="0.35">
      <c r="BI43" s="47" t="s">
        <v>422</v>
      </c>
      <c r="BJ43" s="18" t="s">
        <v>842</v>
      </c>
    </row>
    <row r="44" spans="5:62" x14ac:dyDescent="0.35">
      <c r="BI44" s="47" t="s">
        <v>401</v>
      </c>
      <c r="BJ44" s="18" t="s">
        <v>844</v>
      </c>
    </row>
    <row r="45" spans="5:62" x14ac:dyDescent="0.35">
      <c r="BI45" s="47" t="s">
        <v>400</v>
      </c>
      <c r="BJ45" s="18" t="s">
        <v>845</v>
      </c>
    </row>
    <row r="46" spans="5:62" x14ac:dyDescent="0.35">
      <c r="BI46" s="47" t="s">
        <v>399</v>
      </c>
      <c r="BJ46" s="18" t="s">
        <v>846</v>
      </c>
    </row>
    <row r="47" spans="5:62" x14ac:dyDescent="0.35">
      <c r="BI47" s="47" t="s">
        <v>398</v>
      </c>
      <c r="BJ47" s="18" t="s">
        <v>847</v>
      </c>
    </row>
    <row r="48" spans="5:62" x14ac:dyDescent="0.35">
      <c r="BI48" s="47" t="s">
        <v>397</v>
      </c>
      <c r="BJ48" s="18" t="s">
        <v>3009</v>
      </c>
    </row>
    <row r="49" spans="61:62" x14ac:dyDescent="0.35">
      <c r="BI49" s="47" t="s">
        <v>396</v>
      </c>
      <c r="BJ49" s="18" t="s">
        <v>849</v>
      </c>
    </row>
    <row r="50" spans="61:62" x14ac:dyDescent="0.35">
      <c r="BI50" s="47" t="s">
        <v>395</v>
      </c>
      <c r="BJ50" s="18" t="s">
        <v>848</v>
      </c>
    </row>
    <row r="51" spans="61:62" x14ac:dyDescent="0.35">
      <c r="BI51" s="47" t="s">
        <v>394</v>
      </c>
      <c r="BJ51" s="18" t="s">
        <v>850</v>
      </c>
    </row>
    <row r="52" spans="61:62" x14ac:dyDescent="0.35">
      <c r="BI52" s="47" t="s">
        <v>393</v>
      </c>
      <c r="BJ52" s="18" t="s">
        <v>851</v>
      </c>
    </row>
    <row r="53" spans="61:62" x14ac:dyDescent="0.35">
      <c r="BI53" s="47" t="s">
        <v>392</v>
      </c>
      <c r="BJ53" s="18" t="s">
        <v>851</v>
      </c>
    </row>
    <row r="54" spans="61:62" x14ac:dyDescent="0.35">
      <c r="BI54" s="47" t="s">
        <v>391</v>
      </c>
      <c r="BJ54" s="18" t="s">
        <v>852</v>
      </c>
    </row>
    <row r="55" spans="61:62" x14ac:dyDescent="0.35">
      <c r="BI55" s="47" t="s">
        <v>390</v>
      </c>
      <c r="BJ55" s="18" t="s">
        <v>853</v>
      </c>
    </row>
    <row r="56" spans="61:62" x14ac:dyDescent="0.35">
      <c r="BI56" s="47" t="s">
        <v>389</v>
      </c>
      <c r="BJ56" s="18" t="s">
        <v>854</v>
      </c>
    </row>
    <row r="57" spans="61:62" x14ac:dyDescent="0.35">
      <c r="BI57" s="47" t="s">
        <v>387</v>
      </c>
      <c r="BJ57" s="18" t="s">
        <v>855</v>
      </c>
    </row>
    <row r="58" spans="61:62" x14ac:dyDescent="0.35">
      <c r="BI58" s="47" t="s">
        <v>1185</v>
      </c>
      <c r="BJ58" s="27" t="s">
        <v>787</v>
      </c>
    </row>
    <row r="59" spans="61:62" x14ac:dyDescent="0.35">
      <c r="BI59" s="49" t="s">
        <v>3006</v>
      </c>
      <c r="BJ59" s="27" t="s">
        <v>788</v>
      </c>
    </row>
    <row r="60" spans="61:62" x14ac:dyDescent="0.35">
      <c r="BI60" s="47" t="s">
        <v>386</v>
      </c>
      <c r="BJ60" s="27" t="s">
        <v>789</v>
      </c>
    </row>
    <row r="61" spans="61:62" x14ac:dyDescent="0.35">
      <c r="BI61" s="47" t="s">
        <v>384</v>
      </c>
      <c r="BJ61" s="27" t="s">
        <v>784</v>
      </c>
    </row>
    <row r="62" spans="61:62" x14ac:dyDescent="0.35">
      <c r="BI62" s="47" t="s">
        <v>1171</v>
      </c>
      <c r="BJ62" s="32" t="s">
        <v>3020</v>
      </c>
    </row>
    <row r="63" spans="61:62" x14ac:dyDescent="0.35">
      <c r="BI63" s="47" t="s">
        <v>416</v>
      </c>
      <c r="BJ63" s="32" t="s">
        <v>659</v>
      </c>
    </row>
    <row r="64" spans="61:62" x14ac:dyDescent="0.35">
      <c r="BI64" s="47" t="s">
        <v>415</v>
      </c>
      <c r="BJ64" s="32" t="s">
        <v>656</v>
      </c>
    </row>
    <row r="65" spans="61:62" x14ac:dyDescent="0.35">
      <c r="BI65" s="47" t="s">
        <v>414</v>
      </c>
      <c r="BJ65" s="32" t="s">
        <v>660</v>
      </c>
    </row>
    <row r="66" spans="61:62" x14ac:dyDescent="0.35">
      <c r="BI66" s="47" t="s">
        <v>413</v>
      </c>
      <c r="BJ66" s="32" t="s">
        <v>663</v>
      </c>
    </row>
    <row r="67" spans="61:62" x14ac:dyDescent="0.35">
      <c r="BI67" s="47" t="s">
        <v>412</v>
      </c>
      <c r="BJ67" s="32" t="s">
        <v>664</v>
      </c>
    </row>
    <row r="68" spans="61:62" x14ac:dyDescent="0.35">
      <c r="BI68" s="47" t="s">
        <v>411</v>
      </c>
      <c r="BJ68" s="32" t="s">
        <v>2939</v>
      </c>
    </row>
    <row r="69" spans="61:62" x14ac:dyDescent="0.35">
      <c r="BI69" s="47" t="s">
        <v>1182</v>
      </c>
      <c r="BJ69" s="32" t="s">
        <v>2964</v>
      </c>
    </row>
    <row r="70" spans="61:62" x14ac:dyDescent="0.35">
      <c r="BI70" s="47" t="s">
        <v>409</v>
      </c>
      <c r="BJ70" s="32" t="s">
        <v>666</v>
      </c>
    </row>
    <row r="71" spans="61:62" x14ac:dyDescent="0.35">
      <c r="BI71" s="47" t="s">
        <v>408</v>
      </c>
      <c r="BJ71" s="32" t="s">
        <v>2965</v>
      </c>
    </row>
    <row r="72" spans="61:62" x14ac:dyDescent="0.35">
      <c r="BI72" s="47" t="s">
        <v>407</v>
      </c>
      <c r="BJ72" s="32" t="s">
        <v>682</v>
      </c>
    </row>
    <row r="73" spans="61:62" x14ac:dyDescent="0.35">
      <c r="BI73" s="47" t="s">
        <v>383</v>
      </c>
      <c r="BJ73" s="32" t="s">
        <v>669</v>
      </c>
    </row>
    <row r="74" spans="61:62" x14ac:dyDescent="0.35">
      <c r="BI74" s="47" t="s">
        <v>382</v>
      </c>
      <c r="BJ74" s="32" t="s">
        <v>671</v>
      </c>
    </row>
    <row r="75" spans="61:62" x14ac:dyDescent="0.35">
      <c r="BI75" s="47" t="s">
        <v>381</v>
      </c>
      <c r="BJ75" s="32" t="s">
        <v>673</v>
      </c>
    </row>
    <row r="76" spans="61:62" x14ac:dyDescent="0.35">
      <c r="BI76" s="47" t="s">
        <v>378</v>
      </c>
      <c r="BJ76" s="32" t="s">
        <v>674</v>
      </c>
    </row>
    <row r="77" spans="61:62" x14ac:dyDescent="0.35">
      <c r="BI77" s="47" t="s">
        <v>481</v>
      </c>
      <c r="BJ77" s="32" t="s">
        <v>675</v>
      </c>
    </row>
    <row r="78" spans="61:62" x14ac:dyDescent="0.35">
      <c r="BI78" s="47" t="s">
        <v>480</v>
      </c>
      <c r="BJ78" s="32" t="s">
        <v>677</v>
      </c>
    </row>
    <row r="79" spans="61:62" x14ac:dyDescent="0.35">
      <c r="BI79" s="47" t="s">
        <v>478</v>
      </c>
      <c r="BJ79" s="32" t="s">
        <v>679</v>
      </c>
    </row>
    <row r="80" spans="61:62" x14ac:dyDescent="0.35">
      <c r="BI80" s="47" t="s">
        <v>461</v>
      </c>
      <c r="BJ80" s="32" t="s">
        <v>680</v>
      </c>
    </row>
    <row r="81" spans="61:62" x14ac:dyDescent="0.35">
      <c r="BI81" s="47" t="s">
        <v>460</v>
      </c>
      <c r="BJ81" s="32" t="s">
        <v>2975</v>
      </c>
    </row>
    <row r="82" spans="61:62" x14ac:dyDescent="0.35">
      <c r="BI82" s="47" t="s">
        <v>477</v>
      </c>
      <c r="BJ82" s="32" t="s">
        <v>684</v>
      </c>
    </row>
    <row r="83" spans="61:62" x14ac:dyDescent="0.35">
      <c r="BI83" s="47" t="s">
        <v>476</v>
      </c>
      <c r="BJ83" s="32" t="s">
        <v>686</v>
      </c>
    </row>
    <row r="84" spans="61:62" x14ac:dyDescent="0.35">
      <c r="BI84" s="47" t="s">
        <v>475</v>
      </c>
      <c r="BJ84" s="32" t="s">
        <v>688</v>
      </c>
    </row>
    <row r="85" spans="61:62" x14ac:dyDescent="0.35">
      <c r="BI85" s="47" t="s">
        <v>474</v>
      </c>
      <c r="BJ85" s="32" t="s">
        <v>689</v>
      </c>
    </row>
    <row r="86" spans="61:62" x14ac:dyDescent="0.35">
      <c r="BI86" s="47" t="s">
        <v>473</v>
      </c>
      <c r="BJ86" s="32" t="s">
        <v>691</v>
      </c>
    </row>
    <row r="87" spans="61:62" x14ac:dyDescent="0.35">
      <c r="BI87" s="47" t="s">
        <v>472</v>
      </c>
      <c r="BJ87" s="32" t="s">
        <v>693</v>
      </c>
    </row>
    <row r="88" spans="61:62" x14ac:dyDescent="0.35">
      <c r="BI88" s="47" t="s">
        <v>471</v>
      </c>
      <c r="BJ88" s="32" t="s">
        <v>694</v>
      </c>
    </row>
    <row r="89" spans="61:62" x14ac:dyDescent="0.35">
      <c r="BI89" s="47" t="s">
        <v>469</v>
      </c>
      <c r="BJ89" s="32" t="s">
        <v>696</v>
      </c>
    </row>
    <row r="90" spans="61:62" x14ac:dyDescent="0.35">
      <c r="BI90" s="47" t="s">
        <v>468</v>
      </c>
      <c r="BJ90" s="32" t="s">
        <v>698</v>
      </c>
    </row>
    <row r="91" spans="61:62" x14ac:dyDescent="0.35">
      <c r="BI91" s="47" t="s">
        <v>459</v>
      </c>
      <c r="BJ91" s="32" t="s">
        <v>699</v>
      </c>
    </row>
    <row r="92" spans="61:62" x14ac:dyDescent="0.35">
      <c r="BI92" s="47" t="s">
        <v>458</v>
      </c>
      <c r="BJ92" s="32" t="s">
        <v>700</v>
      </c>
    </row>
    <row r="93" spans="61:62" x14ac:dyDescent="0.35">
      <c r="BI93" s="47" t="s">
        <v>457</v>
      </c>
      <c r="BJ93" s="32" t="s">
        <v>701</v>
      </c>
    </row>
    <row r="94" spans="61:62" x14ac:dyDescent="0.35">
      <c r="BI94" s="47" t="s">
        <v>456</v>
      </c>
      <c r="BJ94" s="32" t="s">
        <v>702</v>
      </c>
    </row>
    <row r="95" spans="61:62" x14ac:dyDescent="0.35">
      <c r="BI95" s="47" t="s">
        <v>455</v>
      </c>
      <c r="BJ95" s="32" t="s">
        <v>3013</v>
      </c>
    </row>
    <row r="96" spans="61:62" x14ac:dyDescent="0.35">
      <c r="BI96" s="47" t="s">
        <v>454</v>
      </c>
      <c r="BJ96" s="32" t="s">
        <v>703</v>
      </c>
    </row>
    <row r="97" spans="61:62" x14ac:dyDescent="0.35">
      <c r="BI97" s="47" t="s">
        <v>453</v>
      </c>
      <c r="BJ97" s="32" t="s">
        <v>704</v>
      </c>
    </row>
    <row r="98" spans="61:62" x14ac:dyDescent="0.35">
      <c r="BI98" s="47" t="s">
        <v>452</v>
      </c>
      <c r="BJ98" s="32" t="s">
        <v>705</v>
      </c>
    </row>
    <row r="99" spans="61:62" x14ac:dyDescent="0.35">
      <c r="BI99" s="47" t="s">
        <v>450</v>
      </c>
      <c r="BJ99" s="32" t="s">
        <v>706</v>
      </c>
    </row>
    <row r="100" spans="61:62" x14ac:dyDescent="0.35">
      <c r="BI100" s="47" t="s">
        <v>449</v>
      </c>
      <c r="BJ100" s="32" t="s">
        <v>707</v>
      </c>
    </row>
    <row r="101" spans="61:62" x14ac:dyDescent="0.35">
      <c r="BI101" s="47" t="s">
        <v>447</v>
      </c>
      <c r="BJ101" s="32" t="s">
        <v>708</v>
      </c>
    </row>
    <row r="102" spans="61:62" x14ac:dyDescent="0.35">
      <c r="BI102" s="47" t="s">
        <v>467</v>
      </c>
      <c r="BJ102" s="32" t="s">
        <v>710</v>
      </c>
    </row>
    <row r="103" spans="61:62" x14ac:dyDescent="0.35">
      <c r="BI103" s="47" t="s">
        <v>466</v>
      </c>
      <c r="BJ103" s="32" t="s">
        <v>712</v>
      </c>
    </row>
    <row r="104" spans="61:62" x14ac:dyDescent="0.35">
      <c r="BI104" s="47" t="s">
        <v>465</v>
      </c>
      <c r="BJ104" s="32" t="s">
        <v>714</v>
      </c>
    </row>
    <row r="105" spans="61:62" x14ac:dyDescent="0.35">
      <c r="BI105" s="47" t="s">
        <v>464</v>
      </c>
      <c r="BJ105" s="32" t="s">
        <v>715</v>
      </c>
    </row>
    <row r="106" spans="61:62" x14ac:dyDescent="0.35">
      <c r="BI106" s="47" t="s">
        <v>463</v>
      </c>
      <c r="BJ106" s="32" t="s">
        <v>716</v>
      </c>
    </row>
    <row r="107" spans="61:62" x14ac:dyDescent="0.35">
      <c r="BI107" s="47" t="s">
        <v>462</v>
      </c>
      <c r="BJ107" s="32" t="s">
        <v>717</v>
      </c>
    </row>
    <row r="108" spans="61:62" x14ac:dyDescent="0.35">
      <c r="BI108" s="47" t="s">
        <v>446</v>
      </c>
      <c r="BJ108" s="32" t="s">
        <v>719</v>
      </c>
    </row>
    <row r="109" spans="61:62" x14ac:dyDescent="0.35">
      <c r="BI109" s="47" t="s">
        <v>445</v>
      </c>
      <c r="BJ109" s="32" t="s">
        <v>720</v>
      </c>
    </row>
    <row r="110" spans="61:62" x14ac:dyDescent="0.35">
      <c r="BI110" s="47" t="s">
        <v>442</v>
      </c>
      <c r="BJ110" s="32" t="s">
        <v>722</v>
      </c>
    </row>
    <row r="111" spans="61:62" x14ac:dyDescent="0.35">
      <c r="BI111" s="47" t="s">
        <v>527</v>
      </c>
      <c r="BJ111" s="32" t="s">
        <v>867</v>
      </c>
    </row>
    <row r="112" spans="61:62" x14ac:dyDescent="0.35">
      <c r="BI112" s="47" t="s">
        <v>526</v>
      </c>
      <c r="BJ112" s="32" t="s">
        <v>868</v>
      </c>
    </row>
    <row r="113" spans="61:62" x14ac:dyDescent="0.35">
      <c r="BI113" s="47" t="s">
        <v>525</v>
      </c>
      <c r="BJ113" s="32" t="s">
        <v>869</v>
      </c>
    </row>
    <row r="114" spans="61:62" x14ac:dyDescent="0.35">
      <c r="BI114" s="47" t="s">
        <v>523</v>
      </c>
      <c r="BJ114" s="32" t="s">
        <v>870</v>
      </c>
    </row>
    <row r="115" spans="61:62" x14ac:dyDescent="0.35">
      <c r="BI115" s="47" t="s">
        <v>500</v>
      </c>
      <c r="BJ115" s="32" t="s">
        <v>871</v>
      </c>
    </row>
    <row r="116" spans="61:62" x14ac:dyDescent="0.35">
      <c r="BI116" s="47" t="s">
        <v>499</v>
      </c>
      <c r="BJ116" s="32" t="s">
        <v>872</v>
      </c>
    </row>
    <row r="117" spans="61:62" x14ac:dyDescent="0.35">
      <c r="BI117" s="47" t="s">
        <v>498</v>
      </c>
      <c r="BJ117" s="32" t="s">
        <v>873</v>
      </c>
    </row>
    <row r="118" spans="61:62" x14ac:dyDescent="0.35">
      <c r="BI118" s="47" t="s">
        <v>522</v>
      </c>
      <c r="BJ118" s="32" t="s">
        <v>874</v>
      </c>
    </row>
    <row r="119" spans="61:62" x14ac:dyDescent="0.35">
      <c r="BI119" s="47" t="s">
        <v>521</v>
      </c>
      <c r="BJ119" s="32" t="s">
        <v>875</v>
      </c>
    </row>
    <row r="120" spans="61:62" x14ac:dyDescent="0.35">
      <c r="BI120" s="47" t="s">
        <v>520</v>
      </c>
      <c r="BJ120" s="32" t="s">
        <v>876</v>
      </c>
    </row>
    <row r="121" spans="61:62" x14ac:dyDescent="0.35">
      <c r="BI121" s="47" t="s">
        <v>519</v>
      </c>
      <c r="BJ121" s="37" t="s">
        <v>882</v>
      </c>
    </row>
    <row r="122" spans="61:62" x14ac:dyDescent="0.35">
      <c r="BI122" s="47" t="s">
        <v>518</v>
      </c>
      <c r="BJ122" s="41" t="s">
        <v>2981</v>
      </c>
    </row>
    <row r="123" spans="61:62" x14ac:dyDescent="0.35">
      <c r="BI123" s="47" t="s">
        <v>517</v>
      </c>
      <c r="BJ123" s="41" t="s">
        <v>539</v>
      </c>
    </row>
    <row r="124" spans="61:62" x14ac:dyDescent="0.35">
      <c r="BI124" s="47" t="s">
        <v>516</v>
      </c>
      <c r="BJ124" s="41" t="s">
        <v>376</v>
      </c>
    </row>
    <row r="125" spans="61:62" x14ac:dyDescent="0.35">
      <c r="BI125" s="47" t="s">
        <v>515</v>
      </c>
      <c r="BJ125" s="41" t="s">
        <v>884</v>
      </c>
    </row>
    <row r="126" spans="61:62" x14ac:dyDescent="0.35">
      <c r="BI126" s="47" t="s">
        <v>513</v>
      </c>
      <c r="BJ126" s="41" t="s">
        <v>440</v>
      </c>
    </row>
    <row r="127" spans="61:62" x14ac:dyDescent="0.35">
      <c r="BI127" s="47" t="s">
        <v>512</v>
      </c>
      <c r="BJ127" s="41" t="s">
        <v>425</v>
      </c>
    </row>
    <row r="128" spans="61:62" x14ac:dyDescent="0.35">
      <c r="BI128" s="47" t="s">
        <v>497</v>
      </c>
      <c r="BJ128" s="41" t="s">
        <v>388</v>
      </c>
    </row>
    <row r="129" spans="61:62" x14ac:dyDescent="0.35">
      <c r="BI129" s="47" t="s">
        <v>496</v>
      </c>
      <c r="BJ129" s="41" t="s">
        <v>385</v>
      </c>
    </row>
    <row r="130" spans="61:62" x14ac:dyDescent="0.35">
      <c r="BI130" s="47" t="s">
        <v>495</v>
      </c>
      <c r="BJ130" s="41" t="s">
        <v>380</v>
      </c>
    </row>
    <row r="131" spans="61:62" x14ac:dyDescent="0.35">
      <c r="BI131" s="47" t="s">
        <v>494</v>
      </c>
      <c r="BJ131" s="41" t="s">
        <v>380</v>
      </c>
    </row>
    <row r="132" spans="61:62" x14ac:dyDescent="0.35">
      <c r="BI132" s="47" t="s">
        <v>493</v>
      </c>
      <c r="BJ132" s="41" t="s">
        <v>470</v>
      </c>
    </row>
    <row r="133" spans="61:62" x14ac:dyDescent="0.35">
      <c r="BI133" s="47" t="s">
        <v>492</v>
      </c>
      <c r="BJ133" s="41" t="s">
        <v>451</v>
      </c>
    </row>
    <row r="134" spans="61:62" x14ac:dyDescent="0.35">
      <c r="BI134" s="47" t="s">
        <v>491</v>
      </c>
      <c r="BJ134" s="41" t="s">
        <v>448</v>
      </c>
    </row>
    <row r="135" spans="61:62" x14ac:dyDescent="0.35">
      <c r="BI135" s="47" t="s">
        <v>490</v>
      </c>
      <c r="BJ135" s="41" t="s">
        <v>444</v>
      </c>
    </row>
    <row r="136" spans="61:62" x14ac:dyDescent="0.35">
      <c r="BI136" s="47" t="s">
        <v>489</v>
      </c>
      <c r="BJ136" s="41" t="s">
        <v>514</v>
      </c>
    </row>
    <row r="137" spans="61:62" x14ac:dyDescent="0.35">
      <c r="BI137" s="47" t="s">
        <v>488</v>
      </c>
      <c r="BJ137" s="41" t="s">
        <v>486</v>
      </c>
    </row>
    <row r="138" spans="61:62" x14ac:dyDescent="0.35">
      <c r="BI138" s="47" t="s">
        <v>487</v>
      </c>
      <c r="BJ138" s="41" t="s">
        <v>484</v>
      </c>
    </row>
    <row r="139" spans="61:62" x14ac:dyDescent="0.35">
      <c r="BI139" s="47" t="s">
        <v>485</v>
      </c>
      <c r="BJ139" s="41" t="s">
        <v>502</v>
      </c>
    </row>
    <row r="140" spans="61:62" x14ac:dyDescent="0.35">
      <c r="BI140" s="47" t="s">
        <v>482</v>
      </c>
      <c r="BJ140" s="43" t="s">
        <v>553</v>
      </c>
    </row>
    <row r="141" spans="61:62" x14ac:dyDescent="0.35">
      <c r="BI141" s="47" t="s">
        <v>511</v>
      </c>
      <c r="BJ141" s="43" t="s">
        <v>549</v>
      </c>
    </row>
    <row r="142" spans="61:62" x14ac:dyDescent="0.35">
      <c r="BI142" s="47" t="s">
        <v>510</v>
      </c>
      <c r="BJ142" s="43" t="s">
        <v>547</v>
      </c>
    </row>
    <row r="143" spans="61:62" x14ac:dyDescent="0.35">
      <c r="BI143" s="47" t="s">
        <v>509</v>
      </c>
      <c r="BJ143" s="43" t="s">
        <v>1010</v>
      </c>
    </row>
    <row r="144" spans="61:62" x14ac:dyDescent="0.35">
      <c r="BI144" s="47" t="s">
        <v>508</v>
      </c>
      <c r="BJ144" s="42" t="s">
        <v>1008</v>
      </c>
    </row>
    <row r="145" spans="61:62" x14ac:dyDescent="0.35">
      <c r="BI145" s="47" t="s">
        <v>507</v>
      </c>
      <c r="BJ145" s="43" t="s">
        <v>1007</v>
      </c>
    </row>
    <row r="146" spans="61:62" x14ac:dyDescent="0.35">
      <c r="BI146" s="47" t="s">
        <v>506</v>
      </c>
      <c r="BJ146" s="43" t="s">
        <v>774</v>
      </c>
    </row>
    <row r="147" spans="61:62" x14ac:dyDescent="0.35">
      <c r="BI147" s="47" t="s">
        <v>505</v>
      </c>
      <c r="BJ147" s="43" t="s">
        <v>563</v>
      </c>
    </row>
    <row r="148" spans="61:62" x14ac:dyDescent="0.35">
      <c r="BI148" s="47" t="s">
        <v>504</v>
      </c>
      <c r="BJ148" s="43" t="s">
        <v>566</v>
      </c>
    </row>
    <row r="149" spans="61:62" x14ac:dyDescent="0.35">
      <c r="BI149" s="47" t="s">
        <v>503</v>
      </c>
      <c r="BJ149" s="43" t="s">
        <v>569</v>
      </c>
    </row>
    <row r="150" spans="61:62" x14ac:dyDescent="0.35">
      <c r="BI150" s="47" t="s">
        <v>501</v>
      </c>
      <c r="BJ150" s="43" t="s">
        <v>583</v>
      </c>
    </row>
    <row r="151" spans="61:62" x14ac:dyDescent="0.35">
      <c r="BI151" s="33" t="s">
        <v>994</v>
      </c>
      <c r="BJ151" s="43" t="s">
        <v>577</v>
      </c>
    </row>
    <row r="152" spans="61:62" x14ac:dyDescent="0.35">
      <c r="BI152" s="33" t="s">
        <v>997</v>
      </c>
      <c r="BJ152" s="43" t="s">
        <v>580</v>
      </c>
    </row>
    <row r="153" spans="61:62" x14ac:dyDescent="0.35">
      <c r="BI153" s="33" t="s">
        <v>990</v>
      </c>
      <c r="BJ153" s="43" t="s">
        <v>752</v>
      </c>
    </row>
    <row r="154" spans="61:62" x14ac:dyDescent="0.35">
      <c r="BI154" s="33" t="s">
        <v>989</v>
      </c>
    </row>
    <row r="155" spans="61:62" x14ac:dyDescent="0.35">
      <c r="BI155" s="33" t="s">
        <v>988</v>
      </c>
    </row>
    <row r="156" spans="61:62" x14ac:dyDescent="0.35">
      <c r="BI156" s="33" t="s">
        <v>985</v>
      </c>
    </row>
    <row r="157" spans="61:62" x14ac:dyDescent="0.35">
      <c r="BI157" s="33" t="s">
        <v>552</v>
      </c>
    </row>
    <row r="158" spans="61:62" x14ac:dyDescent="0.35">
      <c r="BI158" s="33" t="s">
        <v>995</v>
      </c>
    </row>
    <row r="159" spans="61:62" x14ac:dyDescent="0.35">
      <c r="BI159" s="33" t="s">
        <v>548</v>
      </c>
    </row>
    <row r="160" spans="61:62" x14ac:dyDescent="0.35">
      <c r="BI160" s="33" t="s">
        <v>996</v>
      </c>
    </row>
    <row r="161" spans="61:61" x14ac:dyDescent="0.35">
      <c r="BI161" s="33" t="s">
        <v>554</v>
      </c>
    </row>
    <row r="162" spans="61:61" x14ac:dyDescent="0.35">
      <c r="BI162" s="33" t="s">
        <v>555</v>
      </c>
    </row>
    <row r="163" spans="61:61" x14ac:dyDescent="0.35">
      <c r="BI163" s="33" t="s">
        <v>556</v>
      </c>
    </row>
    <row r="164" spans="61:61" x14ac:dyDescent="0.35">
      <c r="BI164" s="33" t="s">
        <v>557</v>
      </c>
    </row>
    <row r="165" spans="61:61" x14ac:dyDescent="0.35">
      <c r="BI165" s="33" t="s">
        <v>558</v>
      </c>
    </row>
    <row r="166" spans="61:61" x14ac:dyDescent="0.35">
      <c r="BI166" s="33" t="s">
        <v>550</v>
      </c>
    </row>
    <row r="167" spans="61:61" x14ac:dyDescent="0.35">
      <c r="BI167" s="33" t="s">
        <v>551</v>
      </c>
    </row>
    <row r="168" spans="61:61" x14ac:dyDescent="0.35">
      <c r="BI168" s="33" t="s">
        <v>544</v>
      </c>
    </row>
    <row r="169" spans="61:61" x14ac:dyDescent="0.35">
      <c r="BI169" s="33" t="s">
        <v>982</v>
      </c>
    </row>
    <row r="170" spans="61:61" x14ac:dyDescent="0.35">
      <c r="BI170" s="33" t="s">
        <v>983</v>
      </c>
    </row>
    <row r="171" spans="61:61" x14ac:dyDescent="0.35">
      <c r="BI171" s="33" t="s">
        <v>984</v>
      </c>
    </row>
    <row r="172" spans="61:61" x14ac:dyDescent="0.35">
      <c r="BI172" s="33" t="s">
        <v>999</v>
      </c>
    </row>
    <row r="173" spans="61:61" x14ac:dyDescent="0.35">
      <c r="BI173" s="33" t="s">
        <v>1001</v>
      </c>
    </row>
    <row r="174" spans="61:61" x14ac:dyDescent="0.35">
      <c r="BI174" s="33" t="s">
        <v>1003</v>
      </c>
    </row>
    <row r="175" spans="61:61" x14ac:dyDescent="0.35">
      <c r="BI175" s="33" t="s">
        <v>2982</v>
      </c>
    </row>
    <row r="176" spans="61:61" x14ac:dyDescent="0.35">
      <c r="BI176" s="33" t="s">
        <v>1004</v>
      </c>
    </row>
    <row r="177" spans="61:61" x14ac:dyDescent="0.35">
      <c r="BI177" s="33" t="s">
        <v>573</v>
      </c>
    </row>
    <row r="178" spans="61:61" x14ac:dyDescent="0.35">
      <c r="BI178" s="33" t="s">
        <v>574</v>
      </c>
    </row>
    <row r="179" spans="61:61" x14ac:dyDescent="0.35">
      <c r="BI179" s="33" t="s">
        <v>575</v>
      </c>
    </row>
    <row r="180" spans="61:61" x14ac:dyDescent="0.35">
      <c r="BI180" s="33" t="s">
        <v>559</v>
      </c>
    </row>
    <row r="181" spans="61:61" x14ac:dyDescent="0.35">
      <c r="BI181" s="33" t="s">
        <v>564</v>
      </c>
    </row>
    <row r="182" spans="61:61" x14ac:dyDescent="0.35">
      <c r="BI182" s="33" t="s">
        <v>565</v>
      </c>
    </row>
    <row r="183" spans="61:61" x14ac:dyDescent="0.35">
      <c r="BI183" s="33" t="s">
        <v>567</v>
      </c>
    </row>
    <row r="184" spans="61:61" x14ac:dyDescent="0.35">
      <c r="BI184" s="33" t="s">
        <v>568</v>
      </c>
    </row>
    <row r="185" spans="61:61" x14ac:dyDescent="0.35">
      <c r="BI185" s="33" t="s">
        <v>570</v>
      </c>
    </row>
    <row r="186" spans="61:61" x14ac:dyDescent="0.35">
      <c r="BI186" s="33" t="s">
        <v>571</v>
      </c>
    </row>
    <row r="187" spans="61:61" x14ac:dyDescent="0.35">
      <c r="BI187" s="33" t="s">
        <v>572</v>
      </c>
    </row>
    <row r="188" spans="61:61" x14ac:dyDescent="0.35">
      <c r="BI188" s="33" t="s">
        <v>3027</v>
      </c>
    </row>
    <row r="189" spans="61:61" x14ac:dyDescent="0.35">
      <c r="BI189" s="33" t="s">
        <v>978</v>
      </c>
    </row>
    <row r="190" spans="61:61" x14ac:dyDescent="0.35">
      <c r="BI190" s="33" t="s">
        <v>979</v>
      </c>
    </row>
    <row r="191" spans="61:61" x14ac:dyDescent="0.35">
      <c r="BI191" s="33" t="s">
        <v>980</v>
      </c>
    </row>
    <row r="192" spans="61:61" x14ac:dyDescent="0.35">
      <c r="BI192" s="33" t="s">
        <v>582</v>
      </c>
    </row>
    <row r="193" spans="61:61" x14ac:dyDescent="0.35">
      <c r="BI193" s="33" t="s">
        <v>584</v>
      </c>
    </row>
    <row r="194" spans="61:61" x14ac:dyDescent="0.35">
      <c r="BI194" s="33" t="s">
        <v>576</v>
      </c>
    </row>
    <row r="195" spans="61:61" x14ac:dyDescent="0.35">
      <c r="BI195" s="33" t="s">
        <v>578</v>
      </c>
    </row>
    <row r="196" spans="61:61" x14ac:dyDescent="0.35">
      <c r="BI196" s="33" t="s">
        <v>579</v>
      </c>
    </row>
    <row r="197" spans="61:61" x14ac:dyDescent="0.35">
      <c r="BI197" s="33" t="s">
        <v>581</v>
      </c>
    </row>
    <row r="198" spans="61:61" x14ac:dyDescent="0.35">
      <c r="BI198" s="33" t="s">
        <v>975</v>
      </c>
    </row>
    <row r="199" spans="61:61" x14ac:dyDescent="0.35">
      <c r="BI199" s="33" t="s">
        <v>976</v>
      </c>
    </row>
    <row r="200" spans="61:61" x14ac:dyDescent="0.35">
      <c r="BI200" s="33" t="s">
        <v>977</v>
      </c>
    </row>
    <row r="201" spans="61:61" x14ac:dyDescent="0.35">
      <c r="BI201" s="33" t="s">
        <v>585</v>
      </c>
    </row>
    <row r="202" spans="61:61" x14ac:dyDescent="0.35">
      <c r="BI202" s="33" t="s">
        <v>587</v>
      </c>
    </row>
    <row r="203" spans="61:61" x14ac:dyDescent="0.35">
      <c r="BI203" s="33" t="s">
        <v>588</v>
      </c>
    </row>
    <row r="204" spans="61:61" x14ac:dyDescent="0.35">
      <c r="BI204" s="33" t="s">
        <v>589</v>
      </c>
    </row>
    <row r="205" spans="61:61" x14ac:dyDescent="0.35">
      <c r="BI205" s="33" t="s">
        <v>590</v>
      </c>
    </row>
    <row r="206" spans="61:61" x14ac:dyDescent="0.35">
      <c r="BI206" s="33" t="s">
        <v>591</v>
      </c>
    </row>
    <row r="207" spans="61:61" x14ac:dyDescent="0.35">
      <c r="BI207" s="33" t="s">
        <v>592</v>
      </c>
    </row>
    <row r="208" spans="61:61" x14ac:dyDescent="0.35">
      <c r="BI208" s="33" t="s">
        <v>593</v>
      </c>
    </row>
    <row r="209" spans="61:61" x14ac:dyDescent="0.35">
      <c r="BI209" s="33" t="s">
        <v>594</v>
      </c>
    </row>
    <row r="210" spans="61:61" x14ac:dyDescent="0.35">
      <c r="BI210" s="33" t="s">
        <v>595</v>
      </c>
    </row>
    <row r="211" spans="61:61" x14ac:dyDescent="0.35">
      <c r="BI211" s="33" t="s">
        <v>596</v>
      </c>
    </row>
    <row r="212" spans="61:61" x14ac:dyDescent="0.35">
      <c r="BI212" s="33" t="s">
        <v>597</v>
      </c>
    </row>
    <row r="213" spans="61:61" x14ac:dyDescent="0.35">
      <c r="BI213" s="33" t="s">
        <v>2966</v>
      </c>
    </row>
    <row r="214" spans="61:61" x14ac:dyDescent="0.35">
      <c r="BI214" s="33" t="s">
        <v>598</v>
      </c>
    </row>
    <row r="215" spans="61:61" x14ac:dyDescent="0.35">
      <c r="BI215" s="33" t="s">
        <v>601</v>
      </c>
    </row>
    <row r="216" spans="61:61" x14ac:dyDescent="0.35">
      <c r="BI216" s="33" t="s">
        <v>602</v>
      </c>
    </row>
    <row r="217" spans="61:61" x14ac:dyDescent="0.35">
      <c r="BI217" s="33" t="s">
        <v>603</v>
      </c>
    </row>
    <row r="218" spans="61:61" x14ac:dyDescent="0.35">
      <c r="BI218" s="33" t="s">
        <v>604</v>
      </c>
    </row>
    <row r="219" spans="61:61" x14ac:dyDescent="0.35">
      <c r="BI219" s="33" t="s">
        <v>605</v>
      </c>
    </row>
    <row r="220" spans="61:61" x14ac:dyDescent="0.35">
      <c r="BI220" s="33" t="s">
        <v>606</v>
      </c>
    </row>
    <row r="221" spans="61:61" x14ac:dyDescent="0.35">
      <c r="BI221" s="33" t="s">
        <v>607</v>
      </c>
    </row>
    <row r="222" spans="61:61" x14ac:dyDescent="0.35">
      <c r="BI222" s="33" t="s">
        <v>608</v>
      </c>
    </row>
    <row r="223" spans="61:61" x14ac:dyDescent="0.35">
      <c r="BI223" s="33" t="s">
        <v>609</v>
      </c>
    </row>
    <row r="224" spans="61:61" x14ac:dyDescent="0.35">
      <c r="BI224" s="33" t="s">
        <v>610</v>
      </c>
    </row>
    <row r="225" spans="61:61" x14ac:dyDescent="0.35">
      <c r="BI225" s="33" t="s">
        <v>611</v>
      </c>
    </row>
    <row r="226" spans="61:61" x14ac:dyDescent="0.35">
      <c r="BI226" s="33" t="s">
        <v>612</v>
      </c>
    </row>
    <row r="227" spans="61:61" x14ac:dyDescent="0.35">
      <c r="BI227" s="33" t="s">
        <v>613</v>
      </c>
    </row>
  </sheetData>
  <mergeCells count="76">
    <mergeCell ref="AG17:AJ19"/>
    <mergeCell ref="AG16:AJ16"/>
    <mergeCell ref="F5:N6"/>
    <mergeCell ref="Q5:Y6"/>
    <mergeCell ref="F7:N8"/>
    <mergeCell ref="Q7:Y8"/>
    <mergeCell ref="O7:P8"/>
    <mergeCell ref="Z6:AL6"/>
    <mergeCell ref="AI7:AL7"/>
    <mergeCell ref="AC8:AE8"/>
    <mergeCell ref="AF8:AH8"/>
    <mergeCell ref="E16:H16"/>
    <mergeCell ref="Q16:W16"/>
    <mergeCell ref="E17:H17"/>
    <mergeCell ref="Q17:W17"/>
    <mergeCell ref="E18:H18"/>
    <mergeCell ref="E2:AL3"/>
    <mergeCell ref="E10:AL12"/>
    <mergeCell ref="E5:E6"/>
    <mergeCell ref="E7:E8"/>
    <mergeCell ref="O5:P6"/>
    <mergeCell ref="AI8:AL8"/>
    <mergeCell ref="AG4:AH4"/>
    <mergeCell ref="AG5:AH5"/>
    <mergeCell ref="Z4:AA4"/>
    <mergeCell ref="AB4:AC4"/>
    <mergeCell ref="Z5:AA5"/>
    <mergeCell ref="AB5:AC5"/>
    <mergeCell ref="AE4:AF4"/>
    <mergeCell ref="Z7:AB7"/>
    <mergeCell ref="AC7:AE7"/>
    <mergeCell ref="AF7:AH7"/>
    <mergeCell ref="Z8:AB8"/>
    <mergeCell ref="AI4:AL4"/>
    <mergeCell ref="AI5:AL5"/>
    <mergeCell ref="AE5:AF5"/>
    <mergeCell ref="E32:H32"/>
    <mergeCell ref="Q32:W32"/>
    <mergeCell ref="E26:H26"/>
    <mergeCell ref="Q26:W26"/>
    <mergeCell ref="E27:H27"/>
    <mergeCell ref="Q27:W27"/>
    <mergeCell ref="E28:H28"/>
    <mergeCell ref="Q28:W28"/>
    <mergeCell ref="E23:H23"/>
    <mergeCell ref="Q23:W23"/>
    <mergeCell ref="E24:H24"/>
    <mergeCell ref="Q24:W24"/>
    <mergeCell ref="E33:H33"/>
    <mergeCell ref="Q33:W33"/>
    <mergeCell ref="E29:H29"/>
    <mergeCell ref="Q29:W29"/>
    <mergeCell ref="E30:H30"/>
    <mergeCell ref="Q30:W30"/>
    <mergeCell ref="E31:H31"/>
    <mergeCell ref="Q31:W31"/>
    <mergeCell ref="E25:H25"/>
    <mergeCell ref="Q25:W25"/>
    <mergeCell ref="E20:H20"/>
    <mergeCell ref="Q20:W20"/>
    <mergeCell ref="E21:H21"/>
    <mergeCell ref="Q21:W21"/>
    <mergeCell ref="E22:H22"/>
    <mergeCell ref="Q22:W22"/>
    <mergeCell ref="E19:H19"/>
    <mergeCell ref="Q19:W19"/>
    <mergeCell ref="E14:H14"/>
    <mergeCell ref="Q14:W14"/>
    <mergeCell ref="E15:H15"/>
    <mergeCell ref="Q15:W15"/>
    <mergeCell ref="E13:H13"/>
    <mergeCell ref="Q13:W13"/>
    <mergeCell ref="F4:N4"/>
    <mergeCell ref="Q4:Y4"/>
    <mergeCell ref="Q18:W18"/>
    <mergeCell ref="O4:P4"/>
  </mergeCells>
  <phoneticPr fontId="4" type="noConversion"/>
  <conditionalFormatting sqref="AL17:AL20 AG16">
    <cfRule type="expression" dxfId="370" priority="30">
      <formula>$AI$42="X"</formula>
    </cfRule>
  </conditionalFormatting>
  <conditionalFormatting sqref="I14:I33">
    <cfRule type="cellIs" dxfId="369" priority="21" operator="equal">
      <formula>"O"</formula>
    </cfRule>
  </conditionalFormatting>
  <conditionalFormatting sqref="Y14:Y33">
    <cfRule type="cellIs" dxfId="368" priority="12" operator="equal">
      <formula>"O"</formula>
    </cfRule>
  </conditionalFormatting>
  <conditionalFormatting sqref="Z14:Z33">
    <cfRule type="cellIs" dxfId="367" priority="11" operator="equal">
      <formula>"O"</formula>
    </cfRule>
  </conditionalFormatting>
  <conditionalFormatting sqref="AA14:AA33">
    <cfRule type="cellIs" dxfId="366" priority="10" operator="equal">
      <formula>"O"</formula>
    </cfRule>
  </conditionalFormatting>
  <conditionalFormatting sqref="AB14:AB33">
    <cfRule type="cellIs" dxfId="365" priority="9" operator="equal">
      <formula>"O"</formula>
    </cfRule>
  </conditionalFormatting>
  <conditionalFormatting sqref="AC14:AC33">
    <cfRule type="cellIs" dxfId="364" priority="8" operator="equal">
      <formula>"O"</formula>
    </cfRule>
  </conditionalFormatting>
  <conditionalFormatting sqref="AD14:AD33">
    <cfRule type="cellIs" dxfId="363" priority="7" operator="equal">
      <formula>"O"</formula>
    </cfRule>
  </conditionalFormatting>
  <conditionalFormatting sqref="AE14:AE33">
    <cfRule type="cellIs" dxfId="362" priority="6" operator="equal">
      <formula>"O"</formula>
    </cfRule>
  </conditionalFormatting>
  <conditionalFormatting sqref="J14:J33">
    <cfRule type="cellIs" dxfId="361" priority="20" operator="equal">
      <formula>"O"</formula>
    </cfRule>
  </conditionalFormatting>
  <conditionalFormatting sqref="K14:K33">
    <cfRule type="cellIs" dxfId="360" priority="19" operator="equal">
      <formula>"O"</formula>
    </cfRule>
  </conditionalFormatting>
  <conditionalFormatting sqref="L14:L33">
    <cfRule type="cellIs" dxfId="359" priority="18" operator="equal">
      <formula>"O"</formula>
    </cfRule>
  </conditionalFormatting>
  <conditionalFormatting sqref="M14:M33">
    <cfRule type="cellIs" dxfId="358" priority="17" operator="equal">
      <formula>"O"</formula>
    </cfRule>
  </conditionalFormatting>
  <conditionalFormatting sqref="N14:N33">
    <cfRule type="cellIs" dxfId="357" priority="16" operator="equal">
      <formula>"O"</formula>
    </cfRule>
  </conditionalFormatting>
  <conditionalFormatting sqref="O14:O33">
    <cfRule type="cellIs" dxfId="356" priority="15" operator="equal">
      <formula>"O"</formula>
    </cfRule>
  </conditionalFormatting>
  <conditionalFormatting sqref="P14:P33">
    <cfRule type="cellIs" dxfId="355" priority="14" operator="equal">
      <formula>"O"</formula>
    </cfRule>
  </conditionalFormatting>
  <conditionalFormatting sqref="X14:X33">
    <cfRule type="cellIs" dxfId="354" priority="13" operator="equal">
      <formula>"O"</formula>
    </cfRule>
  </conditionalFormatting>
  <conditionalFormatting sqref="AG17:AJ19">
    <cfRule type="expression" dxfId="353" priority="3">
      <formula>$AB$5&gt;$Z$5</formula>
    </cfRule>
    <cfRule type="expression" dxfId="352" priority="4">
      <formula>$Z$5=$AB$5</formula>
    </cfRule>
    <cfRule type="expression" dxfId="351" priority="5">
      <formula>$AB$5&lt;$Z$5</formula>
    </cfRule>
  </conditionalFormatting>
  <conditionalFormatting sqref="Z5:AC5">
    <cfRule type="cellIs" dxfId="350" priority="1" operator="equal">
      <formula>1</formula>
    </cfRule>
  </conditionalFormatting>
  <dataValidations count="5">
    <dataValidation type="list" allowBlank="1" showInputMessage="1" showErrorMessage="1" sqref="O5:P6">
      <formula1>$BD$2</formula1>
    </dataValidation>
    <dataValidation type="list" allowBlank="1" showInputMessage="1" showErrorMessage="1" sqref="O7:P8">
      <formula1>$BD$2:$BD$5</formula1>
    </dataValidation>
    <dataValidation type="list" allowBlank="1" showInputMessage="1" showErrorMessage="1" sqref="F5:N6">
      <formula1>$BI$2:$BI$227</formula1>
    </dataValidation>
    <dataValidation type="list" allowBlank="1" showInputMessage="1" showErrorMessage="1" sqref="F7:N8">
      <formula1>$BJ$2:$BJ$153</formula1>
    </dataValidation>
    <dataValidation type="list" allowBlank="1" showInputMessage="1" showErrorMessage="1" sqref="AG17:AJ19">
      <formula1>$BD$7:$BD$38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" id="{776FDFDC-BF91-4FC7-BB39-79ED2C6A0112}">
            <xm:f>AND(ISNUMBER($AI$44),'예아!'!$AR$8&gt;'예아!'!$AV$8)</xm:f>
            <x14:dxf>
              <font>
                <b/>
                <i val="0"/>
                <color rgb="FFFF6600"/>
              </font>
            </x14:dxf>
          </x14:cfRule>
          <x14:cfRule type="expression" priority="32" id="{8BF68621-A44E-4111-AE3A-CD94990AF67C}">
            <xm:f>'예아!'!$AR$8='예아!'!$AV$8</xm:f>
            <x14:dxf>
              <font>
                <b/>
                <i val="0"/>
                <color theme="6" tint="-0.24994659260841701"/>
              </font>
            </x14:dxf>
          </x14:cfRule>
          <x14:cfRule type="expression" priority="33" id="{D0B7464E-FA87-4397-994E-0FF9E223E7C9}">
            <xm:f>'예아!'!$AR$8&lt;'예아!'!$AV$8</xm:f>
            <x14:dxf>
              <font>
                <b/>
                <i val="0"/>
                <color rgb="FF0099FF"/>
              </font>
            </x14:dxf>
          </x14:cfRule>
          <xm:sqref>AL17:AL20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7C80"/>
  </sheetPr>
  <dimension ref="E1:DY45"/>
  <sheetViews>
    <sheetView showGridLines="0" showRowColHeaders="0" zoomScaleNormal="100" workbookViewId="0">
      <selection activeCell="CX25" sqref="CX25"/>
    </sheetView>
  </sheetViews>
  <sheetFormatPr defaultColWidth="2" defaultRowHeight="15.6" x14ac:dyDescent="0.35"/>
  <cols>
    <col min="1" max="4" width="2" style="138"/>
    <col min="5" max="5" width="19.19921875" style="138" bestFit="1" customWidth="1"/>
    <col min="6" max="20" width="2" style="138"/>
    <col min="21" max="21" width="2" style="138" customWidth="1"/>
    <col min="22" max="22" width="2" style="138"/>
    <col min="23" max="23" width="21.3984375" style="138" bestFit="1" customWidth="1"/>
    <col min="24" max="25" width="2" style="138" customWidth="1"/>
    <col min="26" max="50" width="2" style="138"/>
    <col min="51" max="52" width="0" style="138" hidden="1" customWidth="1"/>
    <col min="53" max="53" width="4.796875" style="138" hidden="1" customWidth="1"/>
    <col min="54" max="54" width="2.09765625" style="138" hidden="1" customWidth="1"/>
    <col min="55" max="55" width="7" style="138" hidden="1" customWidth="1"/>
    <col min="56" max="56" width="8.8984375" style="138" hidden="1" customWidth="1"/>
    <col min="57" max="57" width="12.3984375" style="138" hidden="1" customWidth="1"/>
    <col min="58" max="58" width="9" style="138" hidden="1" customWidth="1"/>
    <col min="59" max="59" width="8.8984375" style="138" hidden="1" customWidth="1"/>
    <col min="60" max="60" width="12.09765625" style="138" hidden="1" customWidth="1"/>
    <col min="61" max="61" width="12.3984375" style="138" hidden="1" customWidth="1"/>
    <col min="62" max="62" width="9" style="138" hidden="1" customWidth="1"/>
    <col min="63" max="63" width="8.8984375" style="138" hidden="1" customWidth="1"/>
    <col min="64" max="64" width="12.09765625" style="138" hidden="1" customWidth="1"/>
    <col min="65" max="65" width="12.3984375" style="138" hidden="1" customWidth="1"/>
    <col min="66" max="66" width="9" style="444" hidden="1" customWidth="1"/>
    <col min="67" max="67" width="33.3984375" style="138" hidden="1" customWidth="1"/>
    <col min="68" max="68" width="26" style="138" hidden="1" customWidth="1"/>
    <col min="69" max="69" width="11.8984375" style="138" hidden="1" customWidth="1"/>
    <col min="70" max="70" width="10.5" style="138" hidden="1" customWidth="1"/>
    <col min="71" max="71" width="52.5" style="138" hidden="1" customWidth="1"/>
    <col min="72" max="72" width="54.796875" style="138" hidden="1" customWidth="1"/>
    <col min="73" max="73" width="22.09765625" style="138" hidden="1" customWidth="1"/>
    <col min="74" max="74" width="28.3984375" style="138" hidden="1" customWidth="1"/>
    <col min="75" max="75" width="27" style="138" hidden="1" customWidth="1"/>
    <col min="76" max="76" width="6.69921875" style="138" hidden="1" customWidth="1"/>
    <col min="77" max="77" width="7.09765625" style="138" hidden="1" customWidth="1"/>
    <col min="78" max="78" width="43.19921875" style="138" hidden="1" customWidth="1"/>
    <col min="79" max="79" width="28.8984375" style="138" hidden="1" customWidth="1"/>
    <col min="80" max="80" width="12" style="138" hidden="1" customWidth="1"/>
    <col min="81" max="81" width="0" style="138" hidden="1" customWidth="1"/>
    <col min="82" max="82" width="21.3984375" style="138" hidden="1" customWidth="1"/>
    <col min="83" max="83" width="5" style="138" hidden="1" customWidth="1"/>
    <col min="84" max="84" width="11.8984375" style="138" hidden="1" customWidth="1"/>
    <col min="85" max="85" width="26.59765625" style="138" hidden="1" customWidth="1"/>
    <col min="86" max="86" width="5.8984375" style="138" hidden="1" customWidth="1"/>
    <col min="87" max="87" width="0" style="138" hidden="1" customWidth="1"/>
    <col min="88" max="88" width="9.8984375" style="138" hidden="1" customWidth="1"/>
    <col min="89" max="89" width="15.69921875" style="138" hidden="1" customWidth="1"/>
    <col min="90" max="90" width="4.69921875" style="138" hidden="1" customWidth="1"/>
    <col min="91" max="91" width="11.69921875" style="138" hidden="1" customWidth="1"/>
    <col min="92" max="92" width="2.59765625" style="138" hidden="1" customWidth="1"/>
    <col min="93" max="93" width="4.796875" style="138" hidden="1" customWidth="1"/>
    <col min="94" max="94" width="8.5" style="138" hidden="1" customWidth="1"/>
    <col min="95" max="95" width="3.796875" style="138" hidden="1" customWidth="1"/>
    <col min="96" max="96" width="6.796875" style="138" hidden="1" customWidth="1"/>
    <col min="97" max="97" width="43.19921875" style="138" hidden="1" customWidth="1"/>
    <col min="98" max="98" width="13.796875" style="138" hidden="1" customWidth="1"/>
    <col min="99" max="16384" width="2" style="138"/>
  </cols>
  <sheetData>
    <row r="1" spans="5:129" ht="16.2" thickBot="1" x14ac:dyDescent="0.4">
      <c r="BA1" s="613" t="s">
        <v>915</v>
      </c>
      <c r="BB1" s="613"/>
      <c r="BC1" s="613"/>
      <c r="BD1" s="613"/>
      <c r="BE1" s="613"/>
      <c r="BF1" s="613"/>
      <c r="BG1" s="613"/>
      <c r="BH1" s="613"/>
      <c r="BI1" s="613"/>
      <c r="BJ1" s="613"/>
      <c r="BK1" s="613"/>
      <c r="BL1" s="613"/>
      <c r="BM1" s="613"/>
      <c r="BN1" s="613"/>
      <c r="BO1" s="613"/>
      <c r="BP1" s="613"/>
      <c r="BQ1" s="613"/>
      <c r="BR1" s="613"/>
      <c r="BS1" s="613"/>
      <c r="BT1" s="613"/>
      <c r="BU1" s="613"/>
      <c r="BV1" s="613"/>
      <c r="BW1" s="613"/>
      <c r="BX1" s="613"/>
      <c r="BY1" s="613"/>
      <c r="BZ1" s="613"/>
      <c r="CA1" s="613"/>
      <c r="CB1" s="613"/>
      <c r="CC1" s="613"/>
      <c r="CD1" s="613"/>
      <c r="CE1" s="613"/>
      <c r="CF1" s="613"/>
      <c r="CG1" s="613"/>
      <c r="CH1" s="613"/>
      <c r="CI1" s="613"/>
      <c r="CJ1" s="613"/>
      <c r="CK1" s="613"/>
      <c r="CL1" s="613"/>
      <c r="CM1" s="613"/>
      <c r="CN1" s="613"/>
      <c r="CO1" s="613"/>
      <c r="CP1" s="613"/>
      <c r="CQ1" s="613"/>
      <c r="CR1" s="613"/>
      <c r="CS1" s="613"/>
      <c r="CT1" s="613"/>
      <c r="CU1" s="438"/>
      <c r="CV1" s="438"/>
      <c r="CW1" s="438"/>
      <c r="CX1" s="438"/>
      <c r="CY1" s="438"/>
      <c r="CZ1" s="438"/>
      <c r="DA1" s="438"/>
      <c r="DB1" s="438"/>
      <c r="DC1" s="438"/>
      <c r="DD1" s="438"/>
      <c r="DE1" s="438"/>
      <c r="DF1" s="438"/>
      <c r="DG1" s="438"/>
      <c r="DH1" s="438"/>
      <c r="DI1" s="438"/>
      <c r="DJ1" s="438"/>
      <c r="DK1" s="438"/>
      <c r="DL1" s="438"/>
      <c r="DM1" s="438"/>
      <c r="DN1" s="438"/>
      <c r="DO1" s="438"/>
      <c r="DP1" s="438"/>
      <c r="DQ1" s="438"/>
      <c r="DR1" s="438"/>
      <c r="DS1" s="438"/>
      <c r="DT1" s="438"/>
      <c r="DU1" s="438"/>
      <c r="DV1" s="438"/>
      <c r="DW1" s="438"/>
      <c r="DX1" s="438"/>
      <c r="DY1" s="438"/>
    </row>
    <row r="2" spans="5:129" x14ac:dyDescent="0.35">
      <c r="E2" s="607" t="s">
        <v>3175</v>
      </c>
      <c r="F2" s="608"/>
      <c r="G2" s="608"/>
      <c r="H2" s="608"/>
      <c r="I2" s="608"/>
      <c r="J2" s="608"/>
      <c r="K2" s="608"/>
      <c r="L2" s="608"/>
      <c r="M2" s="608"/>
      <c r="N2" s="608"/>
      <c r="O2" s="608"/>
      <c r="P2" s="608"/>
      <c r="Q2" s="608"/>
      <c r="R2" s="608"/>
      <c r="S2" s="608"/>
      <c r="T2" s="608"/>
      <c r="U2" s="608"/>
      <c r="V2" s="608"/>
      <c r="W2" s="608"/>
      <c r="X2" s="608"/>
      <c r="Y2" s="608"/>
      <c r="Z2" s="608"/>
      <c r="AA2" s="608"/>
      <c r="AB2" s="608"/>
      <c r="AC2" s="608"/>
      <c r="AD2" s="608"/>
      <c r="AE2" s="608"/>
      <c r="AF2" s="608"/>
      <c r="AG2" s="608"/>
      <c r="AH2" s="608"/>
      <c r="AI2" s="608"/>
      <c r="AJ2" s="608"/>
      <c r="AK2" s="608"/>
      <c r="AL2" s="608"/>
      <c r="AM2" s="608"/>
      <c r="AN2" s="609"/>
      <c r="BA2" s="615" t="s">
        <v>3085</v>
      </c>
      <c r="BB2" s="615"/>
      <c r="BC2" s="615"/>
      <c r="BD2" s="615"/>
      <c r="BE2" s="615"/>
      <c r="BF2" s="615"/>
      <c r="BG2" s="615"/>
      <c r="BH2" s="615"/>
      <c r="BI2" s="615"/>
      <c r="BJ2" s="615"/>
      <c r="BK2" s="615"/>
      <c r="BL2" s="615"/>
      <c r="BM2" s="615"/>
      <c r="BN2" s="615"/>
      <c r="BO2" s="615"/>
      <c r="BP2" s="615"/>
      <c r="BQ2" s="615"/>
      <c r="BR2" s="615"/>
      <c r="BS2" s="615"/>
      <c r="BT2" s="615"/>
      <c r="BU2" s="615"/>
      <c r="BV2" s="615"/>
      <c r="BW2" s="615"/>
      <c r="BX2" s="615"/>
      <c r="BY2" s="615"/>
      <c r="BZ2" s="615"/>
      <c r="CA2" s="615"/>
      <c r="CB2" s="615"/>
      <c r="CC2" s="615"/>
      <c r="CD2" s="615" t="s">
        <v>3086</v>
      </c>
      <c r="CE2" s="615"/>
      <c r="CF2" s="615"/>
      <c r="CG2" s="615"/>
      <c r="CH2" s="615"/>
      <c r="CI2" s="615"/>
      <c r="CJ2" s="614" t="s">
        <v>916</v>
      </c>
      <c r="CK2" s="614"/>
      <c r="CL2" s="614"/>
      <c r="CM2" s="614"/>
      <c r="CN2" s="614"/>
      <c r="CO2" s="614"/>
      <c r="CP2" s="614"/>
      <c r="CQ2" s="614"/>
      <c r="CR2" s="614"/>
      <c r="CS2" s="614"/>
      <c r="CT2" s="614"/>
      <c r="CU2" s="438"/>
      <c r="CV2" s="438"/>
      <c r="CW2" s="438"/>
      <c r="CX2" s="438"/>
      <c r="CY2" s="438"/>
      <c r="CZ2" s="438"/>
      <c r="DA2" s="438"/>
      <c r="DB2" s="438"/>
      <c r="DC2" s="438"/>
      <c r="DD2" s="438"/>
      <c r="DE2" s="438"/>
      <c r="DF2" s="438"/>
      <c r="DG2" s="438"/>
      <c r="DH2" s="438"/>
      <c r="DI2" s="438"/>
      <c r="DJ2" s="438"/>
      <c r="DK2" s="438"/>
      <c r="DL2" s="438"/>
      <c r="DM2" s="438"/>
      <c r="DN2" s="438"/>
      <c r="DO2" s="438"/>
      <c r="DP2" s="438"/>
      <c r="DQ2" s="438"/>
      <c r="DR2" s="438"/>
      <c r="DS2" s="438"/>
      <c r="DT2" s="438"/>
      <c r="DU2" s="438"/>
      <c r="DV2" s="438"/>
      <c r="DW2" s="438"/>
      <c r="DX2" s="438"/>
      <c r="DY2" s="438"/>
    </row>
    <row r="3" spans="5:129" ht="16.2" thickBot="1" x14ac:dyDescent="0.4">
      <c r="E3" s="610"/>
      <c r="F3" s="611"/>
      <c r="G3" s="611"/>
      <c r="H3" s="611"/>
      <c r="I3" s="611"/>
      <c r="J3" s="611"/>
      <c r="K3" s="611"/>
      <c r="L3" s="611"/>
      <c r="M3" s="611"/>
      <c r="N3" s="611"/>
      <c r="O3" s="611"/>
      <c r="P3" s="611"/>
      <c r="Q3" s="611"/>
      <c r="R3" s="611"/>
      <c r="S3" s="611"/>
      <c r="T3" s="611"/>
      <c r="U3" s="611"/>
      <c r="V3" s="611"/>
      <c r="W3" s="611"/>
      <c r="X3" s="611"/>
      <c r="Y3" s="611"/>
      <c r="Z3" s="611"/>
      <c r="AA3" s="611"/>
      <c r="AB3" s="611"/>
      <c r="AC3" s="611"/>
      <c r="AD3" s="611"/>
      <c r="AE3" s="611"/>
      <c r="AF3" s="611"/>
      <c r="AG3" s="611"/>
      <c r="AH3" s="611"/>
      <c r="AI3" s="611"/>
      <c r="AJ3" s="611"/>
      <c r="AK3" s="611"/>
      <c r="AL3" s="611"/>
      <c r="AM3" s="611"/>
      <c r="AN3" s="612"/>
      <c r="BA3" s="138" t="s">
        <v>3061</v>
      </c>
      <c r="BC3" s="138" t="s">
        <v>3060</v>
      </c>
      <c r="BO3" s="138" t="s">
        <v>3070</v>
      </c>
      <c r="BP3" s="138" t="s">
        <v>3071</v>
      </c>
      <c r="BQ3" s="138" t="s">
        <v>3072</v>
      </c>
      <c r="BU3" s="138" t="s">
        <v>3073</v>
      </c>
      <c r="BV3" s="138" t="s">
        <v>3074</v>
      </c>
      <c r="BW3" s="138" t="s">
        <v>3075</v>
      </c>
      <c r="BX3" s="138" t="s">
        <v>897</v>
      </c>
      <c r="CA3" s="138" t="s">
        <v>3076</v>
      </c>
      <c r="CB3" s="138" t="s">
        <v>3077</v>
      </c>
      <c r="CD3" s="138" t="s">
        <v>3083</v>
      </c>
      <c r="CE3" s="138" t="s">
        <v>3084</v>
      </c>
      <c r="CF3" s="138" t="s">
        <v>3182</v>
      </c>
      <c r="CG3" s="138" t="s">
        <v>3154</v>
      </c>
      <c r="CH3" s="138" t="s">
        <v>3183</v>
      </c>
      <c r="CJ3" s="56"/>
      <c r="CK3" s="56" t="s">
        <v>1405</v>
      </c>
      <c r="CL3" s="56" t="s">
        <v>1406</v>
      </c>
      <c r="CM3" s="56" t="s">
        <v>1556</v>
      </c>
      <c r="CN3" s="56"/>
      <c r="CO3" s="56" t="s">
        <v>1018</v>
      </c>
      <c r="CP3" s="56" t="s">
        <v>1023</v>
      </c>
      <c r="CQ3" s="56"/>
      <c r="CR3" s="56" t="s">
        <v>1027</v>
      </c>
      <c r="CS3" s="56" t="s">
        <v>1028</v>
      </c>
      <c r="CT3" s="65">
        <v>0.8</v>
      </c>
      <c r="CU3" s="438"/>
      <c r="CV3" s="438"/>
      <c r="CW3" s="438"/>
      <c r="CX3" s="438"/>
      <c r="CY3" s="438"/>
      <c r="CZ3" s="438"/>
      <c r="DA3" s="438"/>
      <c r="DB3" s="438"/>
      <c r="DC3" s="438"/>
      <c r="DD3" s="438"/>
      <c r="DE3" s="438"/>
      <c r="DF3" s="438"/>
      <c r="DG3" s="438"/>
      <c r="DH3" s="438"/>
      <c r="DI3" s="438"/>
      <c r="DJ3" s="438"/>
      <c r="DK3" s="438"/>
      <c r="DL3" s="438"/>
      <c r="DM3" s="438"/>
      <c r="DN3" s="438"/>
      <c r="DO3" s="438"/>
      <c r="DP3" s="438"/>
      <c r="DQ3" s="438"/>
      <c r="DR3" s="438"/>
      <c r="DS3" s="438"/>
      <c r="DT3" s="438"/>
      <c r="DU3" s="438"/>
      <c r="DV3" s="438"/>
      <c r="DW3" s="438"/>
      <c r="DX3" s="438"/>
      <c r="DY3" s="438"/>
    </row>
    <row r="4" spans="5:129" ht="17.399999999999999" customHeight="1" x14ac:dyDescent="0.35">
      <c r="E4" s="450" t="s">
        <v>1032</v>
      </c>
      <c r="F4" s="451"/>
      <c r="G4" s="451"/>
      <c r="H4" s="451"/>
      <c r="I4" s="451"/>
      <c r="J4" s="451"/>
      <c r="K4" s="626" t="s">
        <v>3217</v>
      </c>
      <c r="L4" s="626"/>
      <c r="M4" s="626"/>
      <c r="N4" s="626"/>
      <c r="O4" s="626"/>
      <c r="P4" s="626"/>
      <c r="Q4" s="626"/>
      <c r="R4" s="626"/>
      <c r="S4" s="626"/>
      <c r="T4" s="626"/>
      <c r="U4" s="626"/>
      <c r="V4" s="627"/>
      <c r="W4" s="451" t="s">
        <v>2835</v>
      </c>
      <c r="X4" s="451"/>
      <c r="Y4" s="451"/>
      <c r="Z4" s="451"/>
      <c r="AA4" s="451"/>
      <c r="AB4" s="451"/>
      <c r="AC4" s="451"/>
      <c r="AD4" s="626" t="s">
        <v>3218</v>
      </c>
      <c r="AE4" s="626"/>
      <c r="AF4" s="626"/>
      <c r="AG4" s="626"/>
      <c r="AH4" s="626"/>
      <c r="AI4" s="626"/>
      <c r="AJ4" s="626"/>
      <c r="AK4" s="626"/>
      <c r="AL4" s="626"/>
      <c r="AM4" s="626"/>
      <c r="AN4" s="632"/>
      <c r="AO4" s="439"/>
      <c r="AP4" s="439"/>
      <c r="AQ4" s="439"/>
      <c r="AR4" s="439"/>
      <c r="AS4" s="439"/>
      <c r="AT4" s="439"/>
      <c r="AU4" s="439"/>
      <c r="BA4" s="138" t="s">
        <v>3062</v>
      </c>
      <c r="BC4" s="440" t="s">
        <v>3087</v>
      </c>
      <c r="BD4" s="441"/>
      <c r="BE4" s="441"/>
      <c r="BF4" s="441"/>
      <c r="BG4" s="440" t="s">
        <v>3088</v>
      </c>
      <c r="BH4" s="441"/>
      <c r="BI4" s="441"/>
      <c r="BJ4" s="441"/>
      <c r="BK4" s="441" t="s">
        <v>3089</v>
      </c>
      <c r="BL4" s="441"/>
      <c r="BM4" s="441"/>
      <c r="BN4" s="442"/>
      <c r="BO4" s="138" t="s">
        <v>3098</v>
      </c>
      <c r="BP4" s="138" t="s">
        <v>3096</v>
      </c>
      <c r="BQ4" s="138" t="s">
        <v>3094</v>
      </c>
      <c r="BR4" s="138" t="s">
        <v>3157</v>
      </c>
      <c r="BS4" s="138" t="s">
        <v>3093</v>
      </c>
      <c r="BU4" s="138" t="s">
        <v>3102</v>
      </c>
      <c r="BV4" s="138" t="s">
        <v>3106</v>
      </c>
      <c r="BW4" s="138" t="s">
        <v>3108</v>
      </c>
      <c r="BX4" s="138" t="s">
        <v>3189</v>
      </c>
      <c r="BY4" s="138" t="s">
        <v>3190</v>
      </c>
      <c r="BZ4" s="138" t="s">
        <v>3191</v>
      </c>
      <c r="CA4" s="138" t="s">
        <v>3112</v>
      </c>
      <c r="CB4" s="138" t="s">
        <v>3114</v>
      </c>
      <c r="CD4" s="138" t="s">
        <v>1032</v>
      </c>
      <c r="CE4" s="138">
        <v>8</v>
      </c>
      <c r="CF4" s="472">
        <f ca="1">OFFSET('(코어)데이터'!E6,0,4*CH4)</f>
        <v>0</v>
      </c>
      <c r="CG4" s="138" t="str">
        <f ca="1">OFFSET('(코어)데이터'!G6,0,4*CH4)</f>
        <v>오버워치</v>
      </c>
      <c r="CH4" s="138">
        <f t="shared" ref="CH4:CH23" si="0">IF(K4="최하",1,IF(K4="하",2,IF(K4="중하",3,IF(K4="중",4,IF(K4="중상",5,IF(K4="상",6,IF(K4="최상",7,IF(K4="풀옵",8,0))))))))</f>
        <v>0</v>
      </c>
      <c r="CJ4" s="56" t="s">
        <v>891</v>
      </c>
      <c r="CK4" s="56"/>
      <c r="CL4" s="56"/>
      <c r="CM4" s="60" t="b">
        <f ca="1">IF(VLOOKUP(F26,CPU!B2:T50,14,FALSE)="O",TRUE,FALSE)</f>
        <v>0</v>
      </c>
      <c r="CN4" s="56"/>
      <c r="CO4" s="63">
        <f ca="1">IF(F26="추가하지 않음",0,AE26)</f>
        <v>0</v>
      </c>
      <c r="CP4" s="60">
        <f ca="1">VLOOKUP(F26,CPU!B2:N50,13,FALSE)</f>
        <v>0</v>
      </c>
      <c r="CQ4" s="64" t="s">
        <v>1026</v>
      </c>
      <c r="CR4" s="62">
        <f ca="1">CP4*CO4</f>
        <v>0</v>
      </c>
      <c r="CS4" s="56"/>
      <c r="CT4" s="241">
        <f ca="1">(2-CT3)*$CR$11</f>
        <v>0</v>
      </c>
      <c r="DD4" s="438"/>
      <c r="DE4" s="438"/>
      <c r="DF4" s="438"/>
      <c r="DG4" s="438"/>
      <c r="DH4" s="438"/>
      <c r="DI4" s="438"/>
      <c r="DJ4" s="438"/>
      <c r="DK4" s="438"/>
      <c r="DL4" s="438"/>
      <c r="DM4" s="438"/>
      <c r="DN4" s="438"/>
      <c r="DO4" s="438"/>
      <c r="DP4" s="438"/>
      <c r="DQ4" s="438"/>
      <c r="DR4" s="438"/>
      <c r="DS4" s="438"/>
      <c r="DT4" s="438"/>
      <c r="DU4" s="438"/>
      <c r="DV4" s="438"/>
      <c r="DW4" s="438"/>
      <c r="DX4" s="438"/>
      <c r="DY4" s="438"/>
    </row>
    <row r="5" spans="5:129" ht="17.399999999999999" customHeight="1" x14ac:dyDescent="0.35">
      <c r="E5" s="452" t="s">
        <v>1034</v>
      </c>
      <c r="F5" s="453"/>
      <c r="G5" s="453"/>
      <c r="H5" s="453"/>
      <c r="I5" s="453"/>
      <c r="J5" s="453"/>
      <c r="K5" s="628" t="s">
        <v>3217</v>
      </c>
      <c r="L5" s="628"/>
      <c r="M5" s="628"/>
      <c r="N5" s="628"/>
      <c r="O5" s="628"/>
      <c r="P5" s="628"/>
      <c r="Q5" s="628"/>
      <c r="R5" s="628"/>
      <c r="S5" s="628"/>
      <c r="T5" s="628"/>
      <c r="U5" s="628"/>
      <c r="V5" s="629"/>
      <c r="W5" s="453" t="s">
        <v>3040</v>
      </c>
      <c r="X5" s="453"/>
      <c r="Y5" s="453"/>
      <c r="Z5" s="453"/>
      <c r="AA5" s="453"/>
      <c r="AB5" s="453"/>
      <c r="AC5" s="453"/>
      <c r="AD5" s="628" t="s">
        <v>3218</v>
      </c>
      <c r="AE5" s="628"/>
      <c r="AF5" s="628"/>
      <c r="AG5" s="628"/>
      <c r="AH5" s="628"/>
      <c r="AI5" s="628"/>
      <c r="AJ5" s="628"/>
      <c r="AK5" s="628"/>
      <c r="AL5" s="628"/>
      <c r="AM5" s="628"/>
      <c r="AN5" s="633"/>
      <c r="AO5" s="439"/>
      <c r="AP5" s="439"/>
      <c r="AQ5" s="439"/>
      <c r="AR5" s="439"/>
      <c r="AS5" s="439"/>
      <c r="AT5" s="439"/>
      <c r="AU5" s="439"/>
      <c r="BA5" s="138" t="s">
        <v>3063</v>
      </c>
      <c r="BC5" s="443" t="s">
        <v>3090</v>
      </c>
      <c r="BD5" s="444" t="s">
        <v>3156</v>
      </c>
      <c r="BE5" s="444" t="s">
        <v>3147</v>
      </c>
      <c r="BF5" s="444" t="s">
        <v>3127</v>
      </c>
      <c r="BG5" s="443" t="s">
        <v>3091</v>
      </c>
      <c r="BH5" s="444" t="s">
        <v>3156</v>
      </c>
      <c r="BI5" s="444" t="s">
        <v>3147</v>
      </c>
      <c r="BJ5" s="444" t="s">
        <v>3128</v>
      </c>
      <c r="BK5" s="444" t="s">
        <v>3092</v>
      </c>
      <c r="BL5" s="444" t="s">
        <v>3156</v>
      </c>
      <c r="BM5" s="444" t="s">
        <v>3147</v>
      </c>
      <c r="BN5" s="445" t="s">
        <v>3127</v>
      </c>
      <c r="BO5" s="138" t="s">
        <v>3193</v>
      </c>
      <c r="BQ5" s="138">
        <v>257.31414789497978</v>
      </c>
      <c r="BR5" s="138">
        <f t="shared" ref="BR5:BR13" ca="1" si="1">ABS($CG$44-BQ5)</f>
        <v>257.31414789497978</v>
      </c>
      <c r="BS5" s="138" t="s">
        <v>3153</v>
      </c>
      <c r="BX5" s="138">
        <v>500</v>
      </c>
      <c r="BY5" s="475">
        <f ca="1">BX5-$CT$9</f>
        <v>350</v>
      </c>
      <c r="BZ5" s="138" t="s">
        <v>3194</v>
      </c>
      <c r="CD5" s="138" t="s">
        <v>1034</v>
      </c>
      <c r="CE5" s="138">
        <v>4</v>
      </c>
      <c r="CF5" s="472">
        <f ca="1">OFFSET('(코어)데이터'!E7,0,4*CH5)</f>
        <v>0</v>
      </c>
      <c r="CG5" s="138" t="str">
        <f ca="1">OFFSET('(코어)데이터'!G7,0,4*CH5)</f>
        <v>리그 오브 레전드</v>
      </c>
      <c r="CH5" s="138">
        <f t="shared" si="0"/>
        <v>0</v>
      </c>
      <c r="CJ5" s="56" t="s">
        <v>892</v>
      </c>
      <c r="CK5" s="56"/>
      <c r="CL5" s="56"/>
      <c r="CM5" s="56"/>
      <c r="CN5" s="56"/>
      <c r="CO5" s="63">
        <f>IF(F27="추가하지 않음",0,AE27)</f>
        <v>0</v>
      </c>
      <c r="CP5" s="63">
        <v>50</v>
      </c>
      <c r="CQ5" s="64" t="s">
        <v>1026</v>
      </c>
      <c r="CR5" s="62">
        <f t="shared" ref="CR5:CR10" si="2">CP5*CO5</f>
        <v>0</v>
      </c>
      <c r="CS5" s="56"/>
      <c r="CT5" s="56" t="s">
        <v>1302</v>
      </c>
      <c r="DD5" s="438"/>
      <c r="DE5" s="438"/>
      <c r="DF5" s="438"/>
      <c r="DG5" s="438"/>
      <c r="DH5" s="438"/>
      <c r="DI5" s="438"/>
      <c r="DJ5" s="438"/>
      <c r="DK5" s="438"/>
      <c r="DL5" s="438"/>
      <c r="DM5" s="438"/>
      <c r="DN5" s="438"/>
      <c r="DO5" s="438"/>
      <c r="DP5" s="438"/>
      <c r="DQ5" s="438"/>
      <c r="DR5" s="438"/>
      <c r="DS5" s="438"/>
      <c r="DT5" s="438"/>
      <c r="DU5" s="438"/>
      <c r="DV5" s="438"/>
      <c r="DW5" s="438"/>
      <c r="DX5" s="438"/>
      <c r="DY5" s="438"/>
    </row>
    <row r="6" spans="5:129" x14ac:dyDescent="0.35">
      <c r="E6" s="452" t="s">
        <v>1036</v>
      </c>
      <c r="F6" s="453"/>
      <c r="G6" s="453"/>
      <c r="H6" s="453"/>
      <c r="I6" s="453"/>
      <c r="J6" s="453"/>
      <c r="K6" s="628" t="s">
        <v>3217</v>
      </c>
      <c r="L6" s="628"/>
      <c r="M6" s="628"/>
      <c r="N6" s="628"/>
      <c r="O6" s="628"/>
      <c r="P6" s="628"/>
      <c r="Q6" s="628"/>
      <c r="R6" s="628"/>
      <c r="S6" s="628"/>
      <c r="T6" s="628"/>
      <c r="U6" s="628"/>
      <c r="V6" s="629"/>
      <c r="W6" s="453" t="s">
        <v>2993</v>
      </c>
      <c r="X6" s="453"/>
      <c r="Y6" s="453"/>
      <c r="Z6" s="453"/>
      <c r="AA6" s="453"/>
      <c r="AB6" s="453"/>
      <c r="AC6" s="453"/>
      <c r="AD6" s="628" t="s">
        <v>3218</v>
      </c>
      <c r="AE6" s="628"/>
      <c r="AF6" s="628"/>
      <c r="AG6" s="628"/>
      <c r="AH6" s="628"/>
      <c r="AI6" s="628"/>
      <c r="AJ6" s="628"/>
      <c r="AK6" s="628"/>
      <c r="AL6" s="628"/>
      <c r="AM6" s="628"/>
      <c r="AN6" s="633"/>
      <c r="AO6" s="439"/>
      <c r="AP6" s="439"/>
      <c r="AQ6" s="439"/>
      <c r="AR6" s="439"/>
      <c r="AS6" s="439"/>
      <c r="AT6" s="439"/>
      <c r="AU6" s="439"/>
      <c r="BA6" s="138" t="s">
        <v>3064</v>
      </c>
      <c r="BC6" s="443">
        <v>2.4570000000000003</v>
      </c>
      <c r="BD6" s="444">
        <f t="shared" ref="BD6:BD17" ca="1" si="3">ABS($CF$44-BC6)</f>
        <v>2.4570000000000003</v>
      </c>
      <c r="BE6" s="444" t="s">
        <v>798</v>
      </c>
      <c r="BF6" s="444">
        <v>65.81</v>
      </c>
      <c r="BG6" s="443">
        <v>4.9140000000000006</v>
      </c>
      <c r="BH6" s="444">
        <f t="shared" ref="BH6:BH17" ca="1" si="4">ABS($CF$44-BG6)</f>
        <v>4.9140000000000006</v>
      </c>
      <c r="BI6" s="444" t="s">
        <v>3181</v>
      </c>
      <c r="BJ6" s="444">
        <v>65.81</v>
      </c>
      <c r="BK6" s="444">
        <v>7.1744400000000006</v>
      </c>
      <c r="BL6" s="444">
        <f t="shared" ref="BL6:BL17" ca="1" si="5">ABS($CF$44-BK6)</f>
        <v>7.1744400000000006</v>
      </c>
      <c r="BM6" s="444" t="s">
        <v>798</v>
      </c>
      <c r="BN6" s="445">
        <v>65.81</v>
      </c>
      <c r="BO6" s="138" t="s">
        <v>3130</v>
      </c>
      <c r="BQ6" s="138">
        <v>247.87419116214656</v>
      </c>
      <c r="BR6" s="138">
        <f t="shared" ca="1" si="1"/>
        <v>247.87419116214656</v>
      </c>
      <c r="BS6" s="138" t="s">
        <v>3133</v>
      </c>
      <c r="BX6" s="138">
        <v>600</v>
      </c>
      <c r="BY6" s="475">
        <f ca="1">BX6-$CT$9</f>
        <v>450</v>
      </c>
      <c r="BZ6" s="138" t="s">
        <v>3116</v>
      </c>
      <c r="CD6" s="138" t="s">
        <v>1036</v>
      </c>
      <c r="CE6" s="138">
        <v>4</v>
      </c>
      <c r="CF6" s="472">
        <f ca="1">OFFSET('(코어)데이터'!E8,0,4*CH6)</f>
        <v>0</v>
      </c>
      <c r="CG6" s="138" t="str">
        <f ca="1">OFFSET('(코어)데이터'!G8,0,4*CH6)</f>
        <v>피파온라인3</v>
      </c>
      <c r="CH6" s="138">
        <f t="shared" si="0"/>
        <v>0</v>
      </c>
      <c r="CJ6" s="56" t="s">
        <v>893</v>
      </c>
      <c r="CK6" s="56"/>
      <c r="CL6" s="56"/>
      <c r="CM6" s="56"/>
      <c r="CN6" s="56"/>
      <c r="CO6" s="60">
        <f>IF(F28="추가하지 않음",0,AE28*VLOOKUP(F28,메모리!B3:K50,10,FALSE))</f>
        <v>0</v>
      </c>
      <c r="CP6" s="63">
        <v>3</v>
      </c>
      <c r="CQ6" s="64" t="s">
        <v>1026</v>
      </c>
      <c r="CR6" s="62">
        <f t="shared" si="2"/>
        <v>0</v>
      </c>
      <c r="CS6" s="56" t="s">
        <v>1028</v>
      </c>
      <c r="CT6" s="240">
        <v>150</v>
      </c>
      <c r="DD6" s="438"/>
      <c r="DE6" s="438"/>
      <c r="DF6" s="438"/>
      <c r="DG6" s="438"/>
      <c r="DH6" s="438"/>
      <c r="DI6" s="438"/>
      <c r="DJ6" s="438"/>
      <c r="DK6" s="438"/>
      <c r="DL6" s="438"/>
      <c r="DM6" s="438"/>
      <c r="DN6" s="438"/>
      <c r="DO6" s="438"/>
      <c r="DP6" s="438"/>
      <c r="DQ6" s="438"/>
      <c r="DR6" s="438"/>
      <c r="DS6" s="438"/>
      <c r="DT6" s="438"/>
      <c r="DU6" s="438"/>
      <c r="DV6" s="438"/>
      <c r="DW6" s="438"/>
      <c r="DX6" s="438"/>
      <c r="DY6" s="438"/>
    </row>
    <row r="7" spans="5:129" x14ac:dyDescent="0.35">
      <c r="E7" s="452" t="s">
        <v>1038</v>
      </c>
      <c r="F7" s="453"/>
      <c r="G7" s="453"/>
      <c r="H7" s="453"/>
      <c r="I7" s="453"/>
      <c r="J7" s="453"/>
      <c r="K7" s="628" t="s">
        <v>3217</v>
      </c>
      <c r="L7" s="628"/>
      <c r="M7" s="628"/>
      <c r="N7" s="628"/>
      <c r="O7" s="628"/>
      <c r="P7" s="628"/>
      <c r="Q7" s="628"/>
      <c r="R7" s="628"/>
      <c r="S7" s="628"/>
      <c r="T7" s="628"/>
      <c r="U7" s="628"/>
      <c r="V7" s="629"/>
      <c r="W7" s="453" t="s">
        <v>1077</v>
      </c>
      <c r="X7" s="453"/>
      <c r="Y7" s="453"/>
      <c r="Z7" s="453"/>
      <c r="AA7" s="453"/>
      <c r="AB7" s="453"/>
      <c r="AC7" s="453"/>
      <c r="AD7" s="628" t="s">
        <v>3217</v>
      </c>
      <c r="AE7" s="628"/>
      <c r="AF7" s="628"/>
      <c r="AG7" s="628"/>
      <c r="AH7" s="628"/>
      <c r="AI7" s="628"/>
      <c r="AJ7" s="628"/>
      <c r="AK7" s="628"/>
      <c r="AL7" s="628"/>
      <c r="AM7" s="628"/>
      <c r="AN7" s="633"/>
      <c r="AO7" s="439"/>
      <c r="AP7" s="439"/>
      <c r="AQ7" s="439"/>
      <c r="AR7" s="439"/>
      <c r="AS7" s="439"/>
      <c r="AT7" s="439"/>
      <c r="AU7" s="439"/>
      <c r="BA7" s="138" t="s">
        <v>3066</v>
      </c>
      <c r="BC7" s="443">
        <v>2.3330000000000002</v>
      </c>
      <c r="BD7" s="444">
        <f t="shared" ca="1" si="3"/>
        <v>2.3330000000000002</v>
      </c>
      <c r="BE7" s="444" t="s">
        <v>806</v>
      </c>
      <c r="BF7" s="444">
        <v>65.81</v>
      </c>
      <c r="BG7" s="443">
        <v>4.2624000000000004</v>
      </c>
      <c r="BH7" s="444">
        <f t="shared" ca="1" si="4"/>
        <v>4.2624000000000004</v>
      </c>
      <c r="BI7" s="444" t="s">
        <v>3180</v>
      </c>
      <c r="BJ7" s="444">
        <v>65.81</v>
      </c>
      <c r="BK7" s="444">
        <v>6.098128</v>
      </c>
      <c r="BL7" s="444">
        <f t="shared" ca="1" si="5"/>
        <v>6.098128</v>
      </c>
      <c r="BM7" s="444" t="s">
        <v>801</v>
      </c>
      <c r="BN7" s="445">
        <v>65.81</v>
      </c>
      <c r="BQ7" s="138">
        <v>226.01433029240516</v>
      </c>
      <c r="BR7" s="138">
        <f t="shared" ca="1" si="1"/>
        <v>226.01433029240516</v>
      </c>
      <c r="BS7" s="138" t="s">
        <v>3132</v>
      </c>
      <c r="BX7" s="138">
        <v>850</v>
      </c>
      <c r="BY7" s="475">
        <f ca="1">BX7-$CT$9</f>
        <v>700</v>
      </c>
      <c r="BZ7" s="138" t="s">
        <v>3195</v>
      </c>
      <c r="CD7" s="138" t="s">
        <v>1038</v>
      </c>
      <c r="CE7" s="138">
        <v>4</v>
      </c>
      <c r="CF7" s="472">
        <f ca="1">OFFSET('(코어)데이터'!E9,0,4*CH7)</f>
        <v>0</v>
      </c>
      <c r="CG7" s="138" t="str">
        <f ca="1">OFFSET('(코어)데이터'!G9,0,4*CH7)</f>
        <v>스타크래프트2</v>
      </c>
      <c r="CH7" s="138">
        <f t="shared" si="0"/>
        <v>0</v>
      </c>
      <c r="CJ7" s="56" t="s">
        <v>894</v>
      </c>
      <c r="CK7" s="60">
        <f>VLOOKUP($F29,그래픽카드!B3:K200,10,FALSE)+VLOOKUP($F29,그래픽카드!B3:L200,11,FALSE)</f>
        <v>0</v>
      </c>
      <c r="CL7" s="60">
        <f>VLOOKUP($F29,그래픽카드!B3:L200,11,FALSE)</f>
        <v>0</v>
      </c>
      <c r="CM7" s="56"/>
      <c r="CN7" s="56"/>
      <c r="CO7" s="60">
        <f>IF(F29="내장그래픽",0,AE29)</f>
        <v>0</v>
      </c>
      <c r="CP7" s="60">
        <f>VLOOKUP($F29,그래픽카드!B3:M200,12,FALSE)</f>
        <v>0</v>
      </c>
      <c r="CQ7" s="64" t="s">
        <v>1026</v>
      </c>
      <c r="CR7" s="62">
        <f t="shared" si="2"/>
        <v>0</v>
      </c>
      <c r="CS7" s="56"/>
      <c r="CT7" s="457">
        <f ca="1">$CR$11+CT6</f>
        <v>150</v>
      </c>
      <c r="DD7" s="438"/>
      <c r="DE7" s="438"/>
      <c r="DF7" s="438"/>
      <c r="DG7" s="438"/>
      <c r="DH7" s="438"/>
      <c r="DI7" s="438"/>
      <c r="DJ7" s="438"/>
      <c r="DK7" s="438"/>
      <c r="DL7" s="438"/>
      <c r="DM7" s="438"/>
      <c r="DN7" s="438"/>
      <c r="DO7" s="438"/>
      <c r="DP7" s="438"/>
      <c r="DQ7" s="438"/>
      <c r="DR7" s="438"/>
      <c r="DS7" s="438"/>
      <c r="DT7" s="438"/>
      <c r="DU7" s="438"/>
      <c r="DV7" s="438"/>
      <c r="DW7" s="438"/>
      <c r="DX7" s="438"/>
      <c r="DY7" s="438"/>
    </row>
    <row r="8" spans="5:129" x14ac:dyDescent="0.35">
      <c r="E8" s="452" t="s">
        <v>1040</v>
      </c>
      <c r="F8" s="453"/>
      <c r="G8" s="453"/>
      <c r="H8" s="453"/>
      <c r="I8" s="453"/>
      <c r="J8" s="453"/>
      <c r="K8" s="628" t="s">
        <v>3217</v>
      </c>
      <c r="L8" s="628"/>
      <c r="M8" s="628"/>
      <c r="N8" s="628"/>
      <c r="O8" s="628"/>
      <c r="P8" s="628"/>
      <c r="Q8" s="628"/>
      <c r="R8" s="628"/>
      <c r="S8" s="628"/>
      <c r="T8" s="628"/>
      <c r="U8" s="628"/>
      <c r="V8" s="629"/>
      <c r="W8" s="453" t="s">
        <v>1072</v>
      </c>
      <c r="X8" s="453"/>
      <c r="Y8" s="453"/>
      <c r="Z8" s="453"/>
      <c r="AA8" s="453"/>
      <c r="AB8" s="453"/>
      <c r="AC8" s="453"/>
      <c r="AD8" s="628" t="s">
        <v>3218</v>
      </c>
      <c r="AE8" s="628"/>
      <c r="AF8" s="628"/>
      <c r="AG8" s="628"/>
      <c r="AH8" s="628"/>
      <c r="AI8" s="628"/>
      <c r="AJ8" s="628"/>
      <c r="AK8" s="628"/>
      <c r="AL8" s="628"/>
      <c r="AM8" s="628"/>
      <c r="AN8" s="633"/>
      <c r="AO8" s="439"/>
      <c r="AP8" s="439"/>
      <c r="AQ8" s="439"/>
      <c r="AR8" s="439"/>
      <c r="AS8" s="439"/>
      <c r="AT8" s="439"/>
      <c r="AU8" s="439"/>
      <c r="BA8" s="138" t="s">
        <v>3065</v>
      </c>
      <c r="BC8" s="443">
        <v>2.2732000000000001</v>
      </c>
      <c r="BD8" s="444">
        <f t="shared" ca="1" si="3"/>
        <v>2.2732000000000001</v>
      </c>
      <c r="BE8" s="444" t="s">
        <v>808</v>
      </c>
      <c r="BF8" s="444">
        <v>65.81</v>
      </c>
      <c r="BG8" s="443">
        <v>4.1768000000000001</v>
      </c>
      <c r="BH8" s="444">
        <f t="shared" ca="1" si="4"/>
        <v>4.1768000000000001</v>
      </c>
      <c r="BI8" s="444" t="s">
        <v>801</v>
      </c>
      <c r="BJ8" s="444">
        <v>65.81</v>
      </c>
      <c r="BK8" s="444">
        <v>4.2624000000000004</v>
      </c>
      <c r="BL8" s="444">
        <f t="shared" ca="1" si="5"/>
        <v>4.2624000000000004</v>
      </c>
      <c r="BM8" s="444" t="s">
        <v>802</v>
      </c>
      <c r="BN8" s="445">
        <v>65.81</v>
      </c>
      <c r="BQ8" s="138">
        <v>207.07565786504176</v>
      </c>
      <c r="BR8" s="138">
        <f t="shared" ca="1" si="1"/>
        <v>207.07565786504176</v>
      </c>
      <c r="BS8" s="138" t="s">
        <v>3139</v>
      </c>
      <c r="BX8" s="138">
        <v>1050</v>
      </c>
      <c r="BY8" s="475">
        <f ca="1">BX8-$CT$9</f>
        <v>900</v>
      </c>
      <c r="BZ8" s="138" t="s">
        <v>3122</v>
      </c>
      <c r="CD8" s="138" t="s">
        <v>1040</v>
      </c>
      <c r="CE8" s="138">
        <v>4</v>
      </c>
      <c r="CF8" s="472">
        <f ca="1">OFFSET('(코어)데이터'!E10,0,4*CH8)</f>
        <v>0</v>
      </c>
      <c r="CG8" s="138" t="str">
        <f ca="1">OFFSET('(코어)데이터'!G10,0,4*CH8)</f>
        <v>디아블로3</v>
      </c>
      <c r="CH8" s="138">
        <f t="shared" si="0"/>
        <v>0</v>
      </c>
      <c r="CJ8" s="56" t="s">
        <v>912</v>
      </c>
      <c r="CK8" s="56"/>
      <c r="CL8" s="56"/>
      <c r="CM8" s="56" t="s">
        <v>1024</v>
      </c>
      <c r="CN8" s="56" t="s">
        <v>1025</v>
      </c>
      <c r="CO8" s="60">
        <f>IF(F30="추가하지 않음",0,AE30)</f>
        <v>0</v>
      </c>
      <c r="CP8" s="63">
        <v>10</v>
      </c>
      <c r="CQ8" s="64" t="s">
        <v>1026</v>
      </c>
      <c r="CR8" s="62">
        <f t="shared" si="2"/>
        <v>0</v>
      </c>
      <c r="CS8" s="56" t="s">
        <v>1316</v>
      </c>
      <c r="CT8" s="56" t="s">
        <v>1314</v>
      </c>
      <c r="DD8" s="438"/>
      <c r="DE8" s="438"/>
      <c r="DF8" s="438"/>
      <c r="DG8" s="438"/>
      <c r="DH8" s="438"/>
      <c r="DI8" s="438"/>
      <c r="DJ8" s="438"/>
      <c r="DK8" s="438"/>
      <c r="DL8" s="438"/>
      <c r="DM8" s="438"/>
      <c r="DN8" s="438"/>
      <c r="DO8" s="438"/>
      <c r="DP8" s="438"/>
      <c r="DQ8" s="438"/>
      <c r="DR8" s="438"/>
      <c r="DS8" s="438"/>
      <c r="DT8" s="438"/>
      <c r="DU8" s="438"/>
      <c r="DV8" s="438"/>
      <c r="DW8" s="438"/>
      <c r="DX8" s="438"/>
      <c r="DY8" s="438"/>
    </row>
    <row r="9" spans="5:129" x14ac:dyDescent="0.35">
      <c r="E9" s="454" t="s">
        <v>1042</v>
      </c>
      <c r="F9" s="453"/>
      <c r="G9" s="453"/>
      <c r="H9" s="453"/>
      <c r="I9" s="453"/>
      <c r="J9" s="453"/>
      <c r="K9" s="628" t="s">
        <v>3217</v>
      </c>
      <c r="L9" s="628"/>
      <c r="M9" s="628"/>
      <c r="N9" s="628"/>
      <c r="O9" s="628"/>
      <c r="P9" s="628"/>
      <c r="Q9" s="628"/>
      <c r="R9" s="628"/>
      <c r="S9" s="628"/>
      <c r="T9" s="628"/>
      <c r="U9" s="628"/>
      <c r="V9" s="629"/>
      <c r="W9" s="453" t="s">
        <v>1083</v>
      </c>
      <c r="X9" s="453"/>
      <c r="Y9" s="453"/>
      <c r="Z9" s="453"/>
      <c r="AA9" s="453"/>
      <c r="AB9" s="453"/>
      <c r="AC9" s="453"/>
      <c r="AD9" s="628" t="s">
        <v>3217</v>
      </c>
      <c r="AE9" s="628"/>
      <c r="AF9" s="628"/>
      <c r="AG9" s="628"/>
      <c r="AH9" s="628"/>
      <c r="AI9" s="628"/>
      <c r="AJ9" s="628"/>
      <c r="AK9" s="628"/>
      <c r="AL9" s="628"/>
      <c r="AM9" s="628"/>
      <c r="AN9" s="633"/>
      <c r="AO9" s="439"/>
      <c r="AP9" s="439"/>
      <c r="AQ9" s="439"/>
      <c r="AR9" s="439"/>
      <c r="AS9" s="439"/>
      <c r="AT9" s="439"/>
      <c r="AU9" s="439"/>
      <c r="BA9" s="138" t="s">
        <v>3067</v>
      </c>
      <c r="BC9" s="443">
        <v>2.1806000000000001</v>
      </c>
      <c r="BD9" s="444">
        <f t="shared" ca="1" si="3"/>
        <v>2.1806000000000001</v>
      </c>
      <c r="BE9" s="444" t="s">
        <v>809</v>
      </c>
      <c r="BF9" s="444">
        <v>65.81</v>
      </c>
      <c r="BG9" s="443">
        <v>4.0188000000000006</v>
      </c>
      <c r="BH9" s="444">
        <f t="shared" ca="1" si="4"/>
        <v>4.0188000000000006</v>
      </c>
      <c r="BI9" s="444" t="s">
        <v>803</v>
      </c>
      <c r="BJ9" s="444">
        <v>65.81</v>
      </c>
      <c r="BK9" s="444">
        <v>4.0188000000000006</v>
      </c>
      <c r="BL9" s="444">
        <f t="shared" ca="1" si="5"/>
        <v>4.0188000000000006</v>
      </c>
      <c r="BM9" s="444" t="s">
        <v>803</v>
      </c>
      <c r="BN9" s="445">
        <v>65.81</v>
      </c>
      <c r="BQ9" s="138">
        <v>181.22680327868852</v>
      </c>
      <c r="BR9" s="138">
        <f t="shared" ca="1" si="1"/>
        <v>181.22680327868852</v>
      </c>
      <c r="BS9" s="138" t="s">
        <v>3138</v>
      </c>
      <c r="BX9" s="138" t="s">
        <v>3192</v>
      </c>
      <c r="BY9" s="468">
        <f t="array" aca="1" ref="BY9" ca="1">MIN(IF(BY5:BY8&gt;0,BY5:BY8))</f>
        <v>350</v>
      </c>
      <c r="CD9" s="138" t="s">
        <v>1042</v>
      </c>
      <c r="CE9" s="138">
        <v>8</v>
      </c>
      <c r="CF9" s="472">
        <f ca="1">OFFSET('(코어)데이터'!E11,0,4*CH9)</f>
        <v>0</v>
      </c>
      <c r="CG9" s="138" t="str">
        <f ca="1">OFFSET('(코어)데이터'!G11,0,4*CH9)</f>
        <v>블레이드 &amp; 소울</v>
      </c>
      <c r="CH9" s="138">
        <f t="shared" si="0"/>
        <v>0</v>
      </c>
      <c r="CJ9" s="56" t="s">
        <v>896</v>
      </c>
      <c r="CK9" s="56"/>
      <c r="CL9" s="56"/>
      <c r="CM9" s="56" t="s">
        <v>1024</v>
      </c>
      <c r="CN9" s="56" t="s">
        <v>1025</v>
      </c>
      <c r="CO9" s="60">
        <f>IF(F31="추가하지 않음",0,AE31)</f>
        <v>0</v>
      </c>
      <c r="CP9" s="63">
        <v>5</v>
      </c>
      <c r="CQ9" s="64" t="s">
        <v>1026</v>
      </c>
      <c r="CR9" s="62">
        <f t="shared" si="2"/>
        <v>0</v>
      </c>
      <c r="CS9" s="56"/>
      <c r="CT9" s="458">
        <f ca="1">MAX(CT7,CT4)</f>
        <v>150</v>
      </c>
      <c r="DD9" s="438"/>
      <c r="DE9" s="438"/>
      <c r="DF9" s="438"/>
      <c r="DG9" s="438"/>
      <c r="DH9" s="438"/>
      <c r="DI9" s="438"/>
      <c r="DJ9" s="438"/>
      <c r="DK9" s="438"/>
      <c r="DL9" s="438"/>
      <c r="DM9" s="438"/>
      <c r="DN9" s="438"/>
      <c r="DO9" s="438"/>
      <c r="DP9" s="438"/>
      <c r="DQ9" s="438"/>
      <c r="DR9" s="438"/>
      <c r="DS9" s="438"/>
      <c r="DT9" s="438"/>
      <c r="DU9" s="438"/>
      <c r="DV9" s="438"/>
      <c r="DW9" s="438"/>
      <c r="DX9" s="438"/>
      <c r="DY9" s="438"/>
    </row>
    <row r="10" spans="5:129" x14ac:dyDescent="0.35">
      <c r="E10" s="452" t="s">
        <v>1044</v>
      </c>
      <c r="F10" s="453"/>
      <c r="G10" s="453"/>
      <c r="H10" s="453"/>
      <c r="I10" s="453"/>
      <c r="J10" s="453"/>
      <c r="K10" s="628" t="s">
        <v>3217</v>
      </c>
      <c r="L10" s="628"/>
      <c r="M10" s="628"/>
      <c r="N10" s="628"/>
      <c r="O10" s="628"/>
      <c r="P10" s="628"/>
      <c r="Q10" s="628"/>
      <c r="R10" s="628"/>
      <c r="S10" s="628"/>
      <c r="T10" s="628"/>
      <c r="U10" s="628"/>
      <c r="V10" s="629"/>
      <c r="W10" s="453" t="s">
        <v>1075</v>
      </c>
      <c r="X10" s="453"/>
      <c r="Y10" s="453"/>
      <c r="Z10" s="453"/>
      <c r="AA10" s="453"/>
      <c r="AB10" s="453"/>
      <c r="AC10" s="453"/>
      <c r="AD10" s="628" t="s">
        <v>3217</v>
      </c>
      <c r="AE10" s="628"/>
      <c r="AF10" s="628"/>
      <c r="AG10" s="628"/>
      <c r="AH10" s="628"/>
      <c r="AI10" s="628"/>
      <c r="AJ10" s="628"/>
      <c r="AK10" s="628"/>
      <c r="AL10" s="628"/>
      <c r="AM10" s="628"/>
      <c r="AN10" s="633"/>
      <c r="AO10" s="439"/>
      <c r="AP10" s="439"/>
      <c r="AQ10" s="439"/>
      <c r="AR10" s="439"/>
      <c r="AS10" s="439"/>
      <c r="AT10" s="439"/>
      <c r="AU10" s="439"/>
      <c r="BA10" s="138" t="s">
        <v>3068</v>
      </c>
      <c r="BC10" s="443">
        <v>2.1312000000000002</v>
      </c>
      <c r="BD10" s="444">
        <f t="shared" ca="1" si="3"/>
        <v>2.1312000000000002</v>
      </c>
      <c r="BE10" s="444" t="s">
        <v>802</v>
      </c>
      <c r="BF10" s="444">
        <v>65.81</v>
      </c>
      <c r="BG10" s="443">
        <v>3.8968000000000003</v>
      </c>
      <c r="BH10" s="444">
        <f t="shared" ca="1" si="4"/>
        <v>3.8968000000000003</v>
      </c>
      <c r="BI10" s="444" t="s">
        <v>804</v>
      </c>
      <c r="BJ10" s="444">
        <v>65.81</v>
      </c>
      <c r="BK10" s="444">
        <v>3.8968000000000003</v>
      </c>
      <c r="BL10" s="444">
        <f t="shared" ca="1" si="5"/>
        <v>3.8968000000000003</v>
      </c>
      <c r="BM10" s="444" t="s">
        <v>804</v>
      </c>
      <c r="BN10" s="445">
        <v>65.81</v>
      </c>
      <c r="BQ10" s="138">
        <v>178.71370420624149</v>
      </c>
      <c r="BR10" s="138">
        <f t="shared" ca="1" si="1"/>
        <v>178.71370420624149</v>
      </c>
      <c r="BS10" s="138" t="s">
        <v>3142</v>
      </c>
      <c r="CD10" s="138" t="s">
        <v>1044</v>
      </c>
      <c r="CE10" s="138">
        <v>8</v>
      </c>
      <c r="CF10" s="472">
        <f ca="1">OFFSET('(코어)데이터'!E12,0,4*CH10)</f>
        <v>0</v>
      </c>
      <c r="CG10" s="138" t="str">
        <f ca="1">OFFSET('(코어)데이터'!G12,0,4*CH10)</f>
        <v>아이온</v>
      </c>
      <c r="CH10" s="138">
        <f t="shared" si="0"/>
        <v>0</v>
      </c>
      <c r="CJ10" s="56" t="s">
        <v>895</v>
      </c>
      <c r="CK10" s="56"/>
      <c r="CL10" s="56"/>
      <c r="CM10" s="56" t="s">
        <v>1024</v>
      </c>
      <c r="CN10" s="56" t="s">
        <v>1025</v>
      </c>
      <c r="CO10" s="60">
        <f>IF(F32="추가하지 않음",0,AE32)</f>
        <v>0</v>
      </c>
      <c r="CP10" s="63">
        <v>35</v>
      </c>
      <c r="CQ10" s="64" t="s">
        <v>1026</v>
      </c>
      <c r="CR10" s="62">
        <f t="shared" si="2"/>
        <v>0</v>
      </c>
      <c r="CS10" s="56"/>
      <c r="CT10" s="56"/>
      <c r="DD10" s="438"/>
      <c r="DE10" s="438"/>
      <c r="DF10" s="438"/>
      <c r="DG10" s="438"/>
      <c r="DH10" s="438"/>
      <c r="DI10" s="438"/>
      <c r="DJ10" s="438"/>
      <c r="DK10" s="438"/>
      <c r="DL10" s="438"/>
      <c r="DM10" s="438"/>
      <c r="DN10" s="438"/>
      <c r="DO10" s="438"/>
      <c r="DP10" s="438"/>
      <c r="DQ10" s="438"/>
      <c r="DR10" s="438"/>
      <c r="DS10" s="438"/>
      <c r="DT10" s="438"/>
      <c r="DU10" s="438"/>
      <c r="DV10" s="438"/>
      <c r="DW10" s="438"/>
      <c r="DX10" s="438"/>
      <c r="DY10" s="438"/>
    </row>
    <row r="11" spans="5:129" x14ac:dyDescent="0.35">
      <c r="E11" s="452" t="s">
        <v>1049</v>
      </c>
      <c r="F11" s="453"/>
      <c r="G11" s="453"/>
      <c r="H11" s="453"/>
      <c r="I11" s="453"/>
      <c r="J11" s="453"/>
      <c r="K11" s="628" t="s">
        <v>3217</v>
      </c>
      <c r="L11" s="628"/>
      <c r="M11" s="628"/>
      <c r="N11" s="628"/>
      <c r="O11" s="628"/>
      <c r="P11" s="628"/>
      <c r="Q11" s="628"/>
      <c r="R11" s="628"/>
      <c r="S11" s="628"/>
      <c r="T11" s="628"/>
      <c r="U11" s="628"/>
      <c r="V11" s="629"/>
      <c r="W11" s="453" t="s">
        <v>2839</v>
      </c>
      <c r="X11" s="453"/>
      <c r="Y11" s="453"/>
      <c r="Z11" s="453"/>
      <c r="AA11" s="453"/>
      <c r="AB11" s="453"/>
      <c r="AC11" s="453"/>
      <c r="AD11" s="628" t="s">
        <v>3217</v>
      </c>
      <c r="AE11" s="628"/>
      <c r="AF11" s="628"/>
      <c r="AG11" s="628"/>
      <c r="AH11" s="628"/>
      <c r="AI11" s="628"/>
      <c r="AJ11" s="628"/>
      <c r="AK11" s="628"/>
      <c r="AL11" s="628"/>
      <c r="AM11" s="628"/>
      <c r="AN11" s="633"/>
      <c r="AO11" s="439"/>
      <c r="AP11" s="439"/>
      <c r="AQ11" s="439"/>
      <c r="AR11" s="439"/>
      <c r="AS11" s="439"/>
      <c r="AT11" s="439"/>
      <c r="AU11" s="439"/>
      <c r="BA11" s="138" t="s">
        <v>3069</v>
      </c>
      <c r="BC11" s="443">
        <v>2.1215999999999999</v>
      </c>
      <c r="BD11" s="444">
        <f t="shared" ca="1" si="3"/>
        <v>2.1215999999999999</v>
      </c>
      <c r="BE11" s="444" t="s">
        <v>3151</v>
      </c>
      <c r="BF11" s="444">
        <v>65.81</v>
      </c>
      <c r="BG11" s="443">
        <v>3.40618</v>
      </c>
      <c r="BH11" s="444">
        <f t="shared" ca="1" si="4"/>
        <v>3.40618</v>
      </c>
      <c r="BI11" s="444" t="s">
        <v>806</v>
      </c>
      <c r="BJ11" s="444">
        <v>65.81</v>
      </c>
      <c r="BK11" s="444">
        <v>3.40618</v>
      </c>
      <c r="BL11" s="444">
        <f t="shared" ca="1" si="5"/>
        <v>3.40618</v>
      </c>
      <c r="BM11" s="444" t="s">
        <v>806</v>
      </c>
      <c r="BN11" s="445">
        <v>65.81</v>
      </c>
      <c r="BQ11" s="138">
        <v>151.99871714071008</v>
      </c>
      <c r="BR11" s="138">
        <f t="shared" ca="1" si="1"/>
        <v>151.99871714071008</v>
      </c>
      <c r="BS11" s="138" t="s">
        <v>3145</v>
      </c>
      <c r="CD11" s="138" t="s">
        <v>1049</v>
      </c>
      <c r="CE11" s="138">
        <v>8</v>
      </c>
      <c r="CF11" s="472">
        <f ca="1">OFFSET('(코어)데이터'!E13,0,4*CH11)</f>
        <v>0</v>
      </c>
      <c r="CG11" s="138" t="str">
        <f ca="1">OFFSET('(코어)데이터'!G13,0,4*CH11)</f>
        <v>검은사막</v>
      </c>
      <c r="CH11" s="138">
        <f t="shared" si="0"/>
        <v>0</v>
      </c>
      <c r="CJ11" s="56" t="s">
        <v>897</v>
      </c>
      <c r="CK11" s="60">
        <f>VLOOKUP(F33,파워서플라이!B3:J131,9,FALSE)</f>
        <v>0</v>
      </c>
      <c r="CL11" s="60">
        <f>VLOOKUP(F33,파워서플라이!B3:K131,10,FALSE)</f>
        <v>0</v>
      </c>
      <c r="CM11" s="56"/>
      <c r="CN11" s="56"/>
      <c r="CO11" s="63">
        <f>IF(F33="추가하지 않음",0,AE33)</f>
        <v>0</v>
      </c>
      <c r="CP11" s="61">
        <f>VLOOKUP(F33,파워서플라이!B3:E131,4,FALSE)</f>
        <v>0</v>
      </c>
      <c r="CQ11" s="56"/>
      <c r="CR11" s="62">
        <f ca="1">SUM(CR4:CR10)</f>
        <v>0</v>
      </c>
      <c r="CS11" s="64" t="s">
        <v>1312</v>
      </c>
      <c r="CT11" s="56"/>
      <c r="DD11" s="438"/>
      <c r="DE11" s="438"/>
      <c r="DF11" s="438"/>
      <c r="DG11" s="438"/>
      <c r="DH11" s="438"/>
      <c r="DI11" s="438"/>
      <c r="DJ11" s="438"/>
      <c r="DK11" s="438"/>
      <c r="DL11" s="438"/>
      <c r="DM11" s="438"/>
      <c r="DN11" s="438"/>
      <c r="DO11" s="438"/>
      <c r="DP11" s="438"/>
      <c r="DQ11" s="438"/>
      <c r="DR11" s="438"/>
      <c r="DS11" s="438"/>
      <c r="DT11" s="438"/>
      <c r="DU11" s="438"/>
      <c r="DV11" s="438"/>
      <c r="DW11" s="438"/>
      <c r="DX11" s="438"/>
      <c r="DY11" s="438"/>
    </row>
    <row r="12" spans="5:129" x14ac:dyDescent="0.35">
      <c r="E12" s="452" t="s">
        <v>1093</v>
      </c>
      <c r="F12" s="453"/>
      <c r="G12" s="453"/>
      <c r="H12" s="453"/>
      <c r="I12" s="453"/>
      <c r="J12" s="453"/>
      <c r="K12" s="628" t="s">
        <v>3217</v>
      </c>
      <c r="L12" s="628"/>
      <c r="M12" s="628"/>
      <c r="N12" s="628"/>
      <c r="O12" s="628"/>
      <c r="P12" s="628"/>
      <c r="Q12" s="628"/>
      <c r="R12" s="628"/>
      <c r="S12" s="628"/>
      <c r="T12" s="628"/>
      <c r="U12" s="628"/>
      <c r="V12" s="629"/>
      <c r="W12" s="453" t="s">
        <v>2836</v>
      </c>
      <c r="X12" s="453"/>
      <c r="Y12" s="453"/>
      <c r="Z12" s="453"/>
      <c r="AA12" s="453"/>
      <c r="AB12" s="453"/>
      <c r="AC12" s="453"/>
      <c r="AD12" s="628" t="s">
        <v>3218</v>
      </c>
      <c r="AE12" s="628"/>
      <c r="AF12" s="628"/>
      <c r="AG12" s="628"/>
      <c r="AH12" s="628"/>
      <c r="AI12" s="628"/>
      <c r="AJ12" s="628"/>
      <c r="AK12" s="628"/>
      <c r="AL12" s="628"/>
      <c r="AM12" s="628"/>
      <c r="AN12" s="633"/>
      <c r="AO12" s="439"/>
      <c r="AP12" s="439"/>
      <c r="AQ12" s="439"/>
      <c r="AR12" s="439"/>
      <c r="AS12" s="439"/>
      <c r="AT12" s="439"/>
      <c r="AU12" s="439"/>
      <c r="BC12" s="443">
        <v>2.0884</v>
      </c>
      <c r="BD12" s="444">
        <f t="shared" ca="1" si="3"/>
        <v>2.0884</v>
      </c>
      <c r="BE12" s="444" t="s">
        <v>801</v>
      </c>
      <c r="BF12" s="444">
        <v>65.81</v>
      </c>
      <c r="BG12" s="443">
        <v>3.3188720000000003</v>
      </c>
      <c r="BH12" s="444">
        <f t="shared" ca="1" si="4"/>
        <v>3.3188720000000003</v>
      </c>
      <c r="BI12" s="444" t="s">
        <v>808</v>
      </c>
      <c r="BJ12" s="444">
        <v>65.81</v>
      </c>
      <c r="BK12" s="444">
        <v>3.3188720000000003</v>
      </c>
      <c r="BL12" s="444">
        <f t="shared" ca="1" si="5"/>
        <v>3.3188720000000003</v>
      </c>
      <c r="BM12" s="444" t="s">
        <v>808</v>
      </c>
      <c r="BN12" s="445">
        <v>65.81</v>
      </c>
      <c r="BQ12" s="138">
        <v>123.92708333333334</v>
      </c>
      <c r="BR12" s="138">
        <f t="shared" ca="1" si="1"/>
        <v>123.92708333333334</v>
      </c>
      <c r="BS12" s="138" t="s">
        <v>3143</v>
      </c>
      <c r="CD12" s="138" t="s">
        <v>1093</v>
      </c>
      <c r="CE12" s="138">
        <v>8</v>
      </c>
      <c r="CF12" s="472">
        <f ca="1">OFFSET('(코어)데이터'!E14,0,4*CH12)</f>
        <v>0</v>
      </c>
      <c r="CG12" s="138" t="str">
        <f ca="1">OFFSET('(코어)데이터'!G14,0,4*CH12)</f>
        <v>아키에이지</v>
      </c>
      <c r="CH12" s="138">
        <f t="shared" si="0"/>
        <v>0</v>
      </c>
      <c r="CJ12" s="56" t="s">
        <v>898</v>
      </c>
      <c r="CK12" s="56" t="s">
        <v>1194</v>
      </c>
      <c r="CL12" s="56" t="s">
        <v>1407</v>
      </c>
      <c r="CM12" s="56"/>
      <c r="CN12" s="56"/>
      <c r="CO12" s="56"/>
      <c r="CP12" s="56"/>
      <c r="CQ12" s="56"/>
      <c r="CR12" s="64"/>
      <c r="CS12" s="64"/>
      <c r="CT12" s="56" t="s">
        <v>3197</v>
      </c>
      <c r="DD12" s="438"/>
      <c r="DE12" s="438"/>
      <c r="DF12" s="438"/>
      <c r="DG12" s="438"/>
      <c r="DH12" s="438"/>
      <c r="DI12" s="438"/>
      <c r="DJ12" s="438"/>
      <c r="DK12" s="438"/>
      <c r="DL12" s="438"/>
      <c r="DM12" s="438"/>
      <c r="DN12" s="438"/>
      <c r="DO12" s="438"/>
      <c r="DP12" s="438"/>
      <c r="DQ12" s="438"/>
      <c r="DR12" s="438"/>
      <c r="DS12" s="438"/>
      <c r="DT12" s="438"/>
      <c r="DU12" s="438"/>
      <c r="DV12" s="438"/>
      <c r="DW12" s="438"/>
      <c r="DX12" s="438"/>
      <c r="DY12" s="438"/>
    </row>
    <row r="13" spans="5:129" x14ac:dyDescent="0.35">
      <c r="E13" s="452" t="s">
        <v>1052</v>
      </c>
      <c r="F13" s="453"/>
      <c r="G13" s="453"/>
      <c r="H13" s="453"/>
      <c r="I13" s="453"/>
      <c r="J13" s="453"/>
      <c r="K13" s="628" t="s">
        <v>3217</v>
      </c>
      <c r="L13" s="628"/>
      <c r="M13" s="628"/>
      <c r="N13" s="628"/>
      <c r="O13" s="628"/>
      <c r="P13" s="628"/>
      <c r="Q13" s="628"/>
      <c r="R13" s="628"/>
      <c r="S13" s="628"/>
      <c r="T13" s="628"/>
      <c r="U13" s="628"/>
      <c r="V13" s="629"/>
      <c r="W13" s="453" t="s">
        <v>1079</v>
      </c>
      <c r="X13" s="453"/>
      <c r="Y13" s="453"/>
      <c r="Z13" s="453"/>
      <c r="AA13" s="453"/>
      <c r="AB13" s="453"/>
      <c r="AC13" s="453"/>
      <c r="AD13" s="628" t="s">
        <v>3217</v>
      </c>
      <c r="AE13" s="628"/>
      <c r="AF13" s="628"/>
      <c r="AG13" s="628"/>
      <c r="AH13" s="628"/>
      <c r="AI13" s="628"/>
      <c r="AJ13" s="628"/>
      <c r="AK13" s="628"/>
      <c r="AL13" s="628"/>
      <c r="AM13" s="628"/>
      <c r="AN13" s="633"/>
      <c r="AO13" s="439"/>
      <c r="AP13" s="439"/>
      <c r="AQ13" s="439"/>
      <c r="AR13" s="439"/>
      <c r="AS13" s="439"/>
      <c r="AT13" s="439"/>
      <c r="AU13" s="439"/>
      <c r="BC13" s="443">
        <v>2.0628000000000002</v>
      </c>
      <c r="BD13" s="444">
        <f t="shared" ca="1" si="3"/>
        <v>2.0628000000000002</v>
      </c>
      <c r="BE13" s="444" t="s">
        <v>3152</v>
      </c>
      <c r="BF13" s="444">
        <v>65.81</v>
      </c>
      <c r="BG13" s="443">
        <v>3.1836760000000002</v>
      </c>
      <c r="BH13" s="444">
        <f t="shared" ca="1" si="4"/>
        <v>3.1836760000000002</v>
      </c>
      <c r="BI13" s="444" t="s">
        <v>809</v>
      </c>
      <c r="BJ13" s="444">
        <v>65.81</v>
      </c>
      <c r="BK13" s="444">
        <v>3.1836760000000002</v>
      </c>
      <c r="BL13" s="444">
        <f t="shared" ca="1" si="5"/>
        <v>3.1836760000000002</v>
      </c>
      <c r="BM13" s="444" t="s">
        <v>809</v>
      </c>
      <c r="BN13" s="445">
        <v>65.81</v>
      </c>
      <c r="BQ13" s="138">
        <v>103.59447004608296</v>
      </c>
      <c r="BR13" s="138">
        <f t="shared" ca="1" si="1"/>
        <v>103.59447004608296</v>
      </c>
      <c r="BS13" s="138" t="s">
        <v>3214</v>
      </c>
      <c r="CD13" s="138" t="s">
        <v>1052</v>
      </c>
      <c r="CE13" s="138">
        <v>4</v>
      </c>
      <c r="CF13" s="472">
        <f ca="1">OFFSET('(코어)데이터'!E15,0,4*CH13)</f>
        <v>0</v>
      </c>
      <c r="CG13" s="138" t="str">
        <f ca="1">OFFSET('(코어)데이터'!G15,0,4*CH13)</f>
        <v>테라</v>
      </c>
      <c r="CH13" s="138">
        <f t="shared" si="0"/>
        <v>0</v>
      </c>
      <c r="CJ13" s="56"/>
      <c r="CK13" s="56"/>
      <c r="CL13" s="56"/>
      <c r="CM13" s="56"/>
      <c r="CN13" s="56"/>
      <c r="CO13" s="56"/>
      <c r="CP13" s="56"/>
      <c r="CQ13" s="56"/>
      <c r="CR13" s="56" t="s">
        <v>3185</v>
      </c>
      <c r="CS13" s="259" t="str">
        <f ca="1">IF(CH45=0,"추가하지 않음",OFFSET(BD19,0,4*(LOG($CE$44,2)-1)))</f>
        <v>추가하지 않음</v>
      </c>
      <c r="CT13" s="60">
        <f ca="1">ABS(VLOOKUP(CS13,BE6:BF18,2,FALSE)-CG44)</f>
        <v>0</v>
      </c>
      <c r="DD13" s="438"/>
      <c r="DE13" s="438"/>
      <c r="DF13" s="438"/>
      <c r="DG13" s="438"/>
      <c r="DH13" s="438"/>
      <c r="DI13" s="438"/>
      <c r="DJ13" s="438"/>
      <c r="DK13" s="438"/>
      <c r="DL13" s="438"/>
      <c r="DM13" s="438"/>
      <c r="DN13" s="438"/>
      <c r="DO13" s="438"/>
      <c r="DP13" s="438"/>
      <c r="DQ13" s="438"/>
      <c r="DR13" s="438"/>
      <c r="DS13" s="438"/>
      <c r="DT13" s="438"/>
      <c r="DU13" s="438"/>
      <c r="DV13" s="438"/>
      <c r="DW13" s="438"/>
      <c r="DX13" s="438"/>
      <c r="DY13" s="438"/>
    </row>
    <row r="14" spans="5:129" x14ac:dyDescent="0.35">
      <c r="E14" s="452" t="s">
        <v>1055</v>
      </c>
      <c r="F14" s="453"/>
      <c r="G14" s="453"/>
      <c r="H14" s="453"/>
      <c r="I14" s="453"/>
      <c r="J14" s="453"/>
      <c r="K14" s="628" t="s">
        <v>3217</v>
      </c>
      <c r="L14" s="628"/>
      <c r="M14" s="628"/>
      <c r="N14" s="628"/>
      <c r="O14" s="628"/>
      <c r="P14" s="628"/>
      <c r="Q14" s="628"/>
      <c r="R14" s="628"/>
      <c r="S14" s="628"/>
      <c r="T14" s="628"/>
      <c r="U14" s="628"/>
      <c r="V14" s="629"/>
      <c r="W14" s="453" t="s">
        <v>3019</v>
      </c>
      <c r="X14" s="453"/>
      <c r="Y14" s="453"/>
      <c r="Z14" s="453"/>
      <c r="AA14" s="453"/>
      <c r="AB14" s="453"/>
      <c r="AC14" s="453"/>
      <c r="AD14" s="628" t="s">
        <v>3217</v>
      </c>
      <c r="AE14" s="628"/>
      <c r="AF14" s="628"/>
      <c r="AG14" s="628"/>
      <c r="AH14" s="628"/>
      <c r="AI14" s="628"/>
      <c r="AJ14" s="628"/>
      <c r="AK14" s="628"/>
      <c r="AL14" s="628"/>
      <c r="AM14" s="628"/>
      <c r="AN14" s="633"/>
      <c r="AO14" s="439"/>
      <c r="AP14" s="439"/>
      <c r="AQ14" s="439"/>
      <c r="AR14" s="439"/>
      <c r="AS14" s="439"/>
      <c r="AT14" s="439"/>
      <c r="AU14" s="439"/>
      <c r="BC14" s="443">
        <v>2.0094000000000003</v>
      </c>
      <c r="BD14" s="444">
        <f t="shared" ca="1" si="3"/>
        <v>2.0094000000000003</v>
      </c>
      <c r="BE14" s="444" t="s">
        <v>803</v>
      </c>
      <c r="BF14" s="444">
        <v>65.81</v>
      </c>
      <c r="BG14" s="443">
        <v>2.1215999999999999</v>
      </c>
      <c r="BH14" s="444">
        <f t="shared" ca="1" si="4"/>
        <v>2.1215999999999999</v>
      </c>
      <c r="BI14" s="444" t="s">
        <v>3151</v>
      </c>
      <c r="BJ14" s="444">
        <v>65.81</v>
      </c>
      <c r="BK14" s="444">
        <v>2.1215999999999999</v>
      </c>
      <c r="BL14" s="444">
        <f t="shared" ca="1" si="5"/>
        <v>2.1215999999999999</v>
      </c>
      <c r="BM14" s="444" t="s">
        <v>3151</v>
      </c>
      <c r="BN14" s="445">
        <v>65.81</v>
      </c>
      <c r="BQ14" s="138" t="s">
        <v>3178</v>
      </c>
      <c r="BR14" s="468">
        <f ca="1">MIN(BR5:BR13)</f>
        <v>103.59447004608296</v>
      </c>
      <c r="CD14" s="138" t="s">
        <v>1055</v>
      </c>
      <c r="CE14" s="138">
        <v>4</v>
      </c>
      <c r="CF14" s="472">
        <f ca="1">OFFSET('(코어)데이터'!E16,0,4*CH14)</f>
        <v>0</v>
      </c>
      <c r="CG14" s="138" t="str">
        <f ca="1">OFFSET('(코어)데이터'!G16,0,4*CH14)</f>
        <v>파이널판타지14</v>
      </c>
      <c r="CH14" s="138">
        <f t="shared" si="0"/>
        <v>0</v>
      </c>
      <c r="CJ14" s="56"/>
      <c r="CK14" s="56" t="s">
        <v>3176</v>
      </c>
      <c r="CL14" s="56"/>
      <c r="CM14" s="60" t="b">
        <f>CH45=0</f>
        <v>1</v>
      </c>
      <c r="CN14" s="56"/>
      <c r="CO14" s="56"/>
      <c r="CP14" s="56"/>
      <c r="CQ14" s="56"/>
      <c r="CR14" s="56" t="s">
        <v>3186</v>
      </c>
      <c r="CS14" s="259" t="str">
        <f>IF(CH45=0,"내장그래픽",IF(CT13&lt;BR14,"내장그래픽",BR15))</f>
        <v>내장그래픽</v>
      </c>
      <c r="CT14" s="56"/>
      <c r="DD14" s="438"/>
      <c r="DE14" s="438"/>
      <c r="DF14" s="438"/>
      <c r="DG14" s="438"/>
      <c r="DH14" s="438"/>
      <c r="DI14" s="438"/>
      <c r="DJ14" s="438"/>
      <c r="DK14" s="438"/>
      <c r="DL14" s="438"/>
      <c r="DM14" s="438"/>
      <c r="DN14" s="438"/>
      <c r="DO14" s="438"/>
      <c r="DP14" s="438"/>
      <c r="DQ14" s="438"/>
      <c r="DR14" s="438"/>
      <c r="DS14" s="438"/>
      <c r="DT14" s="438"/>
      <c r="DU14" s="438"/>
      <c r="DV14" s="438"/>
      <c r="DW14" s="438"/>
      <c r="DX14" s="438"/>
      <c r="DY14" s="438"/>
    </row>
    <row r="15" spans="5:129" x14ac:dyDescent="0.35">
      <c r="E15" s="452" t="s">
        <v>1057</v>
      </c>
      <c r="F15" s="453"/>
      <c r="G15" s="453"/>
      <c r="H15" s="453"/>
      <c r="I15" s="453"/>
      <c r="J15" s="453"/>
      <c r="K15" s="628" t="s">
        <v>3217</v>
      </c>
      <c r="L15" s="628"/>
      <c r="M15" s="628"/>
      <c r="N15" s="628"/>
      <c r="O15" s="628"/>
      <c r="P15" s="628"/>
      <c r="Q15" s="628"/>
      <c r="R15" s="628"/>
      <c r="S15" s="628"/>
      <c r="T15" s="628"/>
      <c r="U15" s="628"/>
      <c r="V15" s="629"/>
      <c r="W15" s="453" t="s">
        <v>3017</v>
      </c>
      <c r="X15" s="453"/>
      <c r="Y15" s="453"/>
      <c r="Z15" s="453"/>
      <c r="AA15" s="453"/>
      <c r="AB15" s="453"/>
      <c r="AC15" s="453"/>
      <c r="AD15" s="628" t="s">
        <v>3217</v>
      </c>
      <c r="AE15" s="628"/>
      <c r="AF15" s="628"/>
      <c r="AG15" s="628"/>
      <c r="AH15" s="628"/>
      <c r="AI15" s="628"/>
      <c r="AJ15" s="628"/>
      <c r="AK15" s="628"/>
      <c r="AL15" s="628"/>
      <c r="AM15" s="628"/>
      <c r="AN15" s="633"/>
      <c r="AO15" s="439"/>
      <c r="AP15" s="439"/>
      <c r="AQ15" s="439"/>
      <c r="AR15" s="439"/>
      <c r="AS15" s="439"/>
      <c r="AT15" s="439"/>
      <c r="AU15" s="439"/>
      <c r="BC15" s="443">
        <v>1.9484000000000001</v>
      </c>
      <c r="BD15" s="444">
        <f t="shared" ca="1" si="3"/>
        <v>1.9484000000000001</v>
      </c>
      <c r="BE15" s="444" t="s">
        <v>804</v>
      </c>
      <c r="BF15" s="444">
        <v>65.81</v>
      </c>
      <c r="BG15" s="443">
        <v>2.0628000000000002</v>
      </c>
      <c r="BH15" s="444">
        <f t="shared" ca="1" si="4"/>
        <v>2.0628000000000002</v>
      </c>
      <c r="BI15" s="444" t="s">
        <v>3152</v>
      </c>
      <c r="BJ15" s="444">
        <v>65.81</v>
      </c>
      <c r="BK15" s="444">
        <v>2.0628000000000002</v>
      </c>
      <c r="BL15" s="444">
        <f t="shared" ca="1" si="5"/>
        <v>2.0628000000000002</v>
      </c>
      <c r="BM15" s="444" t="s">
        <v>3152</v>
      </c>
      <c r="BN15" s="445">
        <v>65.81</v>
      </c>
      <c r="BR15" s="468" t="str">
        <f ca="1">VLOOKUP(BR14,BR5:BS13,2,FALSE)</f>
        <v>inno3D 지포스 GTX750 Ti OC D5 1GB</v>
      </c>
      <c r="CD15" s="138" t="s">
        <v>1057</v>
      </c>
      <c r="CE15" s="138">
        <v>4</v>
      </c>
      <c r="CF15" s="472">
        <f ca="1">OFFSET('(코어)데이터'!E17,0,4*CH15)</f>
        <v>0</v>
      </c>
      <c r="CG15" s="138" t="str">
        <f ca="1">OFFSET('(코어)데이터'!G17,0,4*CH15)</f>
        <v>마비노기영웅전</v>
      </c>
      <c r="CH15" s="138">
        <f t="shared" si="0"/>
        <v>0</v>
      </c>
      <c r="CR15" s="56" t="s">
        <v>3187</v>
      </c>
      <c r="CS15" s="259" t="str">
        <f>IF(CM14,"추가하지 않음",IF(LEFT(CS13,2)="i7",BO6,IF(LEFT(CS13,1)="i",BO5,BO4)))</f>
        <v>추가하지 않음</v>
      </c>
      <c r="CT15" s="56"/>
      <c r="DD15" s="438"/>
      <c r="DE15" s="438"/>
      <c r="DF15" s="438"/>
      <c r="DG15" s="438"/>
      <c r="DH15" s="438"/>
      <c r="DI15" s="438"/>
      <c r="DJ15" s="438"/>
      <c r="DK15" s="438"/>
      <c r="DL15" s="438"/>
      <c r="DM15" s="438"/>
      <c r="DN15" s="438"/>
      <c r="DO15" s="438"/>
      <c r="DP15" s="438"/>
      <c r="DQ15" s="438"/>
      <c r="DR15" s="438"/>
      <c r="DS15" s="438"/>
      <c r="DT15" s="438"/>
      <c r="DU15" s="438"/>
      <c r="DV15" s="438"/>
      <c r="DW15" s="438"/>
      <c r="DX15" s="438"/>
      <c r="DY15" s="438"/>
    </row>
    <row r="16" spans="5:129" x14ac:dyDescent="0.35">
      <c r="E16" s="452" t="s">
        <v>1095</v>
      </c>
      <c r="F16" s="453"/>
      <c r="G16" s="453"/>
      <c r="H16" s="453"/>
      <c r="I16" s="453"/>
      <c r="J16" s="453"/>
      <c r="K16" s="628" t="s">
        <v>3218</v>
      </c>
      <c r="L16" s="628"/>
      <c r="M16" s="628"/>
      <c r="N16" s="628"/>
      <c r="O16" s="628"/>
      <c r="P16" s="628"/>
      <c r="Q16" s="628"/>
      <c r="R16" s="628"/>
      <c r="S16" s="628"/>
      <c r="T16" s="628"/>
      <c r="U16" s="628"/>
      <c r="V16" s="629"/>
      <c r="W16" s="453" t="s">
        <v>1085</v>
      </c>
      <c r="X16" s="453"/>
      <c r="Y16" s="453"/>
      <c r="Z16" s="453"/>
      <c r="AA16" s="453"/>
      <c r="AB16" s="453"/>
      <c r="AC16" s="453"/>
      <c r="AD16" s="628" t="s">
        <v>3217</v>
      </c>
      <c r="AE16" s="628"/>
      <c r="AF16" s="628"/>
      <c r="AG16" s="628"/>
      <c r="AH16" s="628"/>
      <c r="AI16" s="628"/>
      <c r="AJ16" s="628"/>
      <c r="AK16" s="628"/>
      <c r="AL16" s="628"/>
      <c r="AM16" s="628"/>
      <c r="AN16" s="633"/>
      <c r="AO16" s="439"/>
      <c r="AP16" s="439"/>
      <c r="AQ16" s="439"/>
      <c r="AR16" s="439"/>
      <c r="AS16" s="439"/>
      <c r="AT16" s="439"/>
      <c r="AU16" s="439"/>
      <c r="BC16" s="443">
        <v>1.6728000000000001</v>
      </c>
      <c r="BD16" s="444">
        <f t="shared" ca="1" si="3"/>
        <v>1.6728000000000001</v>
      </c>
      <c r="BE16" s="444" t="s">
        <v>1172</v>
      </c>
      <c r="BF16" s="444">
        <v>65.81</v>
      </c>
      <c r="BG16" s="443">
        <v>1.6728000000000001</v>
      </c>
      <c r="BH16" s="444">
        <f t="shared" ca="1" si="4"/>
        <v>1.6728000000000001</v>
      </c>
      <c r="BI16" s="444" t="s">
        <v>1172</v>
      </c>
      <c r="BJ16" s="444">
        <v>60.79</v>
      </c>
      <c r="BK16" s="444">
        <v>1.6728000000000001</v>
      </c>
      <c r="BL16" s="444">
        <f t="shared" ca="1" si="5"/>
        <v>1.6728000000000001</v>
      </c>
      <c r="BM16" s="444" t="s">
        <v>1172</v>
      </c>
      <c r="BN16" s="445">
        <v>60.79</v>
      </c>
      <c r="CD16" s="138" t="s">
        <v>1095</v>
      </c>
      <c r="CE16" s="138">
        <v>4</v>
      </c>
      <c r="CF16" s="472">
        <f ca="1">OFFSET('(코어)데이터'!E18,0,4*CH16)</f>
        <v>0</v>
      </c>
      <c r="CG16" s="138" t="str">
        <f ca="1">OFFSET('(코어)데이터'!G18,0,4*CH16)</f>
        <v>트리오브세이비어</v>
      </c>
      <c r="CH16" s="138">
        <f t="shared" si="0"/>
        <v>0</v>
      </c>
      <c r="CR16" s="56" t="s">
        <v>3188</v>
      </c>
      <c r="CS16" s="259" t="str">
        <f>IF(CH45=0,"추가하지 않음",VLOOKUP(BY9,BY5:BZ8,2,FALSE))</f>
        <v>추가하지 않음</v>
      </c>
      <c r="CT16" s="56"/>
      <c r="DD16" s="438"/>
      <c r="DE16" s="438"/>
      <c r="DF16" s="438"/>
      <c r="DG16" s="438"/>
      <c r="DH16" s="438"/>
      <c r="DI16" s="438"/>
      <c r="DJ16" s="438"/>
      <c r="DK16" s="438"/>
      <c r="DL16" s="438"/>
      <c r="DM16" s="438"/>
      <c r="DN16" s="438"/>
      <c r="DO16" s="438"/>
      <c r="DP16" s="438"/>
      <c r="DQ16" s="438"/>
      <c r="DR16" s="438"/>
      <c r="DS16" s="438"/>
      <c r="DT16" s="438"/>
      <c r="DU16" s="438"/>
      <c r="DV16" s="438"/>
      <c r="DW16" s="438"/>
      <c r="DX16" s="438"/>
      <c r="DY16" s="438"/>
    </row>
    <row r="17" spans="5:86" x14ac:dyDescent="0.35">
      <c r="E17" s="452" t="s">
        <v>1051</v>
      </c>
      <c r="F17" s="453"/>
      <c r="G17" s="453"/>
      <c r="H17" s="453"/>
      <c r="I17" s="453"/>
      <c r="J17" s="453"/>
      <c r="K17" s="628" t="s">
        <v>3217</v>
      </c>
      <c r="L17" s="628"/>
      <c r="M17" s="628"/>
      <c r="N17" s="628"/>
      <c r="O17" s="628"/>
      <c r="P17" s="628"/>
      <c r="Q17" s="628"/>
      <c r="R17" s="628"/>
      <c r="S17" s="628"/>
      <c r="T17" s="628"/>
      <c r="U17" s="628"/>
      <c r="V17" s="629"/>
      <c r="W17" s="453" t="s">
        <v>1099</v>
      </c>
      <c r="X17" s="453"/>
      <c r="Y17" s="453"/>
      <c r="Z17" s="453"/>
      <c r="AA17" s="453"/>
      <c r="AB17" s="453"/>
      <c r="AC17" s="453"/>
      <c r="AD17" s="628" t="s">
        <v>3217</v>
      </c>
      <c r="AE17" s="628"/>
      <c r="AF17" s="628"/>
      <c r="AG17" s="628"/>
      <c r="AH17" s="628"/>
      <c r="AI17" s="628"/>
      <c r="AJ17" s="628"/>
      <c r="AK17" s="628"/>
      <c r="AL17" s="628"/>
      <c r="AM17" s="628"/>
      <c r="AN17" s="633"/>
      <c r="AO17" s="439"/>
      <c r="AP17" s="439"/>
      <c r="AQ17" s="439"/>
      <c r="AR17" s="439"/>
      <c r="AS17" s="439"/>
      <c r="AT17" s="439"/>
      <c r="AU17" s="439"/>
      <c r="BC17" s="446">
        <v>1.6152</v>
      </c>
      <c r="BD17" s="447">
        <f t="shared" ca="1" si="3"/>
        <v>1.6152</v>
      </c>
      <c r="BE17" s="447" t="s">
        <v>1173</v>
      </c>
      <c r="BF17" s="447">
        <v>60.79</v>
      </c>
      <c r="BG17" s="446">
        <v>1.6152</v>
      </c>
      <c r="BH17" s="447">
        <f t="shared" ca="1" si="4"/>
        <v>1.6152</v>
      </c>
      <c r="BI17" s="447" t="s">
        <v>1173</v>
      </c>
      <c r="BJ17" s="447">
        <v>60.79</v>
      </c>
      <c r="BK17" s="447">
        <v>1.6152</v>
      </c>
      <c r="BL17" s="447">
        <f t="shared" ca="1" si="5"/>
        <v>1.6152</v>
      </c>
      <c r="BM17" s="447" t="s">
        <v>1173</v>
      </c>
      <c r="BN17" s="466">
        <v>60.79</v>
      </c>
      <c r="CD17" s="138" t="s">
        <v>1051</v>
      </c>
      <c r="CE17" s="138">
        <v>4</v>
      </c>
      <c r="CF17" s="472">
        <f ca="1">OFFSET('(코어)데이터'!E19,0,4*CH17)</f>
        <v>0</v>
      </c>
      <c r="CG17" s="138" t="str">
        <f ca="1">OFFSET('(코어)데이터'!G19,0,4*CH17)</f>
        <v>사이퍼즈</v>
      </c>
      <c r="CH17" s="138">
        <f t="shared" si="0"/>
        <v>0</v>
      </c>
    </row>
    <row r="18" spans="5:86" x14ac:dyDescent="0.35">
      <c r="E18" s="452" t="s">
        <v>2989</v>
      </c>
      <c r="F18" s="453"/>
      <c r="G18" s="453"/>
      <c r="H18" s="453"/>
      <c r="I18" s="453"/>
      <c r="J18" s="453"/>
      <c r="K18" s="628" t="s">
        <v>3218</v>
      </c>
      <c r="L18" s="628"/>
      <c r="M18" s="628"/>
      <c r="N18" s="628"/>
      <c r="O18" s="628"/>
      <c r="P18" s="628"/>
      <c r="Q18" s="628"/>
      <c r="R18" s="628"/>
      <c r="S18" s="628"/>
      <c r="T18" s="628"/>
      <c r="U18" s="628"/>
      <c r="V18" s="629"/>
      <c r="W18" s="453" t="s">
        <v>1091</v>
      </c>
      <c r="X18" s="453"/>
      <c r="Y18" s="453"/>
      <c r="Z18" s="453"/>
      <c r="AA18" s="453"/>
      <c r="AB18" s="453"/>
      <c r="AC18" s="453"/>
      <c r="AD18" s="628" t="s">
        <v>3218</v>
      </c>
      <c r="AE18" s="628"/>
      <c r="AF18" s="628"/>
      <c r="AG18" s="628"/>
      <c r="AH18" s="628"/>
      <c r="AI18" s="628"/>
      <c r="AJ18" s="628"/>
      <c r="AK18" s="628"/>
      <c r="AL18" s="628"/>
      <c r="AM18" s="628"/>
      <c r="AN18" s="633"/>
      <c r="AO18" s="439"/>
      <c r="AP18" s="439"/>
      <c r="AQ18" s="439"/>
      <c r="AR18" s="439"/>
      <c r="AS18" s="439"/>
      <c r="AT18" s="439"/>
      <c r="AU18" s="439"/>
      <c r="BC18" s="138" t="s">
        <v>3179</v>
      </c>
      <c r="BD18" s="467">
        <f ca="1">MIN(BD6:BD17)</f>
        <v>1.6152</v>
      </c>
      <c r="BE18" s="444" t="s">
        <v>3196</v>
      </c>
      <c r="BF18" s="138">
        <v>0</v>
      </c>
      <c r="BG18" s="138" t="s">
        <v>3178</v>
      </c>
      <c r="BH18" s="467">
        <f ca="1">MIN(BH6:BH17)</f>
        <v>1.6152</v>
      </c>
      <c r="BI18" s="444" t="s">
        <v>3196</v>
      </c>
      <c r="BJ18" s="138">
        <v>0</v>
      </c>
      <c r="BK18" s="138" t="s">
        <v>3178</v>
      </c>
      <c r="BL18" s="467">
        <f ca="1">MIN(BL6:BL17)</f>
        <v>1.6152</v>
      </c>
      <c r="BM18" s="444" t="s">
        <v>3196</v>
      </c>
      <c r="BN18" s="138">
        <v>0</v>
      </c>
      <c r="CD18" s="138" t="s">
        <v>2989</v>
      </c>
      <c r="CE18" s="138">
        <v>4</v>
      </c>
      <c r="CF18" s="472">
        <f ca="1">OFFSET('(코어)데이터'!E20,0,4*CH18)</f>
        <v>0</v>
      </c>
      <c r="CG18" s="138" t="str">
        <f ca="1">OFFSET('(코어)데이터'!G20,0,4*CH18)</f>
        <v>히어로즈 오브 더 스톰스톰…</v>
      </c>
      <c r="CH18" s="138">
        <f t="shared" si="0"/>
        <v>0</v>
      </c>
    </row>
    <row r="19" spans="5:86" x14ac:dyDescent="0.35">
      <c r="E19" s="452" t="s">
        <v>2995</v>
      </c>
      <c r="F19" s="453"/>
      <c r="G19" s="453"/>
      <c r="H19" s="453"/>
      <c r="I19" s="453"/>
      <c r="J19" s="453"/>
      <c r="K19" s="628" t="s">
        <v>3217</v>
      </c>
      <c r="L19" s="628"/>
      <c r="M19" s="628"/>
      <c r="N19" s="628"/>
      <c r="O19" s="628"/>
      <c r="P19" s="628"/>
      <c r="Q19" s="628"/>
      <c r="R19" s="628"/>
      <c r="S19" s="628"/>
      <c r="T19" s="628"/>
      <c r="U19" s="628"/>
      <c r="V19" s="629"/>
      <c r="W19" s="453" t="s">
        <v>1089</v>
      </c>
      <c r="X19" s="453"/>
      <c r="Y19" s="453"/>
      <c r="Z19" s="453"/>
      <c r="AA19" s="453"/>
      <c r="AB19" s="453"/>
      <c r="AC19" s="453"/>
      <c r="AD19" s="628" t="s">
        <v>3218</v>
      </c>
      <c r="AE19" s="628"/>
      <c r="AF19" s="628"/>
      <c r="AG19" s="628"/>
      <c r="AH19" s="628"/>
      <c r="AI19" s="628"/>
      <c r="AJ19" s="628"/>
      <c r="AK19" s="628"/>
      <c r="AL19" s="628"/>
      <c r="AM19" s="628"/>
      <c r="AN19" s="633"/>
      <c r="AO19" s="439"/>
      <c r="AP19" s="439"/>
      <c r="AQ19" s="439"/>
      <c r="AR19" s="439"/>
      <c r="AS19" s="439"/>
      <c r="AT19" s="439"/>
      <c r="AU19" s="439"/>
      <c r="BD19" s="467" t="str">
        <f ca="1">VLOOKUP(BD18,BD6:BE17,2,FALSE)</f>
        <v>셀러론 G3900</v>
      </c>
      <c r="BH19" s="467" t="str">
        <f ca="1">VLOOKUP(BH18,BH6:BI17,2,FALSE)</f>
        <v>셀러론 G3900</v>
      </c>
      <c r="BL19" s="467" t="str">
        <f ca="1">VLOOKUP(BL18,BL6:BM17,2,FALSE)</f>
        <v>셀러론 G3900</v>
      </c>
      <c r="CD19" s="138" t="s">
        <v>3078</v>
      </c>
      <c r="CE19" s="138">
        <v>4</v>
      </c>
      <c r="CF19" s="472">
        <f ca="1">OFFSET('(코어)데이터'!E21,0,4*CH19)</f>
        <v>0</v>
      </c>
      <c r="CG19" s="138" t="str">
        <f ca="1">OFFSET('(코어)데이터'!G21,0,4*CH19)</f>
        <v>도타2</v>
      </c>
      <c r="CH19" s="138">
        <f t="shared" si="0"/>
        <v>0</v>
      </c>
    </row>
    <row r="20" spans="5:86" x14ac:dyDescent="0.35">
      <c r="E20" s="452" t="s">
        <v>3057</v>
      </c>
      <c r="F20" s="453"/>
      <c r="G20" s="453"/>
      <c r="H20" s="453"/>
      <c r="I20" s="453"/>
      <c r="J20" s="453"/>
      <c r="K20" s="628" t="s">
        <v>3218</v>
      </c>
      <c r="L20" s="628"/>
      <c r="M20" s="628"/>
      <c r="N20" s="628"/>
      <c r="O20" s="628"/>
      <c r="P20" s="628"/>
      <c r="Q20" s="628"/>
      <c r="R20" s="628"/>
      <c r="S20" s="628"/>
      <c r="T20" s="628"/>
      <c r="U20" s="628"/>
      <c r="V20" s="629"/>
      <c r="W20" s="453" t="s">
        <v>1087</v>
      </c>
      <c r="X20" s="453"/>
      <c r="Y20" s="453"/>
      <c r="Z20" s="453"/>
      <c r="AA20" s="453"/>
      <c r="AB20" s="453"/>
      <c r="AC20" s="453"/>
      <c r="AD20" s="628" t="s">
        <v>3217</v>
      </c>
      <c r="AE20" s="628"/>
      <c r="AF20" s="628"/>
      <c r="AG20" s="628"/>
      <c r="AH20" s="628"/>
      <c r="AI20" s="628"/>
      <c r="AJ20" s="628"/>
      <c r="AK20" s="628"/>
      <c r="AL20" s="628"/>
      <c r="AM20" s="628"/>
      <c r="AN20" s="633"/>
      <c r="AO20" s="439"/>
      <c r="AP20" s="439"/>
      <c r="AQ20" s="439"/>
      <c r="AR20" s="439"/>
      <c r="AS20" s="439"/>
      <c r="AT20" s="439"/>
      <c r="AU20" s="439"/>
      <c r="BD20" s="444"/>
      <c r="BH20" s="444"/>
      <c r="CD20" s="138" t="s">
        <v>3079</v>
      </c>
      <c r="CE20" s="138">
        <v>4</v>
      </c>
      <c r="CF20" s="472">
        <f ca="1">OFFSET('(코어)데이터'!E22,0,4*CH20)</f>
        <v>0</v>
      </c>
      <c r="CG20" s="138" t="str">
        <f ca="1">OFFSET('(코어)데이터'!G22,0,4*CH20)</f>
        <v>Counter-strike:Global Offensive</v>
      </c>
      <c r="CH20" s="138">
        <f t="shared" si="0"/>
        <v>0</v>
      </c>
    </row>
    <row r="21" spans="5:86" x14ac:dyDescent="0.35">
      <c r="E21" s="452" t="s">
        <v>2990</v>
      </c>
      <c r="F21" s="453"/>
      <c r="G21" s="453"/>
      <c r="H21" s="453"/>
      <c r="I21" s="453"/>
      <c r="J21" s="453"/>
      <c r="K21" s="628" t="s">
        <v>3217</v>
      </c>
      <c r="L21" s="628"/>
      <c r="M21" s="628"/>
      <c r="N21" s="628"/>
      <c r="O21" s="628"/>
      <c r="P21" s="628"/>
      <c r="Q21" s="628"/>
      <c r="R21" s="628"/>
      <c r="S21" s="628"/>
      <c r="T21" s="628"/>
      <c r="U21" s="628"/>
      <c r="V21" s="629"/>
      <c r="W21" s="453" t="s">
        <v>1225</v>
      </c>
      <c r="X21" s="453"/>
      <c r="Y21" s="453"/>
      <c r="Z21" s="453"/>
      <c r="AA21" s="453"/>
      <c r="AB21" s="453"/>
      <c r="AC21" s="453"/>
      <c r="AD21" s="628" t="s">
        <v>3218</v>
      </c>
      <c r="AE21" s="628"/>
      <c r="AF21" s="628"/>
      <c r="AG21" s="628"/>
      <c r="AH21" s="628"/>
      <c r="AI21" s="628"/>
      <c r="AJ21" s="628"/>
      <c r="AK21" s="628"/>
      <c r="AL21" s="628"/>
      <c r="AM21" s="628"/>
      <c r="AN21" s="633"/>
      <c r="AO21" s="439"/>
      <c r="AP21" s="439"/>
      <c r="AQ21" s="439"/>
      <c r="AR21" s="439"/>
      <c r="AS21" s="439"/>
      <c r="AT21" s="439"/>
      <c r="AU21" s="439"/>
      <c r="BD21" s="444"/>
      <c r="BH21" s="444"/>
      <c r="CD21" s="138" t="s">
        <v>2990</v>
      </c>
      <c r="CE21" s="138">
        <v>4</v>
      </c>
      <c r="CF21" s="472">
        <f ca="1">OFFSET('(코어)데이터'!E23,0,4*CH21)</f>
        <v>0</v>
      </c>
      <c r="CG21" s="138" t="str">
        <f ca="1">OFFSET('(코어)데이터'!G23,0,4*CH21)</f>
        <v>월드오브탱크</v>
      </c>
      <c r="CH21" s="138">
        <f t="shared" si="0"/>
        <v>0</v>
      </c>
    </row>
    <row r="22" spans="5:86" x14ac:dyDescent="0.35">
      <c r="E22" s="452" t="s">
        <v>2991</v>
      </c>
      <c r="F22" s="453"/>
      <c r="G22" s="453"/>
      <c r="H22" s="453"/>
      <c r="I22" s="453"/>
      <c r="J22" s="453"/>
      <c r="K22" s="628" t="s">
        <v>3217</v>
      </c>
      <c r="L22" s="628"/>
      <c r="M22" s="628"/>
      <c r="N22" s="628"/>
      <c r="O22" s="628"/>
      <c r="P22" s="628"/>
      <c r="Q22" s="628"/>
      <c r="R22" s="628"/>
      <c r="S22" s="628"/>
      <c r="T22" s="628"/>
      <c r="U22" s="628"/>
      <c r="V22" s="629"/>
      <c r="W22" s="453" t="s">
        <v>2837</v>
      </c>
      <c r="X22" s="453"/>
      <c r="Y22" s="453"/>
      <c r="Z22" s="453"/>
      <c r="AA22" s="453"/>
      <c r="AB22" s="453"/>
      <c r="AC22" s="453"/>
      <c r="AD22" s="628" t="s">
        <v>3218</v>
      </c>
      <c r="AE22" s="628"/>
      <c r="AF22" s="628"/>
      <c r="AG22" s="628"/>
      <c r="AH22" s="628"/>
      <c r="AI22" s="628"/>
      <c r="AJ22" s="628"/>
      <c r="AK22" s="628"/>
      <c r="AL22" s="628"/>
      <c r="AM22" s="628"/>
      <c r="AN22" s="633"/>
      <c r="AO22" s="439"/>
      <c r="AP22" s="439"/>
      <c r="AQ22" s="439"/>
      <c r="AR22" s="439"/>
      <c r="AS22" s="439"/>
      <c r="AT22" s="439"/>
      <c r="AU22" s="439"/>
      <c r="BD22" s="444"/>
      <c r="BH22" s="444"/>
      <c r="CD22" s="138" t="s">
        <v>2991</v>
      </c>
      <c r="CE22" s="138">
        <v>8</v>
      </c>
      <c r="CF22" s="472">
        <f ca="1">OFFSET('(코어)데이터'!E24,0,4*CH22)</f>
        <v>0</v>
      </c>
      <c r="CG22" s="138" t="str">
        <f ca="1">OFFSET('(코어)데이터'!G24,0,4*CH22)</f>
        <v>월드오브워쉽</v>
      </c>
      <c r="CH22" s="138">
        <f t="shared" si="0"/>
        <v>0</v>
      </c>
    </row>
    <row r="23" spans="5:86" ht="16.2" thickBot="1" x14ac:dyDescent="0.4">
      <c r="E23" s="455" t="s">
        <v>2992</v>
      </c>
      <c r="F23" s="456"/>
      <c r="G23" s="456"/>
      <c r="H23" s="456"/>
      <c r="I23" s="456"/>
      <c r="J23" s="456"/>
      <c r="K23" s="630" t="s">
        <v>3218</v>
      </c>
      <c r="L23" s="630"/>
      <c r="M23" s="630"/>
      <c r="N23" s="630"/>
      <c r="O23" s="630"/>
      <c r="P23" s="630"/>
      <c r="Q23" s="630"/>
      <c r="R23" s="630"/>
      <c r="S23" s="630"/>
      <c r="T23" s="630"/>
      <c r="U23" s="630"/>
      <c r="V23" s="631"/>
      <c r="W23" s="456" t="s">
        <v>3039</v>
      </c>
      <c r="X23" s="456"/>
      <c r="Y23" s="456"/>
      <c r="Z23" s="456"/>
      <c r="AA23" s="456"/>
      <c r="AB23" s="456"/>
      <c r="AC23" s="456"/>
      <c r="AD23" s="630" t="s">
        <v>3218</v>
      </c>
      <c r="AE23" s="630"/>
      <c r="AF23" s="630"/>
      <c r="AG23" s="630"/>
      <c r="AH23" s="630"/>
      <c r="AI23" s="630"/>
      <c r="AJ23" s="630"/>
      <c r="AK23" s="630"/>
      <c r="AL23" s="630"/>
      <c r="AM23" s="630"/>
      <c r="AN23" s="634"/>
      <c r="AO23" s="439"/>
      <c r="AP23" s="439"/>
      <c r="AQ23" s="439"/>
      <c r="AR23" s="439"/>
      <c r="AS23" s="439"/>
      <c r="AT23" s="439"/>
      <c r="AU23" s="439"/>
      <c r="BD23" s="444"/>
      <c r="BH23" s="444"/>
      <c r="CD23" s="138" t="s">
        <v>2992</v>
      </c>
      <c r="CE23" s="138">
        <v>8</v>
      </c>
      <c r="CF23" s="472">
        <f ca="1">OFFSET('(코어)데이터'!E25,0,4*CH23)</f>
        <v>0</v>
      </c>
      <c r="CG23" s="138" t="str">
        <f ca="1">OFFSET('(코어)데이터'!G25,0,4*CH23)</f>
        <v>워썬더</v>
      </c>
      <c r="CH23" s="138">
        <f t="shared" si="0"/>
        <v>0</v>
      </c>
    </row>
    <row r="24" spans="5:86" ht="16.2" thickBot="1" x14ac:dyDescent="0.4">
      <c r="BD24" s="444"/>
      <c r="BH24" s="444"/>
      <c r="CD24" s="138" t="s">
        <v>3080</v>
      </c>
      <c r="CE24" s="138">
        <v>8</v>
      </c>
      <c r="CF24" s="472">
        <f ca="1">OFFSET('(코어)데이터'!E26,0,4*CH24)</f>
        <v>0</v>
      </c>
      <c r="CG24" s="138" t="str">
        <f ca="1">OFFSET('(코어)데이터'!G26,0,4*CH24)</f>
        <v>Battlefield 1 [DX12]</v>
      </c>
      <c r="CH24" s="138">
        <f t="shared" ref="CH24:CH43" si="6">IF(AD4="최하",1,IF(AD4="하",2,IF(AD4="중하",3,IF(AD4="중",4,IF(AD4="중상",5,IF(AD4="상",6,IF(AD4="최상",7,IF(AD4="풀옵",8,0))))))))</f>
        <v>0</v>
      </c>
    </row>
    <row r="25" spans="5:86" ht="16.2" thickBot="1" x14ac:dyDescent="0.4">
      <c r="E25" s="221" t="s">
        <v>890</v>
      </c>
      <c r="F25" s="616" t="s">
        <v>3041</v>
      </c>
      <c r="G25" s="617"/>
      <c r="H25" s="617"/>
      <c r="I25" s="617"/>
      <c r="J25" s="617"/>
      <c r="K25" s="617"/>
      <c r="L25" s="617"/>
      <c r="M25" s="617"/>
      <c r="N25" s="617"/>
      <c r="O25" s="617"/>
      <c r="P25" s="617"/>
      <c r="Q25" s="617"/>
      <c r="R25" s="617"/>
      <c r="S25" s="617"/>
      <c r="T25" s="617"/>
      <c r="U25" s="617"/>
      <c r="V25" s="617"/>
      <c r="W25" s="618"/>
      <c r="X25" s="617" t="s">
        <v>906</v>
      </c>
      <c r="Y25" s="617"/>
      <c r="Z25" s="617"/>
      <c r="AA25" s="617"/>
      <c r="AB25" s="617"/>
      <c r="AC25" s="617"/>
      <c r="AD25" s="617"/>
      <c r="AE25" s="616" t="s">
        <v>907</v>
      </c>
      <c r="AF25" s="618"/>
      <c r="AG25" s="617" t="s">
        <v>908</v>
      </c>
      <c r="AH25" s="617"/>
      <c r="AI25" s="617"/>
      <c r="AJ25" s="617"/>
      <c r="AK25" s="617"/>
      <c r="AL25" s="617"/>
      <c r="AM25" s="617"/>
      <c r="AN25" s="619"/>
      <c r="BD25" s="444"/>
      <c r="BH25" s="444"/>
      <c r="CD25" s="138" t="s">
        <v>3033</v>
      </c>
      <c r="CE25" s="138">
        <v>8</v>
      </c>
      <c r="CF25" s="472">
        <f ca="1">OFFSET('(코어)데이터'!E27,0,4*CH25)</f>
        <v>0</v>
      </c>
      <c r="CG25" s="138" t="str">
        <f ca="1">OFFSET('(코어)데이터'!G27,0,4*CH25)</f>
        <v>Battlefield 4</v>
      </c>
      <c r="CH25" s="138">
        <f t="shared" si="6"/>
        <v>0</v>
      </c>
    </row>
    <row r="26" spans="5:86" x14ac:dyDescent="0.35">
      <c r="E26" s="448" t="s">
        <v>891</v>
      </c>
      <c r="F26" s="620" t="str">
        <f ca="1">CS13</f>
        <v>추가하지 않음</v>
      </c>
      <c r="G26" s="615"/>
      <c r="H26" s="615"/>
      <c r="I26" s="615"/>
      <c r="J26" s="615"/>
      <c r="K26" s="615"/>
      <c r="L26" s="615"/>
      <c r="M26" s="615"/>
      <c r="N26" s="615"/>
      <c r="O26" s="615"/>
      <c r="P26" s="615"/>
      <c r="Q26" s="615"/>
      <c r="R26" s="615"/>
      <c r="S26" s="615"/>
      <c r="T26" s="615"/>
      <c r="U26" s="615"/>
      <c r="V26" s="615"/>
      <c r="W26" s="621"/>
      <c r="X26" s="622">
        <f ca="1">VLOOKUP(F26,CPU!$B$3:$C$50,2,FALSE)</f>
        <v>0</v>
      </c>
      <c r="Y26" s="622"/>
      <c r="Z26" s="622"/>
      <c r="AA26" s="622"/>
      <c r="AB26" s="622"/>
      <c r="AC26" s="622"/>
      <c r="AD26" s="622"/>
      <c r="AE26" s="620">
        <v>1</v>
      </c>
      <c r="AF26" s="621"/>
      <c r="AG26" s="622">
        <f t="shared" ref="AG26:AG35" ca="1" si="7">X26*AE26</f>
        <v>0</v>
      </c>
      <c r="AH26" s="622"/>
      <c r="AI26" s="622"/>
      <c r="AJ26" s="622"/>
      <c r="AK26" s="622"/>
      <c r="AL26" s="622"/>
      <c r="AM26" s="622"/>
      <c r="AN26" s="623"/>
      <c r="BD26" s="444"/>
      <c r="BH26" s="444"/>
      <c r="CD26" s="138" t="s">
        <v>1081</v>
      </c>
      <c r="CE26" s="138">
        <v>8</v>
      </c>
      <c r="CF26" s="472">
        <f ca="1">OFFSET('(코어)데이터'!E28,0,4*CH26)</f>
        <v>0</v>
      </c>
      <c r="CG26" s="138" t="str">
        <f ca="1">OFFSET('(코어)데이터'!G28,0,4*CH26)</f>
        <v>COD 어드밴스드 워페어</v>
      </c>
      <c r="CH26" s="138">
        <f t="shared" si="6"/>
        <v>0</v>
      </c>
    </row>
    <row r="27" spans="5:86" x14ac:dyDescent="0.35">
      <c r="E27" s="449" t="s">
        <v>892</v>
      </c>
      <c r="F27" s="620" t="str">
        <f>CS15</f>
        <v>추가하지 않음</v>
      </c>
      <c r="G27" s="615"/>
      <c r="H27" s="615"/>
      <c r="I27" s="615"/>
      <c r="J27" s="615"/>
      <c r="K27" s="615"/>
      <c r="L27" s="615"/>
      <c r="M27" s="615"/>
      <c r="N27" s="615"/>
      <c r="O27" s="615"/>
      <c r="P27" s="615"/>
      <c r="Q27" s="615"/>
      <c r="R27" s="615"/>
      <c r="S27" s="615"/>
      <c r="T27" s="615"/>
      <c r="U27" s="615"/>
      <c r="V27" s="615"/>
      <c r="W27" s="621"/>
      <c r="X27" s="622">
        <f>VLOOKUP(F27,메인보드!$B$4:$C$132,2,FALSE)</f>
        <v>0</v>
      </c>
      <c r="Y27" s="622"/>
      <c r="Z27" s="622"/>
      <c r="AA27" s="622"/>
      <c r="AB27" s="622"/>
      <c r="AC27" s="622"/>
      <c r="AD27" s="622"/>
      <c r="AE27" s="620">
        <v>1</v>
      </c>
      <c r="AF27" s="621"/>
      <c r="AG27" s="622">
        <f t="shared" si="7"/>
        <v>0</v>
      </c>
      <c r="AH27" s="622"/>
      <c r="AI27" s="622"/>
      <c r="AJ27" s="622"/>
      <c r="AK27" s="622"/>
      <c r="AL27" s="622"/>
      <c r="AM27" s="622"/>
      <c r="AN27" s="623"/>
      <c r="BD27" s="444"/>
      <c r="BH27" s="444"/>
      <c r="CD27" s="138" t="s">
        <v>1077</v>
      </c>
      <c r="CE27" s="138">
        <v>8</v>
      </c>
      <c r="CF27" s="472">
        <f ca="1">OFFSET('(코어)데이터'!E29,0,4*CH27)</f>
        <v>0</v>
      </c>
      <c r="CG27" s="138" t="str">
        <f ca="1">OFFSET('(코어)데이터'!G29,0,4*CH27)</f>
        <v>COD 블랙옵스3</v>
      </c>
      <c r="CH27" s="138">
        <f t="shared" si="6"/>
        <v>0</v>
      </c>
    </row>
    <row r="28" spans="5:86" x14ac:dyDescent="0.35">
      <c r="E28" s="449" t="s">
        <v>893</v>
      </c>
      <c r="F28" s="620" t="str">
        <f>IF($CM$14,"추가하지 않음",BP4)</f>
        <v>추가하지 않음</v>
      </c>
      <c r="G28" s="615"/>
      <c r="H28" s="615"/>
      <c r="I28" s="615"/>
      <c r="J28" s="615"/>
      <c r="K28" s="615"/>
      <c r="L28" s="615"/>
      <c r="M28" s="615"/>
      <c r="N28" s="615"/>
      <c r="O28" s="615"/>
      <c r="P28" s="615"/>
      <c r="Q28" s="615"/>
      <c r="R28" s="615"/>
      <c r="S28" s="615"/>
      <c r="T28" s="615"/>
      <c r="U28" s="615"/>
      <c r="V28" s="615"/>
      <c r="W28" s="621"/>
      <c r="X28" s="622">
        <f>VLOOKUP(F28,메모리!$B$3:$C$50,2,FALSE)</f>
        <v>0</v>
      </c>
      <c r="Y28" s="622"/>
      <c r="Z28" s="622"/>
      <c r="AA28" s="622"/>
      <c r="AB28" s="622"/>
      <c r="AC28" s="622"/>
      <c r="AD28" s="622"/>
      <c r="AE28" s="620">
        <v>1</v>
      </c>
      <c r="AF28" s="621"/>
      <c r="AG28" s="622">
        <f t="shared" si="7"/>
        <v>0</v>
      </c>
      <c r="AH28" s="622"/>
      <c r="AI28" s="622"/>
      <c r="AJ28" s="622"/>
      <c r="AK28" s="622"/>
      <c r="AL28" s="622"/>
      <c r="AM28" s="622"/>
      <c r="AN28" s="623"/>
      <c r="BD28" s="444"/>
      <c r="BH28" s="444"/>
      <c r="CD28" s="138" t="s">
        <v>1072</v>
      </c>
      <c r="CE28" s="138">
        <v>8</v>
      </c>
      <c r="CF28" s="472">
        <f ca="1">OFFSET('(코어)데이터'!E30,0,4*CH28)</f>
        <v>0</v>
      </c>
      <c r="CG28" s="138" t="str">
        <f ca="1">OFFSET('(코어)데이터'!G30,0,4*CH28)</f>
        <v>엘더스크롤:스카이림</v>
      </c>
      <c r="CH28" s="138">
        <f t="shared" si="6"/>
        <v>0</v>
      </c>
    </row>
    <row r="29" spans="5:86" x14ac:dyDescent="0.35">
      <c r="E29" s="449" t="s">
        <v>894</v>
      </c>
      <c r="F29" s="620" t="str">
        <f>CS14</f>
        <v>내장그래픽</v>
      </c>
      <c r="G29" s="615"/>
      <c r="H29" s="615"/>
      <c r="I29" s="615"/>
      <c r="J29" s="615"/>
      <c r="K29" s="615"/>
      <c r="L29" s="615"/>
      <c r="M29" s="615"/>
      <c r="N29" s="615"/>
      <c r="O29" s="615"/>
      <c r="P29" s="615"/>
      <c r="Q29" s="615"/>
      <c r="R29" s="615"/>
      <c r="S29" s="615"/>
      <c r="T29" s="615"/>
      <c r="U29" s="615"/>
      <c r="V29" s="615"/>
      <c r="W29" s="621"/>
      <c r="X29" s="622">
        <f>VLOOKUP(F29,그래픽카드!$B$3:$C$200,2,FALSE)</f>
        <v>0</v>
      </c>
      <c r="Y29" s="622"/>
      <c r="Z29" s="622"/>
      <c r="AA29" s="622"/>
      <c r="AB29" s="622"/>
      <c r="AC29" s="622"/>
      <c r="AD29" s="622"/>
      <c r="AE29" s="620">
        <v>1</v>
      </c>
      <c r="AF29" s="621"/>
      <c r="AG29" s="622">
        <f t="shared" si="7"/>
        <v>0</v>
      </c>
      <c r="AH29" s="622"/>
      <c r="AI29" s="622"/>
      <c r="AJ29" s="622"/>
      <c r="AK29" s="622"/>
      <c r="AL29" s="622"/>
      <c r="AM29" s="622"/>
      <c r="AN29" s="623"/>
      <c r="BD29" s="444"/>
      <c r="BH29" s="444"/>
      <c r="CD29" s="138" t="s">
        <v>1083</v>
      </c>
      <c r="CE29" s="138">
        <v>8</v>
      </c>
      <c r="CF29" s="472">
        <f ca="1">OFFSET('(코어)데이터'!E31,0,4*CH29)</f>
        <v>0</v>
      </c>
      <c r="CG29" s="138" t="str">
        <f ca="1">OFFSET('(코어)데이터'!G31,0,4*CH29)</f>
        <v>GTA5</v>
      </c>
      <c r="CH29" s="138">
        <f t="shared" si="6"/>
        <v>0</v>
      </c>
    </row>
    <row r="30" spans="5:86" x14ac:dyDescent="0.35">
      <c r="E30" s="449" t="s">
        <v>912</v>
      </c>
      <c r="F30" s="620" t="str">
        <f>IF($CM$14,"추가하지 않음",BU4)</f>
        <v>추가하지 않음</v>
      </c>
      <c r="G30" s="615"/>
      <c r="H30" s="615"/>
      <c r="I30" s="615"/>
      <c r="J30" s="615"/>
      <c r="K30" s="615"/>
      <c r="L30" s="615"/>
      <c r="M30" s="615"/>
      <c r="N30" s="615"/>
      <c r="O30" s="615"/>
      <c r="P30" s="615"/>
      <c r="Q30" s="615"/>
      <c r="R30" s="615"/>
      <c r="S30" s="615"/>
      <c r="T30" s="615"/>
      <c r="U30" s="615"/>
      <c r="V30" s="615"/>
      <c r="W30" s="621"/>
      <c r="X30" s="622">
        <f>VLOOKUP(F30,HDD!$B$3:$C$57,2,FALSE)</f>
        <v>0</v>
      </c>
      <c r="Y30" s="622"/>
      <c r="Z30" s="622"/>
      <c r="AA30" s="622"/>
      <c r="AB30" s="622"/>
      <c r="AC30" s="622"/>
      <c r="AD30" s="622"/>
      <c r="AE30" s="620">
        <v>1</v>
      </c>
      <c r="AF30" s="621"/>
      <c r="AG30" s="622">
        <f t="shared" si="7"/>
        <v>0</v>
      </c>
      <c r="AH30" s="622"/>
      <c r="AI30" s="622"/>
      <c r="AJ30" s="622"/>
      <c r="AK30" s="622"/>
      <c r="AL30" s="622"/>
      <c r="AM30" s="622"/>
      <c r="AN30" s="623"/>
      <c r="BD30" s="444"/>
      <c r="BH30" s="444"/>
      <c r="CD30" s="138" t="s">
        <v>1075</v>
      </c>
      <c r="CE30" s="138">
        <v>8</v>
      </c>
      <c r="CF30" s="472">
        <f ca="1">OFFSET('(코어)데이터'!E32,0,4*CH30)</f>
        <v>0</v>
      </c>
      <c r="CG30" s="138" t="str">
        <f ca="1">OFFSET('(코어)데이터'!G32,0,4*CH30)</f>
        <v>폴아웃4</v>
      </c>
      <c r="CH30" s="138">
        <f t="shared" si="6"/>
        <v>0</v>
      </c>
    </row>
    <row r="31" spans="5:86" x14ac:dyDescent="0.35">
      <c r="E31" s="449" t="s">
        <v>896</v>
      </c>
      <c r="F31" s="620" t="str">
        <f>IF($CM$14,"추가하지 않음",BV4)</f>
        <v>추가하지 않음</v>
      </c>
      <c r="G31" s="615"/>
      <c r="H31" s="615"/>
      <c r="I31" s="615"/>
      <c r="J31" s="615"/>
      <c r="K31" s="615"/>
      <c r="L31" s="615"/>
      <c r="M31" s="615"/>
      <c r="N31" s="615"/>
      <c r="O31" s="615"/>
      <c r="P31" s="615"/>
      <c r="Q31" s="615"/>
      <c r="R31" s="615"/>
      <c r="S31" s="615"/>
      <c r="T31" s="615"/>
      <c r="U31" s="615"/>
      <c r="V31" s="615"/>
      <c r="W31" s="621"/>
      <c r="X31" s="622">
        <f>VLOOKUP(F31,SSD!$B$3:$C$88,2,FALSE)</f>
        <v>0</v>
      </c>
      <c r="Y31" s="622"/>
      <c r="Z31" s="622"/>
      <c r="AA31" s="622"/>
      <c r="AB31" s="622"/>
      <c r="AC31" s="622"/>
      <c r="AD31" s="622"/>
      <c r="AE31" s="620">
        <v>1</v>
      </c>
      <c r="AF31" s="621"/>
      <c r="AG31" s="622">
        <f t="shared" si="7"/>
        <v>0</v>
      </c>
      <c r="AH31" s="622"/>
      <c r="AI31" s="622"/>
      <c r="AJ31" s="622"/>
      <c r="AK31" s="622"/>
      <c r="AL31" s="622"/>
      <c r="AM31" s="622"/>
      <c r="AN31" s="623"/>
      <c r="BD31" s="444"/>
      <c r="BH31" s="444"/>
      <c r="CD31" s="138" t="s">
        <v>3081</v>
      </c>
      <c r="CE31" s="138">
        <v>8</v>
      </c>
      <c r="CF31" s="472">
        <f ca="1">OFFSET('(코어)데이터'!E33,0,4*CH31)</f>
        <v>0</v>
      </c>
      <c r="CG31" s="138" t="str">
        <f ca="1">OFFSET('(코어)데이터'!G33,0,4*CH31)</f>
        <v>페이데이2</v>
      </c>
      <c r="CH31" s="138">
        <f t="shared" si="6"/>
        <v>0</v>
      </c>
    </row>
    <row r="32" spans="5:86" x14ac:dyDescent="0.35">
      <c r="E32" s="449" t="s">
        <v>895</v>
      </c>
      <c r="F32" s="620" t="str">
        <f>IF($CM$14,"추가하지 않음",BW4)</f>
        <v>추가하지 않음</v>
      </c>
      <c r="G32" s="615"/>
      <c r="H32" s="615"/>
      <c r="I32" s="615"/>
      <c r="J32" s="615"/>
      <c r="K32" s="615"/>
      <c r="L32" s="615"/>
      <c r="M32" s="615"/>
      <c r="N32" s="615"/>
      <c r="O32" s="615"/>
      <c r="P32" s="615"/>
      <c r="Q32" s="615"/>
      <c r="R32" s="615"/>
      <c r="S32" s="615"/>
      <c r="T32" s="615"/>
      <c r="U32" s="615"/>
      <c r="V32" s="615"/>
      <c r="W32" s="621"/>
      <c r="X32" s="622">
        <f>VLOOKUP(F32,ODD!$B$3:$C$9,2,FALSE)</f>
        <v>0</v>
      </c>
      <c r="Y32" s="622"/>
      <c r="Z32" s="622"/>
      <c r="AA32" s="622"/>
      <c r="AB32" s="622"/>
      <c r="AC32" s="622"/>
      <c r="AD32" s="622"/>
      <c r="AE32" s="620">
        <v>1</v>
      </c>
      <c r="AF32" s="621"/>
      <c r="AG32" s="622">
        <f t="shared" si="7"/>
        <v>0</v>
      </c>
      <c r="AH32" s="622"/>
      <c r="AI32" s="622"/>
      <c r="AJ32" s="622"/>
      <c r="AK32" s="622"/>
      <c r="AL32" s="622"/>
      <c r="AM32" s="622"/>
      <c r="AN32" s="623"/>
      <c r="BD32" s="444"/>
      <c r="BH32" s="444"/>
      <c r="CD32" s="138" t="s">
        <v>2984</v>
      </c>
      <c r="CE32" s="138">
        <v>8</v>
      </c>
      <c r="CF32" s="472">
        <f ca="1">OFFSET('(코어)데이터'!E34,0,4*CH32)</f>
        <v>0</v>
      </c>
      <c r="CG32" s="138" t="str">
        <f ca="1">OFFSET('(코어)데이터'!G34,0,4*CH32)</f>
        <v>다크소울3</v>
      </c>
      <c r="CH32" s="138">
        <f t="shared" si="6"/>
        <v>0</v>
      </c>
    </row>
    <row r="33" spans="5:86" x14ac:dyDescent="0.35">
      <c r="E33" s="449" t="s">
        <v>897</v>
      </c>
      <c r="F33" s="620" t="str">
        <f>CS16</f>
        <v>추가하지 않음</v>
      </c>
      <c r="G33" s="615"/>
      <c r="H33" s="615"/>
      <c r="I33" s="615"/>
      <c r="J33" s="615"/>
      <c r="K33" s="615"/>
      <c r="L33" s="615"/>
      <c r="M33" s="615"/>
      <c r="N33" s="615"/>
      <c r="O33" s="615"/>
      <c r="P33" s="615"/>
      <c r="Q33" s="615"/>
      <c r="R33" s="615"/>
      <c r="S33" s="615"/>
      <c r="T33" s="615"/>
      <c r="U33" s="615"/>
      <c r="V33" s="615"/>
      <c r="W33" s="621"/>
      <c r="X33" s="622">
        <f>VLOOKUP(F33,파워서플라이!$B$3:$C$131,2,FALSE)</f>
        <v>0</v>
      </c>
      <c r="Y33" s="622"/>
      <c r="Z33" s="622"/>
      <c r="AA33" s="622"/>
      <c r="AB33" s="622"/>
      <c r="AC33" s="622"/>
      <c r="AD33" s="622"/>
      <c r="AE33" s="620">
        <v>1</v>
      </c>
      <c r="AF33" s="621"/>
      <c r="AG33" s="622">
        <f t="shared" si="7"/>
        <v>0</v>
      </c>
      <c r="AH33" s="622"/>
      <c r="AI33" s="622"/>
      <c r="AJ33" s="622"/>
      <c r="AK33" s="622"/>
      <c r="AL33" s="622"/>
      <c r="AM33" s="622"/>
      <c r="AN33" s="623"/>
      <c r="BD33" s="444"/>
      <c r="BH33" s="444"/>
      <c r="CD33" s="138" t="s">
        <v>1079</v>
      </c>
      <c r="CE33" s="138">
        <v>8</v>
      </c>
      <c r="CF33" s="472">
        <f ca="1">OFFSET('(코어)데이터'!E35,0,4*CH33)</f>
        <v>0</v>
      </c>
      <c r="CG33" s="138" t="str">
        <f ca="1">OFFSET('(코어)데이터'!G35,0,4*CH33)</f>
        <v>파크라이4:프라이멀</v>
      </c>
      <c r="CH33" s="138">
        <f t="shared" si="6"/>
        <v>0</v>
      </c>
    </row>
    <row r="34" spans="5:86" x14ac:dyDescent="0.35">
      <c r="E34" s="449" t="s">
        <v>898</v>
      </c>
      <c r="F34" s="620" t="str">
        <f>IF($CM$14,"추가하지 않음",CA4)</f>
        <v>추가하지 않음</v>
      </c>
      <c r="G34" s="615"/>
      <c r="H34" s="615"/>
      <c r="I34" s="615"/>
      <c r="J34" s="615"/>
      <c r="K34" s="615"/>
      <c r="L34" s="615"/>
      <c r="M34" s="615"/>
      <c r="N34" s="615"/>
      <c r="O34" s="615"/>
      <c r="P34" s="615"/>
      <c r="Q34" s="615"/>
      <c r="R34" s="615"/>
      <c r="S34" s="615"/>
      <c r="T34" s="615"/>
      <c r="U34" s="615"/>
      <c r="V34" s="615"/>
      <c r="W34" s="621"/>
      <c r="X34" s="622">
        <f>VLOOKUP(F34,케이스!$B$3:$C$129,2,FALSE)</f>
        <v>0</v>
      </c>
      <c r="Y34" s="622"/>
      <c r="Z34" s="622"/>
      <c r="AA34" s="622"/>
      <c r="AB34" s="622"/>
      <c r="AC34" s="622"/>
      <c r="AD34" s="622"/>
      <c r="AE34" s="620">
        <v>1</v>
      </c>
      <c r="AF34" s="621"/>
      <c r="AG34" s="622">
        <f t="shared" si="7"/>
        <v>0</v>
      </c>
      <c r="AH34" s="622"/>
      <c r="AI34" s="622"/>
      <c r="AJ34" s="622"/>
      <c r="AK34" s="622"/>
      <c r="AL34" s="622"/>
      <c r="AM34" s="622"/>
      <c r="AN34" s="623"/>
      <c r="BD34" s="444"/>
      <c r="BH34" s="444"/>
      <c r="CD34" s="138" t="s">
        <v>3034</v>
      </c>
      <c r="CE34" s="138">
        <v>8</v>
      </c>
      <c r="CF34" s="472">
        <f ca="1">OFFSET('(코어)데이터'!E36,0,4*CH34)</f>
        <v>0</v>
      </c>
      <c r="CG34" s="138" t="str">
        <f ca="1">OFFSET('(코어)데이터'!G36,0,4*CH34)</f>
        <v>퀀텀 브레이크</v>
      </c>
      <c r="CH34" s="138">
        <f t="shared" si="6"/>
        <v>0</v>
      </c>
    </row>
    <row r="35" spans="5:86" ht="16.2" thickBot="1" x14ac:dyDescent="0.4">
      <c r="E35" s="449" t="s">
        <v>899</v>
      </c>
      <c r="F35" s="620" t="str">
        <f ca="1">IF(AND($CM$4,NOT(CM14)),CB4,"기본 쿨러")</f>
        <v>기본 쿨러</v>
      </c>
      <c r="G35" s="615"/>
      <c r="H35" s="615"/>
      <c r="I35" s="615"/>
      <c r="J35" s="615"/>
      <c r="K35" s="615"/>
      <c r="L35" s="615"/>
      <c r="M35" s="615"/>
      <c r="N35" s="615"/>
      <c r="O35" s="615"/>
      <c r="P35" s="615"/>
      <c r="Q35" s="615"/>
      <c r="R35" s="615"/>
      <c r="S35" s="615"/>
      <c r="T35" s="615"/>
      <c r="U35" s="615"/>
      <c r="V35" s="615"/>
      <c r="W35" s="621"/>
      <c r="X35" s="622">
        <f ca="1">VLOOKUP(F35,CPU쿨러!$B$3:$C$32,2,FALSE)</f>
        <v>0</v>
      </c>
      <c r="Y35" s="622"/>
      <c r="Z35" s="622"/>
      <c r="AA35" s="622"/>
      <c r="AB35" s="622"/>
      <c r="AC35" s="622"/>
      <c r="AD35" s="622"/>
      <c r="AE35" s="620">
        <v>1</v>
      </c>
      <c r="AF35" s="621"/>
      <c r="AG35" s="622">
        <f t="shared" ca="1" si="7"/>
        <v>0</v>
      </c>
      <c r="AH35" s="622"/>
      <c r="AI35" s="622"/>
      <c r="AJ35" s="622"/>
      <c r="AK35" s="622"/>
      <c r="AL35" s="622"/>
      <c r="AM35" s="622"/>
      <c r="AN35" s="623"/>
      <c r="BD35" s="444"/>
      <c r="BH35" s="444"/>
      <c r="CD35" s="138" t="s">
        <v>3035</v>
      </c>
      <c r="CE35" s="138">
        <v>8</v>
      </c>
      <c r="CF35" s="472">
        <f ca="1">OFFSET('(코어)데이터'!E37,0,4*CH35)</f>
        <v>0</v>
      </c>
      <c r="CG35" s="138" t="str">
        <f ca="1">OFFSET('(코어)데이터'!G37,0,4*CH35)</f>
        <v>엑스컴2</v>
      </c>
      <c r="CH35" s="138">
        <f t="shared" si="6"/>
        <v>0</v>
      </c>
    </row>
    <row r="36" spans="5:86" ht="16.2" thickBot="1" x14ac:dyDescent="0.4">
      <c r="E36" s="430" t="s">
        <v>900</v>
      </c>
      <c r="F36" s="624">
        <f ca="1">SUM(AG26:AN35)</f>
        <v>0</v>
      </c>
      <c r="G36" s="624"/>
      <c r="H36" s="624"/>
      <c r="I36" s="624"/>
      <c r="J36" s="624"/>
      <c r="K36" s="624"/>
      <c r="L36" s="624"/>
      <c r="M36" s="624"/>
      <c r="N36" s="624"/>
      <c r="O36" s="624"/>
      <c r="P36" s="624"/>
      <c r="Q36" s="624"/>
      <c r="R36" s="624"/>
      <c r="S36" s="624"/>
      <c r="T36" s="624"/>
      <c r="U36" s="624"/>
      <c r="V36" s="624"/>
      <c r="W36" s="624"/>
      <c r="X36" s="624"/>
      <c r="Y36" s="624"/>
      <c r="Z36" s="624"/>
      <c r="AA36" s="624"/>
      <c r="AB36" s="624"/>
      <c r="AC36" s="624"/>
      <c r="AD36" s="624"/>
      <c r="AE36" s="624"/>
      <c r="AF36" s="624"/>
      <c r="AG36" s="624"/>
      <c r="AH36" s="624"/>
      <c r="AI36" s="624"/>
      <c r="AJ36" s="624"/>
      <c r="AK36" s="624"/>
      <c r="AL36" s="624"/>
      <c r="AM36" s="624"/>
      <c r="AN36" s="625"/>
      <c r="BD36" s="444"/>
      <c r="BH36" s="444"/>
      <c r="CD36" s="138" t="s">
        <v>1085</v>
      </c>
      <c r="CE36" s="138">
        <v>8</v>
      </c>
      <c r="CF36" s="472">
        <f ca="1">OFFSET('(코어)데이터'!E38,0,4*CH36)</f>
        <v>0</v>
      </c>
      <c r="CG36" s="138" t="str">
        <f ca="1">OFFSET('(코어)데이터'!G38,0,4*CH36)</f>
        <v>더 디비전</v>
      </c>
      <c r="CH36" s="138">
        <f t="shared" si="6"/>
        <v>0</v>
      </c>
    </row>
    <row r="37" spans="5:86" x14ac:dyDescent="0.35">
      <c r="BD37" s="444"/>
      <c r="BH37" s="444"/>
      <c r="CD37" s="138" t="s">
        <v>1098</v>
      </c>
      <c r="CE37" s="138">
        <v>8</v>
      </c>
      <c r="CF37" s="472">
        <f ca="1">OFFSET('(코어)데이터'!E39,0,4*CH37)</f>
        <v>0</v>
      </c>
      <c r="CG37" s="138" t="str">
        <f ca="1">OFFSET('(코어)데이터'!G39,0,4*CH37)</f>
        <v>더 위처3</v>
      </c>
      <c r="CH37" s="138">
        <f t="shared" si="6"/>
        <v>0</v>
      </c>
    </row>
    <row r="38" spans="5:86" x14ac:dyDescent="0.35">
      <c r="BD38" s="444"/>
      <c r="BH38" s="444"/>
      <c r="CD38" s="138" t="s">
        <v>1091</v>
      </c>
      <c r="CE38" s="138">
        <v>8</v>
      </c>
      <c r="CF38" s="472">
        <f ca="1">OFFSET('(코어)데이터'!E40,0,4*CH38)</f>
        <v>0</v>
      </c>
      <c r="CG38" s="138" t="str">
        <f ca="1">OFFSET('(코어)데이터'!G40,0,4*CH38)</f>
        <v>어쌔신크리드:신디케이트</v>
      </c>
      <c r="CH38" s="138">
        <f t="shared" si="6"/>
        <v>0</v>
      </c>
    </row>
    <row r="39" spans="5:86" x14ac:dyDescent="0.35">
      <c r="BD39" s="444"/>
      <c r="BH39" s="444"/>
      <c r="CD39" s="138" t="s">
        <v>1089</v>
      </c>
      <c r="CE39" s="138">
        <v>8</v>
      </c>
      <c r="CF39" s="472">
        <f ca="1">OFFSET('(코어)데이터'!E41,0,4*CH39)</f>
        <v>0</v>
      </c>
      <c r="CG39" s="138" t="str">
        <f ca="1">OFFSET('(코어)데이터'!G41,0,4*CH39)</f>
        <v>문명5:비욘드 어스</v>
      </c>
      <c r="CH39" s="138">
        <f t="shared" si="6"/>
        <v>0</v>
      </c>
    </row>
    <row r="40" spans="5:86" x14ac:dyDescent="0.35">
      <c r="BD40" s="444"/>
      <c r="BH40" s="444"/>
      <c r="CD40" s="138" t="s">
        <v>1087</v>
      </c>
      <c r="CE40" s="138">
        <v>8</v>
      </c>
      <c r="CF40" s="472">
        <f ca="1">OFFSET('(코어)데이터'!E42,0,4*CH40)</f>
        <v>0</v>
      </c>
      <c r="CG40" s="138" t="str">
        <f ca="1">OFFSET('(코어)데이터'!G42,0,4*CH40)</f>
        <v>컴퍼니 오브 히어로즈 2</v>
      </c>
      <c r="CH40" s="138">
        <f t="shared" si="6"/>
        <v>0</v>
      </c>
    </row>
    <row r="41" spans="5:86" x14ac:dyDescent="0.35">
      <c r="BD41" s="444"/>
      <c r="BH41" s="444"/>
      <c r="CD41" s="138" t="s">
        <v>1225</v>
      </c>
      <c r="CE41" s="138">
        <v>8</v>
      </c>
      <c r="CF41" s="472">
        <f ca="1">OFFSET('(코어)데이터'!E43,0,4*CH41)</f>
        <v>0</v>
      </c>
      <c r="CG41" s="138" t="str">
        <f ca="1">OFFSET('(코어)데이터'!G43,0,4*CH41)</f>
        <v>토탈워 : 아틸라</v>
      </c>
      <c r="CH41" s="138">
        <f t="shared" si="6"/>
        <v>0</v>
      </c>
    </row>
    <row r="42" spans="5:86" x14ac:dyDescent="0.35">
      <c r="BD42" s="444"/>
      <c r="BH42" s="444"/>
      <c r="CD42" s="138" t="s">
        <v>2985</v>
      </c>
      <c r="CE42" s="138">
        <v>8</v>
      </c>
      <c r="CF42" s="472">
        <f ca="1">OFFSET('(코어)데이터'!E44,0,4*CH42)</f>
        <v>0</v>
      </c>
      <c r="CG42" s="138" t="str">
        <f ca="1">OFFSET('(코어)데이터'!G44,0,4*CH42)</f>
        <v>유로트럭2</v>
      </c>
      <c r="CH42" s="138">
        <f t="shared" si="6"/>
        <v>0</v>
      </c>
    </row>
    <row r="43" spans="5:86" x14ac:dyDescent="0.35">
      <c r="CD43" s="138" t="s">
        <v>3082</v>
      </c>
      <c r="CE43" s="138">
        <v>4</v>
      </c>
      <c r="CF43" s="472">
        <f ca="1">OFFSET('(코어)데이터'!E45,0,4*CH43)</f>
        <v>0</v>
      </c>
      <c r="CG43" s="138" t="str">
        <f ca="1">OFFSET('(코어)데이터'!G45,0,4*CH43)</f>
        <v>ARK: Survival Evolved</v>
      </c>
      <c r="CH43" s="138">
        <f t="shared" si="6"/>
        <v>0</v>
      </c>
    </row>
    <row r="44" spans="5:86" x14ac:dyDescent="0.35">
      <c r="CD44" s="138" t="s">
        <v>3155</v>
      </c>
      <c r="CE44" s="468">
        <f>MAX(CE4:CE43)</f>
        <v>8</v>
      </c>
      <c r="CF44" s="468">
        <f ca="1">MAX(CF4:CF43)</f>
        <v>0</v>
      </c>
      <c r="CG44" s="468">
        <f ca="1">MAX(CG4:CG43)</f>
        <v>0</v>
      </c>
      <c r="CH44" s="138" t="s">
        <v>3184</v>
      </c>
    </row>
    <row r="45" spans="5:86" x14ac:dyDescent="0.35">
      <c r="CH45" s="468">
        <f>SUM(CH4:CH43)</f>
        <v>0</v>
      </c>
    </row>
  </sheetData>
  <mergeCells count="90">
    <mergeCell ref="AD19:AN19"/>
    <mergeCell ref="AD20:AN20"/>
    <mergeCell ref="AD21:AN21"/>
    <mergeCell ref="AD22:AN22"/>
    <mergeCell ref="AD23:AN23"/>
    <mergeCell ref="AD14:AN14"/>
    <mergeCell ref="AD15:AN15"/>
    <mergeCell ref="AD16:AN16"/>
    <mergeCell ref="AD17:AN17"/>
    <mergeCell ref="AD18:AN18"/>
    <mergeCell ref="AD9:AN9"/>
    <mergeCell ref="AD10:AN10"/>
    <mergeCell ref="AD11:AN11"/>
    <mergeCell ref="AD12:AN12"/>
    <mergeCell ref="AD13:AN13"/>
    <mergeCell ref="AD4:AN4"/>
    <mergeCell ref="AD5:AN5"/>
    <mergeCell ref="AD6:AN6"/>
    <mergeCell ref="AD7:AN7"/>
    <mergeCell ref="AD8:AN8"/>
    <mergeCell ref="K19:V19"/>
    <mergeCell ref="K20:V20"/>
    <mergeCell ref="K21:V21"/>
    <mergeCell ref="K22:V22"/>
    <mergeCell ref="K23:V23"/>
    <mergeCell ref="K14:V14"/>
    <mergeCell ref="K15:V15"/>
    <mergeCell ref="K16:V16"/>
    <mergeCell ref="K17:V17"/>
    <mergeCell ref="K18:V18"/>
    <mergeCell ref="K9:V9"/>
    <mergeCell ref="K10:V10"/>
    <mergeCell ref="K11:V11"/>
    <mergeCell ref="K12:V12"/>
    <mergeCell ref="K13:V13"/>
    <mergeCell ref="K4:V4"/>
    <mergeCell ref="K5:V5"/>
    <mergeCell ref="K6:V6"/>
    <mergeCell ref="K7:V7"/>
    <mergeCell ref="K8:V8"/>
    <mergeCell ref="F33:W33"/>
    <mergeCell ref="X33:AD33"/>
    <mergeCell ref="AE33:AF33"/>
    <mergeCell ref="AG33:AN33"/>
    <mergeCell ref="F36:AN36"/>
    <mergeCell ref="F34:W34"/>
    <mergeCell ref="X34:AD34"/>
    <mergeCell ref="AE34:AF34"/>
    <mergeCell ref="AG34:AN34"/>
    <mergeCell ref="F35:W35"/>
    <mergeCell ref="X35:AD35"/>
    <mergeCell ref="AE35:AF35"/>
    <mergeCell ref="AG35:AN35"/>
    <mergeCell ref="F31:W31"/>
    <mergeCell ref="X31:AD31"/>
    <mergeCell ref="AE31:AF31"/>
    <mergeCell ref="AG31:AN31"/>
    <mergeCell ref="F32:W32"/>
    <mergeCell ref="X32:AD32"/>
    <mergeCell ref="AE32:AF32"/>
    <mergeCell ref="AG32:AN32"/>
    <mergeCell ref="F29:W29"/>
    <mergeCell ref="X29:AD29"/>
    <mergeCell ref="AE29:AF29"/>
    <mergeCell ref="AG29:AN29"/>
    <mergeCell ref="F30:W30"/>
    <mergeCell ref="X30:AD30"/>
    <mergeCell ref="AE30:AF30"/>
    <mergeCell ref="AG30:AN30"/>
    <mergeCell ref="F27:W27"/>
    <mergeCell ref="X27:AD27"/>
    <mergeCell ref="AE27:AF27"/>
    <mergeCell ref="AG27:AN27"/>
    <mergeCell ref="F28:W28"/>
    <mergeCell ref="X28:AD28"/>
    <mergeCell ref="AE28:AF28"/>
    <mergeCell ref="AG28:AN28"/>
    <mergeCell ref="F25:W25"/>
    <mergeCell ref="X25:AD25"/>
    <mergeCell ref="AE25:AF25"/>
    <mergeCell ref="AG25:AN25"/>
    <mergeCell ref="F26:W26"/>
    <mergeCell ref="X26:AD26"/>
    <mergeCell ref="AE26:AF26"/>
    <mergeCell ref="AG26:AN26"/>
    <mergeCell ref="E2:AN3"/>
    <mergeCell ref="BA1:CT1"/>
    <mergeCell ref="CJ2:CT2"/>
    <mergeCell ref="BA2:CC2"/>
    <mergeCell ref="CD2:CI2"/>
  </mergeCells>
  <phoneticPr fontId="4" type="noConversion"/>
  <conditionalFormatting sqref="K4 AD4">
    <cfRule type="cellIs" dxfId="346" priority="33" operator="equal">
      <formula>"풀옵"</formula>
    </cfRule>
    <cfRule type="cellIs" dxfId="345" priority="34" operator="equal">
      <formula>"최상"</formula>
    </cfRule>
    <cfRule type="cellIs" dxfId="344" priority="35" operator="equal">
      <formula>"상"</formula>
    </cfRule>
    <cfRule type="cellIs" dxfId="343" priority="36" operator="equal">
      <formula>"중상"</formula>
    </cfRule>
    <cfRule type="cellIs" dxfId="342" priority="37" operator="equal">
      <formula>"중"</formula>
    </cfRule>
    <cfRule type="cellIs" dxfId="341" priority="38" operator="equal">
      <formula>"중하"</formula>
    </cfRule>
    <cfRule type="cellIs" dxfId="340" priority="39" operator="equal">
      <formula>"하"</formula>
    </cfRule>
    <cfRule type="cellIs" dxfId="339" priority="40" operator="equal">
      <formula>"최하"</formula>
    </cfRule>
  </conditionalFormatting>
  <conditionalFormatting sqref="K5:K23">
    <cfRule type="cellIs" dxfId="338" priority="9" operator="equal">
      <formula>"풀옵"</formula>
    </cfRule>
    <cfRule type="cellIs" dxfId="337" priority="10" operator="equal">
      <formula>"최상"</formula>
    </cfRule>
    <cfRule type="cellIs" dxfId="336" priority="11" operator="equal">
      <formula>"상"</formula>
    </cfRule>
    <cfRule type="cellIs" dxfId="335" priority="12" operator="equal">
      <formula>"중상"</formula>
    </cfRule>
    <cfRule type="cellIs" dxfId="334" priority="13" operator="equal">
      <formula>"중"</formula>
    </cfRule>
    <cfRule type="cellIs" dxfId="333" priority="14" operator="equal">
      <formula>"중하"</formula>
    </cfRule>
    <cfRule type="cellIs" dxfId="332" priority="15" operator="equal">
      <formula>"하"</formula>
    </cfRule>
    <cfRule type="cellIs" dxfId="331" priority="16" operator="equal">
      <formula>"최하"</formula>
    </cfRule>
  </conditionalFormatting>
  <conditionalFormatting sqref="AD5:AD23">
    <cfRule type="cellIs" dxfId="330" priority="1" operator="equal">
      <formula>"풀옵"</formula>
    </cfRule>
    <cfRule type="cellIs" dxfId="329" priority="2" operator="equal">
      <formula>"최상"</formula>
    </cfRule>
    <cfRule type="cellIs" dxfId="328" priority="3" operator="equal">
      <formula>"상"</formula>
    </cfRule>
    <cfRule type="cellIs" dxfId="327" priority="4" operator="equal">
      <formula>"중상"</formula>
    </cfRule>
    <cfRule type="cellIs" dxfId="326" priority="5" operator="equal">
      <formula>"중"</formula>
    </cfRule>
    <cfRule type="cellIs" dxfId="325" priority="6" operator="equal">
      <formula>"중하"</formula>
    </cfRule>
    <cfRule type="cellIs" dxfId="324" priority="7" operator="equal">
      <formula>"하"</formula>
    </cfRule>
    <cfRule type="cellIs" dxfId="323" priority="8" operator="equal">
      <formula>"최하"</formula>
    </cfRule>
  </conditionalFormatting>
  <dataValidations count="1">
    <dataValidation type="list" allowBlank="1" showInputMessage="1" showErrorMessage="1" sqref="K4:K23 AD4:AD23">
      <formula1>$BA$3:$BA$11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B2:F20"/>
  <sheetViews>
    <sheetView workbookViewId="0">
      <selection activeCell="B15" sqref="B15"/>
    </sheetView>
  </sheetViews>
  <sheetFormatPr defaultColWidth="2.5" defaultRowHeight="15" customHeight="1" x14ac:dyDescent="0.4"/>
  <cols>
    <col min="1" max="1" width="2.5" style="93"/>
    <col min="2" max="2" width="11" style="93" bestFit="1" customWidth="1"/>
    <col min="3" max="6" width="13" style="93" bestFit="1" customWidth="1"/>
    <col min="7" max="16384" width="2.5" style="93"/>
  </cols>
  <sheetData>
    <row r="2" spans="2:6" ht="15" customHeight="1" x14ac:dyDescent="0.4">
      <c r="C2" s="635" t="s">
        <v>1106</v>
      </c>
      <c r="D2" s="635"/>
      <c r="E2" s="635"/>
      <c r="F2" s="635"/>
    </row>
    <row r="3" spans="2:6" ht="15" customHeight="1" x14ac:dyDescent="0.4">
      <c r="C3" s="93">
        <v>1</v>
      </c>
      <c r="D3" s="93">
        <v>2</v>
      </c>
      <c r="E3" s="93">
        <v>3</v>
      </c>
      <c r="F3" s="93">
        <v>4</v>
      </c>
    </row>
    <row r="4" spans="2:6" ht="15" customHeight="1" x14ac:dyDescent="0.4">
      <c r="B4" s="93" t="s">
        <v>1063</v>
      </c>
      <c r="C4" s="429" t="s">
        <v>3050</v>
      </c>
      <c r="D4" s="425" t="s">
        <v>3044</v>
      </c>
      <c r="E4" s="93" t="s">
        <v>1322</v>
      </c>
      <c r="F4" s="93" t="s">
        <v>1322</v>
      </c>
    </row>
    <row r="5" spans="2:6" ht="15" customHeight="1" x14ac:dyDescent="0.4">
      <c r="B5" s="93" t="s">
        <v>1107</v>
      </c>
      <c r="C5" s="429" t="s">
        <v>3043</v>
      </c>
      <c r="D5" s="425" t="s">
        <v>3044</v>
      </c>
      <c r="E5" s="93" t="s">
        <v>1322</v>
      </c>
      <c r="F5" s="93" t="s">
        <v>1322</v>
      </c>
    </row>
    <row r="6" spans="2:6" ht="15" customHeight="1" x14ac:dyDescent="0.4">
      <c r="B6" s="93" t="s">
        <v>1108</v>
      </c>
      <c r="C6" s="429" t="s">
        <v>3043</v>
      </c>
      <c r="D6" s="425" t="s">
        <v>3045</v>
      </c>
      <c r="E6" s="93" t="s">
        <v>1322</v>
      </c>
      <c r="F6" s="93" t="s">
        <v>1322</v>
      </c>
    </row>
    <row r="7" spans="2:6" ht="15" customHeight="1" x14ac:dyDescent="0.4">
      <c r="B7" s="93" t="s">
        <v>1109</v>
      </c>
      <c r="C7" s="429" t="s">
        <v>3051</v>
      </c>
      <c r="D7" s="425" t="s">
        <v>3046</v>
      </c>
      <c r="E7" s="93" t="s">
        <v>1321</v>
      </c>
      <c r="F7" s="93" t="s">
        <v>1321</v>
      </c>
    </row>
    <row r="8" spans="2:6" ht="15" customHeight="1" x14ac:dyDescent="0.4">
      <c r="B8" s="93" t="s">
        <v>1110</v>
      </c>
      <c r="C8" s="429" t="s">
        <v>3050</v>
      </c>
      <c r="D8" s="425" t="s">
        <v>3047</v>
      </c>
      <c r="E8" s="93" t="s">
        <v>1322</v>
      </c>
      <c r="F8" s="93" t="s">
        <v>1322</v>
      </c>
    </row>
    <row r="9" spans="2:6" ht="15" customHeight="1" x14ac:dyDescent="0.4">
      <c r="B9" s="93" t="s">
        <v>1111</v>
      </c>
      <c r="C9" s="429" t="s">
        <v>3052</v>
      </c>
      <c r="D9" s="425" t="s">
        <v>3044</v>
      </c>
      <c r="E9" s="93" t="s">
        <v>1322</v>
      </c>
      <c r="F9" s="93" t="s">
        <v>1322</v>
      </c>
    </row>
    <row r="10" spans="2:6" ht="15" customHeight="1" x14ac:dyDescent="0.4">
      <c r="B10" s="93" t="s">
        <v>1112</v>
      </c>
      <c r="C10" s="429" t="s">
        <v>3050</v>
      </c>
      <c r="D10" s="425" t="s">
        <v>3047</v>
      </c>
      <c r="E10" s="93" t="s">
        <v>1322</v>
      </c>
      <c r="F10" s="93" t="s">
        <v>1322</v>
      </c>
    </row>
    <row r="11" spans="2:6" ht="15" customHeight="1" x14ac:dyDescent="0.4">
      <c r="B11" s="93" t="s">
        <v>1113</v>
      </c>
      <c r="C11" s="429" t="s">
        <v>3043</v>
      </c>
      <c r="D11" s="425" t="s">
        <v>3047</v>
      </c>
      <c r="E11" s="93" t="s">
        <v>1322</v>
      </c>
      <c r="F11" s="93" t="s">
        <v>1322</v>
      </c>
    </row>
    <row r="12" spans="2:6" ht="15" customHeight="1" x14ac:dyDescent="0.4">
      <c r="B12" s="93" t="s">
        <v>1114</v>
      </c>
      <c r="C12" s="429" t="s">
        <v>3050</v>
      </c>
      <c r="D12" s="425" t="s">
        <v>3045</v>
      </c>
      <c r="E12" s="93" t="s">
        <v>1322</v>
      </c>
      <c r="F12" s="93" t="s">
        <v>1322</v>
      </c>
    </row>
    <row r="13" spans="2:6" ht="15" customHeight="1" x14ac:dyDescent="0.4">
      <c r="B13" s="94" t="s">
        <v>1115</v>
      </c>
      <c r="C13" s="429" t="s">
        <v>3042</v>
      </c>
      <c r="D13" s="425" t="s">
        <v>3048</v>
      </c>
      <c r="E13" s="93" t="s">
        <v>1325</v>
      </c>
      <c r="F13" s="93" t="s">
        <v>1325</v>
      </c>
    </row>
    <row r="14" spans="2:6" ht="15" customHeight="1" x14ac:dyDescent="0.4">
      <c r="C14" s="429"/>
    </row>
    <row r="15" spans="2:6" ht="15" customHeight="1" x14ac:dyDescent="0.4">
      <c r="B15" s="93" t="s">
        <v>1116</v>
      </c>
      <c r="C15" s="429" t="s">
        <v>3043</v>
      </c>
      <c r="D15" s="93" t="s">
        <v>1322</v>
      </c>
      <c r="E15" s="93" t="s">
        <v>1322</v>
      </c>
      <c r="F15" s="93" t="s">
        <v>1322</v>
      </c>
    </row>
    <row r="16" spans="2:6" ht="15" customHeight="1" x14ac:dyDescent="0.4">
      <c r="B16" s="93" t="s">
        <v>1117</v>
      </c>
      <c r="C16" s="429" t="s">
        <v>3047</v>
      </c>
      <c r="D16" s="93" t="s">
        <v>1322</v>
      </c>
      <c r="E16" s="93" t="s">
        <v>1322</v>
      </c>
      <c r="F16" s="93" t="s">
        <v>1322</v>
      </c>
    </row>
    <row r="17" spans="2:6" ht="15" customHeight="1" x14ac:dyDescent="0.4">
      <c r="B17" s="93" t="s">
        <v>1118</v>
      </c>
      <c r="C17" s="429" t="s">
        <v>3047</v>
      </c>
      <c r="D17" s="93" t="s">
        <v>1322</v>
      </c>
      <c r="E17" s="93" t="s">
        <v>1322</v>
      </c>
      <c r="F17" s="93" t="s">
        <v>1322</v>
      </c>
    </row>
    <row r="18" spans="2:6" ht="15" customHeight="1" x14ac:dyDescent="0.4">
      <c r="B18" s="93" t="s">
        <v>1119</v>
      </c>
      <c r="C18" s="429" t="s">
        <v>3052</v>
      </c>
      <c r="D18" s="93" t="s">
        <v>1322</v>
      </c>
      <c r="E18" s="93" t="s">
        <v>1322</v>
      </c>
      <c r="F18" s="93" t="s">
        <v>1322</v>
      </c>
    </row>
    <row r="19" spans="2:6" ht="15" customHeight="1" x14ac:dyDescent="0.4">
      <c r="B19" s="94" t="s">
        <v>154</v>
      </c>
    </row>
    <row r="20" spans="2:6" ht="15" customHeight="1" x14ac:dyDescent="0.4">
      <c r="B20" s="94" t="s">
        <v>1120</v>
      </c>
    </row>
  </sheetData>
  <mergeCells count="1">
    <mergeCell ref="C2:F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39997558519241921"/>
  </sheetPr>
  <dimension ref="D1:DA252"/>
  <sheetViews>
    <sheetView showGridLines="0" showRowColHeaders="0" topLeftCell="A4" zoomScaleNormal="100" workbookViewId="0">
      <selection activeCell="E20" sqref="E20:V20"/>
    </sheetView>
  </sheetViews>
  <sheetFormatPr defaultColWidth="9" defaultRowHeight="15.6" x14ac:dyDescent="0.4"/>
  <cols>
    <col min="1" max="3" width="2.5" style="55" customWidth="1"/>
    <col min="4" max="4" width="9.8984375" style="55" bestFit="1" customWidth="1"/>
    <col min="5" max="39" width="2.5" style="55" customWidth="1"/>
    <col min="40" max="40" width="1.8984375" style="55" customWidth="1"/>
    <col min="41" max="41" width="23.796875" style="55" bestFit="1" customWidth="1"/>
    <col min="42" max="46" width="2.5" style="55" customWidth="1"/>
    <col min="47" max="53" width="2.5" style="235" customWidth="1"/>
    <col min="54" max="58" width="2.5" style="55" customWidth="1"/>
    <col min="59" max="59" width="2.5" style="55" hidden="1" customWidth="1"/>
    <col min="60" max="60" width="3.796875" style="55" hidden="1" customWidth="1"/>
    <col min="61" max="61" width="4.19921875" style="55" hidden="1" customWidth="1"/>
    <col min="62" max="62" width="2.5" style="55" hidden="1" customWidth="1"/>
    <col min="63" max="63" width="12.3984375" style="55" hidden="1" customWidth="1"/>
    <col min="64" max="64" width="2.296875" style="55" hidden="1" customWidth="1"/>
    <col min="65" max="65" width="2.5" style="55" hidden="1" customWidth="1"/>
    <col min="66" max="66" width="9.8984375" style="55" hidden="1" customWidth="1"/>
    <col min="67" max="67" width="32.19921875" style="55" hidden="1" customWidth="1"/>
    <col min="68" max="68" width="6.796875" style="55" hidden="1" customWidth="1"/>
    <col min="69" max="69" width="5.8984375" style="233" hidden="1" customWidth="1"/>
    <col min="70" max="70" width="5.8984375" style="55" hidden="1" customWidth="1"/>
    <col min="71" max="71" width="6.796875" style="55" hidden="1" customWidth="1"/>
    <col min="72" max="72" width="4.69921875" style="55" hidden="1" customWidth="1"/>
    <col min="73" max="73" width="6" style="233" hidden="1" customWidth="1"/>
    <col min="74" max="74" width="6.59765625" style="233" hidden="1" customWidth="1"/>
    <col min="75" max="75" width="4.3984375" style="233" hidden="1" customWidth="1"/>
    <col min="76" max="76" width="6" style="233" hidden="1" customWidth="1"/>
    <col min="77" max="77" width="9.8984375" style="55" hidden="1" customWidth="1"/>
    <col min="78" max="78" width="12.5" style="55" hidden="1" customWidth="1"/>
    <col min="79" max="79" width="12.69921875" style="55" hidden="1" customWidth="1"/>
    <col min="80" max="80" width="31.296875" style="55" hidden="1" customWidth="1"/>
    <col min="81" max="81" width="11.69921875" style="55" hidden="1" customWidth="1"/>
    <col min="82" max="82" width="2.59765625" style="55" hidden="1" customWidth="1"/>
    <col min="83" max="83" width="4.796875" style="55" hidden="1" customWidth="1"/>
    <col min="84" max="84" width="8.5" style="55" hidden="1" customWidth="1"/>
    <col min="85" max="85" width="27.69921875" style="233" hidden="1" customWidth="1"/>
    <col min="86" max="86" width="3.796875" style="55" hidden="1" customWidth="1"/>
    <col min="87" max="87" width="6.796875" style="55" hidden="1" customWidth="1"/>
    <col min="88" max="88" width="16.19921875" style="55" hidden="1" customWidth="1"/>
    <col min="89" max="89" width="6.5" style="55" hidden="1" customWidth="1"/>
    <col min="90" max="90" width="7.5" style="55" hidden="1" customWidth="1"/>
    <col min="91" max="91" width="2.5" style="55" hidden="1" customWidth="1"/>
    <col min="92" max="92" width="14.3984375" style="57" hidden="1" customWidth="1"/>
    <col min="93" max="93" width="58" style="57" hidden="1" customWidth="1"/>
    <col min="94" max="94" width="54.296875" style="57" hidden="1" customWidth="1"/>
    <col min="95" max="95" width="41.8984375" style="57" hidden="1" customWidth="1"/>
    <col min="96" max="96" width="60.796875" style="57" hidden="1" customWidth="1"/>
    <col min="97" max="97" width="45.796875" style="57" hidden="1" customWidth="1"/>
    <col min="98" max="98" width="34.296875" style="57" hidden="1" customWidth="1"/>
    <col min="99" max="99" width="33.09765625" style="57" hidden="1" customWidth="1"/>
    <col min="100" max="100" width="55.09765625" style="57" hidden="1" customWidth="1"/>
    <col min="101" max="101" width="47" style="57" hidden="1" customWidth="1"/>
    <col min="102" max="102" width="60.8984375" style="57" hidden="1" customWidth="1"/>
    <col min="103" max="103" width="46.09765625" style="57" hidden="1" customWidth="1"/>
    <col min="104" max="104" width="44.296875" style="57" hidden="1" customWidth="1"/>
    <col min="105" max="105" width="42.59765625" style="57" hidden="1" customWidth="1"/>
    <col min="106" max="106" width="2.5" style="55" customWidth="1"/>
    <col min="107" max="107" width="5.19921875" style="55" customWidth="1"/>
    <col min="108" max="16384" width="9" style="55"/>
  </cols>
  <sheetData>
    <row r="1" spans="4:105" x14ac:dyDescent="0.4">
      <c r="BI1" s="55">
        <v>0</v>
      </c>
      <c r="BN1" s="613" t="s">
        <v>915</v>
      </c>
      <c r="BO1" s="613"/>
      <c r="BP1" s="613"/>
      <c r="BQ1" s="613"/>
      <c r="BR1" s="613"/>
      <c r="BS1" s="613"/>
      <c r="BT1" s="613"/>
      <c r="BU1" s="613"/>
      <c r="BV1" s="613"/>
      <c r="BW1" s="613"/>
      <c r="BX1" s="613"/>
      <c r="BY1" s="613"/>
      <c r="BZ1" s="613"/>
      <c r="CA1" s="613"/>
      <c r="CB1" s="613"/>
      <c r="CC1" s="613"/>
      <c r="CD1" s="613"/>
      <c r="CE1" s="613"/>
      <c r="CF1" s="613"/>
      <c r="CG1" s="613"/>
      <c r="CH1" s="613"/>
      <c r="CI1" s="613"/>
      <c r="CJ1" s="613"/>
      <c r="CK1" s="613"/>
      <c r="CL1" s="613"/>
      <c r="CM1" s="613"/>
      <c r="CN1" s="613"/>
      <c r="CO1" s="613"/>
      <c r="CP1" s="613"/>
      <c r="CQ1" s="613"/>
      <c r="CR1" s="613"/>
      <c r="CS1" s="613"/>
      <c r="CT1" s="613"/>
      <c r="CU1" s="613"/>
      <c r="CV1" s="613"/>
      <c r="CW1" s="613"/>
      <c r="CX1" s="613"/>
      <c r="CY1" s="613"/>
      <c r="CZ1" s="613"/>
      <c r="DA1" s="613"/>
    </row>
    <row r="2" spans="4:105" ht="16.2" thickBot="1" x14ac:dyDescent="0.45">
      <c r="BI2" s="55">
        <v>1</v>
      </c>
      <c r="BN2" s="613"/>
      <c r="BO2" s="613"/>
      <c r="BP2" s="613"/>
      <c r="BQ2" s="613"/>
      <c r="BR2" s="613"/>
      <c r="BS2" s="613"/>
      <c r="BT2" s="613"/>
      <c r="BU2" s="613"/>
      <c r="BV2" s="613"/>
      <c r="BW2" s="613"/>
      <c r="BX2" s="613"/>
      <c r="BY2" s="613"/>
      <c r="BZ2" s="613"/>
      <c r="CA2" s="613"/>
      <c r="CB2" s="613"/>
      <c r="CC2" s="613"/>
      <c r="CD2" s="613"/>
      <c r="CE2" s="613"/>
      <c r="CF2" s="613"/>
      <c r="CG2" s="613"/>
      <c r="CH2" s="613"/>
      <c r="CI2" s="613"/>
      <c r="CJ2" s="613"/>
      <c r="CK2" s="613"/>
      <c r="CL2" s="613"/>
      <c r="CM2" s="613"/>
      <c r="CN2" s="613"/>
      <c r="CO2" s="613"/>
      <c r="CP2" s="613"/>
      <c r="CQ2" s="613"/>
      <c r="CR2" s="613"/>
      <c r="CS2" s="613"/>
      <c r="CT2" s="613"/>
      <c r="CU2" s="613"/>
      <c r="CV2" s="613"/>
      <c r="CW2" s="613"/>
      <c r="CX2" s="613"/>
      <c r="CY2" s="613"/>
      <c r="CZ2" s="613"/>
      <c r="DA2" s="613"/>
    </row>
    <row r="3" spans="4:105" ht="16.5" customHeight="1" x14ac:dyDescent="0.4">
      <c r="D3" s="661" t="s">
        <v>3177</v>
      </c>
      <c r="E3" s="662"/>
      <c r="F3" s="662"/>
      <c r="G3" s="662"/>
      <c r="H3" s="662"/>
      <c r="I3" s="662"/>
      <c r="J3" s="662"/>
      <c r="K3" s="662"/>
      <c r="L3" s="662"/>
      <c r="M3" s="662"/>
      <c r="N3" s="662"/>
      <c r="O3" s="662"/>
      <c r="P3" s="662"/>
      <c r="Q3" s="662"/>
      <c r="R3" s="662"/>
      <c r="S3" s="662"/>
      <c r="T3" s="662"/>
      <c r="U3" s="662"/>
      <c r="V3" s="662"/>
      <c r="W3" s="662"/>
      <c r="X3" s="662"/>
      <c r="Y3" s="662"/>
      <c r="Z3" s="662"/>
      <c r="AA3" s="662"/>
      <c r="AB3" s="662"/>
      <c r="AC3" s="662"/>
      <c r="AD3" s="662"/>
      <c r="AE3" s="662"/>
      <c r="AF3" s="662"/>
      <c r="AG3" s="662"/>
      <c r="AH3" s="662"/>
      <c r="AI3" s="662"/>
      <c r="AJ3" s="662"/>
      <c r="AK3" s="662"/>
      <c r="AL3" s="662"/>
      <c r="AM3" s="663"/>
      <c r="BI3" s="55">
        <v>2</v>
      </c>
      <c r="BN3" s="614" t="s">
        <v>916</v>
      </c>
      <c r="BO3" s="614"/>
      <c r="BP3" s="614"/>
      <c r="BQ3" s="614"/>
      <c r="BR3" s="614"/>
      <c r="BS3" s="614"/>
      <c r="BT3" s="614"/>
      <c r="BU3" s="614"/>
      <c r="BV3" s="614"/>
      <c r="BW3" s="614"/>
      <c r="BX3" s="614"/>
      <c r="BY3" s="614"/>
      <c r="BZ3" s="614"/>
      <c r="CA3" s="614"/>
      <c r="CB3" s="614"/>
      <c r="CC3" s="614"/>
      <c r="CD3" s="614"/>
      <c r="CE3" s="614"/>
      <c r="CF3" s="614"/>
      <c r="CG3" s="614"/>
      <c r="CH3" s="614"/>
      <c r="CI3" s="614"/>
      <c r="CJ3" s="614"/>
      <c r="CK3" s="614"/>
      <c r="CL3" s="614"/>
      <c r="CN3" s="682" t="s">
        <v>917</v>
      </c>
      <c r="CO3" s="682"/>
      <c r="CP3" s="682"/>
      <c r="CQ3" s="682"/>
      <c r="CR3" s="682"/>
      <c r="CS3" s="682"/>
      <c r="CT3" s="682"/>
      <c r="CU3" s="682"/>
      <c r="CV3" s="682"/>
      <c r="CW3" s="682"/>
      <c r="CX3" s="682"/>
      <c r="CY3" s="682"/>
      <c r="CZ3" s="682"/>
      <c r="DA3" s="682"/>
    </row>
    <row r="4" spans="4:105" x14ac:dyDescent="0.4">
      <c r="D4" s="664"/>
      <c r="E4" s="665"/>
      <c r="F4" s="665"/>
      <c r="G4" s="665"/>
      <c r="H4" s="665"/>
      <c r="I4" s="665"/>
      <c r="J4" s="665"/>
      <c r="K4" s="665"/>
      <c r="L4" s="665"/>
      <c r="M4" s="665"/>
      <c r="N4" s="665"/>
      <c r="O4" s="665"/>
      <c r="P4" s="665"/>
      <c r="Q4" s="665"/>
      <c r="R4" s="665"/>
      <c r="S4" s="665"/>
      <c r="T4" s="665"/>
      <c r="U4" s="665"/>
      <c r="V4" s="665"/>
      <c r="W4" s="665"/>
      <c r="X4" s="665"/>
      <c r="Y4" s="665"/>
      <c r="Z4" s="665"/>
      <c r="AA4" s="665"/>
      <c r="AB4" s="665"/>
      <c r="AC4" s="665"/>
      <c r="AD4" s="665"/>
      <c r="AE4" s="665"/>
      <c r="AF4" s="665"/>
      <c r="AG4" s="665"/>
      <c r="AH4" s="665"/>
      <c r="AI4" s="665"/>
      <c r="AJ4" s="665"/>
      <c r="AK4" s="665"/>
      <c r="AL4" s="665"/>
      <c r="AM4" s="666"/>
      <c r="BI4" s="55">
        <v>3</v>
      </c>
      <c r="BN4" s="56"/>
      <c r="BO4" s="56" t="s">
        <v>1016</v>
      </c>
      <c r="BP4" s="56" t="s">
        <v>1017</v>
      </c>
      <c r="BQ4" s="56" t="s">
        <v>1404</v>
      </c>
      <c r="BR4" s="56" t="s">
        <v>1298</v>
      </c>
      <c r="BS4" s="56" t="s">
        <v>1405</v>
      </c>
      <c r="BT4" s="56" t="s">
        <v>1406</v>
      </c>
      <c r="BU4" s="56" t="s">
        <v>1317</v>
      </c>
      <c r="BV4" s="56" t="s">
        <v>1318</v>
      </c>
      <c r="BW4" s="56" t="s">
        <v>1319</v>
      </c>
      <c r="BX4" s="56" t="s">
        <v>1320</v>
      </c>
      <c r="BY4" s="56" t="s">
        <v>1019</v>
      </c>
      <c r="BZ4" s="56" t="s">
        <v>1020</v>
      </c>
      <c r="CA4" s="56" t="s">
        <v>1021</v>
      </c>
      <c r="CB4" s="56" t="s">
        <v>1022</v>
      </c>
      <c r="CC4" s="56" t="s">
        <v>1556</v>
      </c>
      <c r="CD4" s="56"/>
      <c r="CE4" s="56" t="s">
        <v>1018</v>
      </c>
      <c r="CF4" s="56" t="s">
        <v>1023</v>
      </c>
      <c r="CG4" s="56"/>
      <c r="CH4" s="56"/>
      <c r="CI4" s="56" t="s">
        <v>1027</v>
      </c>
      <c r="CJ4" s="56" t="s">
        <v>1028</v>
      </c>
      <c r="CK4" s="65">
        <v>0.8</v>
      </c>
      <c r="CL4" s="65">
        <v>0.9</v>
      </c>
      <c r="CN4" s="57" t="str">
        <f ca="1">LEFT(CELL("address",CN4),3)&amp;"6:"&amp;LEFT(CELL("address",CN4),3)&amp;MATCH(TRUE,INDEX(ISNUMBER(CN6:CN300),0,0),0)+4</f>
        <v>$CN6:$CN53</v>
      </c>
      <c r="CO4" s="213" t="str">
        <f t="shared" ref="CO4:DA4" ca="1" si="0">LEFT(CELL("address",CO4),3)&amp;"6:"&amp;LEFT(CELL("address",CO4),3)&amp;MATCH(TRUE,INDEX(ISNUMBER(CO6:CO300),0,0),0)+4</f>
        <v>$CO6:$CO53</v>
      </c>
      <c r="CP4" s="213" t="str">
        <f t="shared" ca="1" si="0"/>
        <v>$CP6:$CP34</v>
      </c>
      <c r="CQ4" s="213" t="str">
        <f t="shared" ca="1" si="0"/>
        <v>$CQ6:$CQ134</v>
      </c>
      <c r="CR4" s="213" t="str">
        <f t="shared" ca="1" si="0"/>
        <v>$CR6:$CR203</v>
      </c>
      <c r="CS4" s="213" t="str">
        <f t="shared" ca="1" si="0"/>
        <v>$CS6:$CS60</v>
      </c>
      <c r="CT4" s="213" t="str">
        <f t="shared" ca="1" si="0"/>
        <v>$CT6:$CT91</v>
      </c>
      <c r="CU4" s="213" t="str">
        <f t="shared" ca="1" si="0"/>
        <v>$CU6:$CU12</v>
      </c>
      <c r="CV4" s="213" t="str">
        <f t="shared" ca="1" si="0"/>
        <v>$CV6:$CV134</v>
      </c>
      <c r="CW4" s="213" t="str">
        <f t="shared" ca="1" si="0"/>
        <v>$CW6:$CW133</v>
      </c>
      <c r="CX4" s="213" t="str">
        <f t="shared" ca="1" si="0"/>
        <v>$CX6:$CX129</v>
      </c>
      <c r="CY4" s="213" t="str">
        <f t="shared" ca="1" si="0"/>
        <v>$CY6:$CY58</v>
      </c>
      <c r="CZ4" s="213" t="str">
        <f t="shared" ca="1" si="0"/>
        <v>$CZ6:$CZ54</v>
      </c>
      <c r="DA4" s="213" t="str">
        <f t="shared" ca="1" si="0"/>
        <v>$DA6:$DA159</v>
      </c>
    </row>
    <row r="5" spans="4:105" x14ac:dyDescent="0.4">
      <c r="D5" s="664"/>
      <c r="E5" s="665"/>
      <c r="F5" s="665"/>
      <c r="G5" s="665"/>
      <c r="H5" s="665"/>
      <c r="I5" s="665"/>
      <c r="J5" s="665"/>
      <c r="K5" s="665"/>
      <c r="L5" s="665"/>
      <c r="M5" s="665"/>
      <c r="N5" s="665"/>
      <c r="O5" s="665"/>
      <c r="P5" s="665"/>
      <c r="Q5" s="665"/>
      <c r="R5" s="665"/>
      <c r="S5" s="665"/>
      <c r="T5" s="665"/>
      <c r="U5" s="665"/>
      <c r="V5" s="665"/>
      <c r="W5" s="665"/>
      <c r="X5" s="665"/>
      <c r="Y5" s="665"/>
      <c r="Z5" s="665"/>
      <c r="AA5" s="665"/>
      <c r="AB5" s="665"/>
      <c r="AC5" s="665"/>
      <c r="AD5" s="665"/>
      <c r="AE5" s="665"/>
      <c r="AF5" s="665"/>
      <c r="AG5" s="665"/>
      <c r="AH5" s="665"/>
      <c r="AI5" s="665"/>
      <c r="AJ5" s="665"/>
      <c r="AK5" s="665"/>
      <c r="AL5" s="665"/>
      <c r="AM5" s="666"/>
      <c r="BI5" s="55">
        <v>4</v>
      </c>
      <c r="BN5" s="56" t="s">
        <v>891</v>
      </c>
      <c r="BO5" s="60">
        <f>VLOOKUP(E14,CPU!B2:E50,4,FALSE)</f>
        <v>0</v>
      </c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60" t="str">
        <f>VLOOKUP(E14,CPU!B2:T50,14,FALSE)</f>
        <v>X</v>
      </c>
      <c r="CD5" s="56"/>
      <c r="CE5" s="63">
        <f>IF(E14="추가하지 않음",0,AD14)</f>
        <v>0</v>
      </c>
      <c r="CF5" s="60">
        <f>VLOOKUP(E14,CPU!B2:N50,13,FALSE)</f>
        <v>0</v>
      </c>
      <c r="CG5" s="56"/>
      <c r="CH5" s="64" t="s">
        <v>1026</v>
      </c>
      <c r="CI5" s="62">
        <f t="shared" ref="CI5:CI11" si="1">CF5*CE5</f>
        <v>0</v>
      </c>
      <c r="CJ5" s="56"/>
      <c r="CK5" s="241">
        <f>$CK$12*CK4-$CI$13</f>
        <v>0</v>
      </c>
      <c r="CL5" s="241">
        <f>$CK$12*CL4-$CI$13</f>
        <v>0</v>
      </c>
      <c r="CN5" s="218" t="s">
        <v>891</v>
      </c>
      <c r="CO5" s="218" t="s">
        <v>911</v>
      </c>
      <c r="CP5" s="218" t="s">
        <v>899</v>
      </c>
      <c r="CQ5" s="218" t="s">
        <v>892</v>
      </c>
      <c r="CR5" s="218" t="s">
        <v>894</v>
      </c>
      <c r="CS5" s="218" t="s">
        <v>912</v>
      </c>
      <c r="CT5" s="218" t="s">
        <v>896</v>
      </c>
      <c r="CU5" s="218" t="s">
        <v>895</v>
      </c>
      <c r="CV5" s="218" t="s">
        <v>913</v>
      </c>
      <c r="CW5" s="218" t="s">
        <v>898</v>
      </c>
      <c r="CX5" s="218" t="s">
        <v>902</v>
      </c>
      <c r="CY5" s="218" t="s">
        <v>903</v>
      </c>
      <c r="CZ5" s="218" t="s">
        <v>904</v>
      </c>
      <c r="DA5" s="218" t="s">
        <v>901</v>
      </c>
    </row>
    <row r="6" spans="4:105" x14ac:dyDescent="0.4">
      <c r="D6" s="664"/>
      <c r="E6" s="665"/>
      <c r="F6" s="665"/>
      <c r="G6" s="665"/>
      <c r="H6" s="665"/>
      <c r="I6" s="665"/>
      <c r="J6" s="665"/>
      <c r="K6" s="665"/>
      <c r="L6" s="665"/>
      <c r="M6" s="665"/>
      <c r="N6" s="665"/>
      <c r="O6" s="665"/>
      <c r="P6" s="665"/>
      <c r="Q6" s="665"/>
      <c r="R6" s="665"/>
      <c r="S6" s="665"/>
      <c r="T6" s="665"/>
      <c r="U6" s="665"/>
      <c r="V6" s="665"/>
      <c r="W6" s="665"/>
      <c r="X6" s="665"/>
      <c r="Y6" s="665"/>
      <c r="Z6" s="665"/>
      <c r="AA6" s="665"/>
      <c r="AB6" s="665"/>
      <c r="AC6" s="665"/>
      <c r="AD6" s="665"/>
      <c r="AE6" s="665"/>
      <c r="AF6" s="665"/>
      <c r="AG6" s="665"/>
      <c r="AH6" s="665"/>
      <c r="AI6" s="665"/>
      <c r="AJ6" s="665"/>
      <c r="AK6" s="665"/>
      <c r="AL6" s="665"/>
      <c r="AM6" s="666"/>
      <c r="BI6" s="55">
        <v>5</v>
      </c>
      <c r="BN6" s="56" t="s">
        <v>892</v>
      </c>
      <c r="BO6" s="60">
        <f>VLOOKUP(E15,메인보드!$B$4:F132,5,FALSE)</f>
        <v>0</v>
      </c>
      <c r="BP6" s="60">
        <f>VLOOKUP(E15,메인보드!$B$4:J132,9,FALSE)</f>
        <v>0</v>
      </c>
      <c r="BQ6" s="60">
        <f>VLOOKUP(E15,메인보드!$B$4:S132,18,FALSE)</f>
        <v>0</v>
      </c>
      <c r="BR6" s="60">
        <f>VLOOKUP(E15,메인보드!$B$4:T132,19,FALSE)</f>
        <v>0</v>
      </c>
      <c r="BS6" s="56"/>
      <c r="BT6" s="56"/>
      <c r="BU6" s="60" t="str">
        <f>IF(VLOOKUP(E15,메인보드!$B$4:G132,6,FALSE)=BU4,"O","X")</f>
        <v>X</v>
      </c>
      <c r="BV6" s="60" t="str">
        <f>IF(VLOOKUP(E15,메인보드!$B$4:G132,6,FALSE)=BV4,"O","X")</f>
        <v>X</v>
      </c>
      <c r="BW6" s="60" t="str">
        <f>IF(VLOOKUP(E15,메인보드!$B$4:G132,6,FALSE)=BW4,"O","X")</f>
        <v>X</v>
      </c>
      <c r="BX6" s="60" t="str">
        <f>IF(VLOOKUP(E15,메인보드!$B$4:G132,6,FALSE)=BX4,"O","X")</f>
        <v>X</v>
      </c>
      <c r="BY6" s="56"/>
      <c r="BZ6" s="56"/>
      <c r="CA6" s="56"/>
      <c r="CB6" s="60">
        <f>VLOOKUP(E15,메인보드!$B$4:Q132,16,FALSE)+VLOOKUP(E15,메인보드!$B$4:R132,17,FALSE)</f>
        <v>0</v>
      </c>
      <c r="CC6" s="56"/>
      <c r="CD6" s="56"/>
      <c r="CE6" s="63">
        <f>IF(E15="추가하지 않음",0,AD15)</f>
        <v>0</v>
      </c>
      <c r="CF6" s="63">
        <v>50</v>
      </c>
      <c r="CG6" s="56"/>
      <c r="CH6" s="64" t="s">
        <v>1026</v>
      </c>
      <c r="CI6" s="62">
        <f t="shared" si="1"/>
        <v>0</v>
      </c>
      <c r="CJ6" s="56"/>
      <c r="CK6" s="56" t="s">
        <v>1302</v>
      </c>
      <c r="CL6" s="56" t="s">
        <v>1315</v>
      </c>
      <c r="CN6" s="217" t="str">
        <f>CPU!B3</f>
        <v>추가하지 않음</v>
      </c>
      <c r="CO6" s="57" t="str">
        <f>메모리!B3</f>
        <v>추가하지 않음</v>
      </c>
      <c r="CP6" s="57" t="str">
        <f>CPU쿨러!B3</f>
        <v>기본 쿨러</v>
      </c>
      <c r="CQ6" s="57" t="str">
        <f>메인보드!B4</f>
        <v>추가하지 않음</v>
      </c>
      <c r="CR6" s="57" t="str">
        <f>그래픽카드!B3</f>
        <v>내장그래픽</v>
      </c>
      <c r="CS6" s="57" t="str">
        <f>HDD!B3</f>
        <v>추가하지 않음</v>
      </c>
      <c r="CT6" s="57" t="str">
        <f>SSD!B3</f>
        <v>추가하지 않음</v>
      </c>
      <c r="CU6" s="57" t="str">
        <f>ODD!B3</f>
        <v>추가하지 않음</v>
      </c>
      <c r="CV6" s="57" t="str">
        <f>파워서플라이!B3</f>
        <v>추가하지 않음</v>
      </c>
      <c r="CW6" s="57" t="str">
        <f>케이스!B3</f>
        <v>추가하지 않음</v>
      </c>
      <c r="CX6" s="57" t="str">
        <f>키보드!B3</f>
        <v>추가하지 않음</v>
      </c>
      <c r="CY6" s="57" t="str">
        <f>마우스!B3</f>
        <v>추가하지 않음</v>
      </c>
      <c r="CZ6" s="57" t="str">
        <f>헤드셋!B3</f>
        <v>추가하지 않음</v>
      </c>
      <c r="DA6" s="57" t="str">
        <f>모니터!B3</f>
        <v>추가하지 않음</v>
      </c>
    </row>
    <row r="7" spans="4:105" ht="16.2" thickBot="1" x14ac:dyDescent="0.45">
      <c r="D7" s="667"/>
      <c r="E7" s="668"/>
      <c r="F7" s="668"/>
      <c r="G7" s="668"/>
      <c r="H7" s="668"/>
      <c r="I7" s="668"/>
      <c r="J7" s="668"/>
      <c r="K7" s="668"/>
      <c r="L7" s="668"/>
      <c r="M7" s="668"/>
      <c r="N7" s="668"/>
      <c r="O7" s="668"/>
      <c r="P7" s="668"/>
      <c r="Q7" s="668"/>
      <c r="R7" s="668"/>
      <c r="S7" s="668"/>
      <c r="T7" s="668"/>
      <c r="U7" s="668"/>
      <c r="V7" s="668"/>
      <c r="W7" s="668"/>
      <c r="X7" s="668"/>
      <c r="Y7" s="668"/>
      <c r="Z7" s="668"/>
      <c r="AA7" s="668"/>
      <c r="AB7" s="668"/>
      <c r="AC7" s="668"/>
      <c r="AD7" s="668"/>
      <c r="AE7" s="668"/>
      <c r="AF7" s="668"/>
      <c r="AG7" s="668"/>
      <c r="AH7" s="668"/>
      <c r="AI7" s="668"/>
      <c r="AJ7" s="668"/>
      <c r="AK7" s="668"/>
      <c r="AL7" s="668"/>
      <c r="AM7" s="669"/>
      <c r="BI7" s="55">
        <v>6</v>
      </c>
      <c r="BN7" s="56" t="s">
        <v>893</v>
      </c>
      <c r="BO7" s="56"/>
      <c r="BP7" s="60">
        <f>VLOOKUP(E16,메모리!$B$3:H50,7,FALSE)</f>
        <v>0</v>
      </c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60">
        <f>IF(E16="추가하지 않음",0,AD16*VLOOKUP(E16,메모리!B3:K50,10,FALSE))</f>
        <v>0</v>
      </c>
      <c r="CF7" s="63">
        <v>3</v>
      </c>
      <c r="CG7" s="56"/>
      <c r="CH7" s="64" t="s">
        <v>1026</v>
      </c>
      <c r="CI7" s="62">
        <f t="shared" si="1"/>
        <v>0</v>
      </c>
      <c r="CJ7" s="56" t="s">
        <v>1028</v>
      </c>
      <c r="CK7" s="240">
        <v>100</v>
      </c>
      <c r="CL7" s="240">
        <v>20</v>
      </c>
      <c r="CN7" s="217" t="str">
        <f>CPU!B4</f>
        <v>-</v>
      </c>
      <c r="CO7" s="213" t="str">
        <f>메모리!B4</f>
        <v>-</v>
      </c>
      <c r="CP7" s="213" t="str">
        <f>CPU쿨러!B4</f>
        <v>-</v>
      </c>
      <c r="CQ7" s="213" t="str">
        <f>메인보드!B5</f>
        <v>-</v>
      </c>
      <c r="CR7" s="213" t="str">
        <f>그래픽카드!B4</f>
        <v>-</v>
      </c>
      <c r="CS7" s="213" t="str">
        <f>HDD!B4</f>
        <v>-</v>
      </c>
      <c r="CT7" s="213" t="str">
        <f>SSD!B4</f>
        <v>-</v>
      </c>
      <c r="CU7" s="213" t="str">
        <f>ODD!B4</f>
        <v>-</v>
      </c>
      <c r="CV7" s="213" t="str">
        <f>파워서플라이!B4</f>
        <v>-</v>
      </c>
      <c r="CW7" s="213" t="str">
        <f>케이스!B4</f>
        <v>-</v>
      </c>
      <c r="CX7" s="213" t="str">
        <f>키보드!B4</f>
        <v>-</v>
      </c>
      <c r="CY7" s="213" t="str">
        <f>마우스!B4</f>
        <v>-</v>
      </c>
      <c r="CZ7" s="213" t="str">
        <f>헤드셋!B4</f>
        <v>-</v>
      </c>
      <c r="DA7" s="213" t="str">
        <f>모니터!B4</f>
        <v>-</v>
      </c>
    </row>
    <row r="8" spans="4:105" x14ac:dyDescent="0.35">
      <c r="D8" s="670" t="str">
        <f ca="1">INDIRECT(CONCATENATE("BO",RANDBETWEEN(19,34)))</f>
        <v>Special thanks to 인트라넷(해군병사소통방, 공군IT게시판), 인터넷(IYD,  Dr.Mola, MNA대피소) 등등…</v>
      </c>
      <c r="E8" s="670"/>
      <c r="F8" s="670"/>
      <c r="G8" s="670"/>
      <c r="H8" s="670"/>
      <c r="I8" s="670"/>
      <c r="J8" s="670"/>
      <c r="K8" s="670"/>
      <c r="L8" s="670"/>
      <c r="M8" s="670"/>
      <c r="N8" s="670"/>
      <c r="O8" s="670"/>
      <c r="P8" s="670"/>
      <c r="Q8" s="670"/>
      <c r="R8" s="670"/>
      <c r="S8" s="670"/>
      <c r="T8" s="670"/>
      <c r="U8" s="670"/>
      <c r="V8" s="670"/>
      <c r="W8" s="670"/>
      <c r="X8" s="670"/>
      <c r="Y8" s="670"/>
      <c r="Z8" s="670"/>
      <c r="AA8" s="670"/>
      <c r="AB8" s="670"/>
      <c r="AC8" s="670"/>
      <c r="AD8" s="670"/>
      <c r="AE8" s="670"/>
      <c r="AF8" s="670"/>
      <c r="AG8" s="670"/>
      <c r="AH8" s="670"/>
      <c r="AI8" s="670"/>
      <c r="AJ8" s="670"/>
      <c r="AK8" s="670"/>
      <c r="AL8" s="670"/>
      <c r="AM8" s="670"/>
      <c r="AO8" s="436">
        <v>1</v>
      </c>
      <c r="BI8" s="55">
        <v>7</v>
      </c>
      <c r="BN8" s="56" t="s">
        <v>894</v>
      </c>
      <c r="BO8" s="56"/>
      <c r="BP8" s="56"/>
      <c r="BQ8" s="60" t="str">
        <f>IF(VLOOKUP(BillDVANCE!E17,그래픽카드!B3:D200,3,FALSE)="AMD","O","X")</f>
        <v>X</v>
      </c>
      <c r="BR8" s="249" t="str">
        <f>IF(BQ8="O","X","O")</f>
        <v>O</v>
      </c>
      <c r="BS8" s="60">
        <f>VLOOKUP($E17,그래픽카드!B3:K200,10,FALSE)+VLOOKUP($E17,그래픽카드!B3:L200,11,FALSE)</f>
        <v>0</v>
      </c>
      <c r="BT8" s="60">
        <f>VLOOKUP($E17,그래픽카드!B3:L200,11,FALSE)</f>
        <v>0</v>
      </c>
      <c r="BU8" s="56"/>
      <c r="BV8" s="56"/>
      <c r="BW8" s="56"/>
      <c r="BX8" s="56"/>
      <c r="BY8" s="60">
        <f>VLOOKUP($E17,그래픽카드!B3:J200,9,FALSE)</f>
        <v>0</v>
      </c>
      <c r="BZ8" s="56"/>
      <c r="CA8" s="56"/>
      <c r="CB8" s="56"/>
      <c r="CC8" s="56"/>
      <c r="CD8" s="56"/>
      <c r="CE8" s="60">
        <f>IF(E17="내장그래픽",0,AD17)</f>
        <v>0</v>
      </c>
      <c r="CF8" s="60">
        <f>VLOOKUP($E17,그래픽카드!B3:M200,12,FALSE)</f>
        <v>0</v>
      </c>
      <c r="CG8" s="59">
        <f>75+BS8*75+BT8*150</f>
        <v>75</v>
      </c>
      <c r="CH8" s="64" t="s">
        <v>1026</v>
      </c>
      <c r="CI8" s="62">
        <f t="shared" si="1"/>
        <v>0</v>
      </c>
      <c r="CJ8" s="56"/>
      <c r="CK8" s="457">
        <f>$CK$12-$CI$13-CK7</f>
        <v>-100</v>
      </c>
      <c r="CL8" s="457">
        <f>$CK$12-$CI$13-CL7</f>
        <v>-20</v>
      </c>
      <c r="CN8" s="217" t="str">
        <f>CPU!B5</f>
        <v>&lt;&lt; 인텔 &gt;&gt;</v>
      </c>
      <c r="CO8" s="213" t="str">
        <f>메모리!B5</f>
        <v>&lt;&lt; 일반규격 RAM &gt;&gt;</v>
      </c>
      <c r="CP8" s="213" t="str">
        <f>CPU쿨러!B5</f>
        <v>쿨러마스터 Hyper 103</v>
      </c>
      <c r="CQ8" s="213" t="str">
        <f>메인보드!B6</f>
        <v>&lt;&lt; SKYLAKE &gt;&gt;</v>
      </c>
      <c r="CR8" s="213" t="str">
        <f>그래픽카드!B5</f>
        <v>&lt;엔트리&gt;</v>
      </c>
      <c r="CS8" s="213" t="str">
        <f>HDD!B5</f>
        <v>WD 500GB WD5000AZLX</v>
      </c>
      <c r="CT8" s="213" t="str">
        <f>SSD!B5</f>
        <v>&lt;SATA&gt;</v>
      </c>
      <c r="CU8" s="213" t="str">
        <f>ODD!B5</f>
        <v>LG전자 Super-Multi GH24NSD1</v>
      </c>
      <c r="CV8" s="213" t="str">
        <f>파워서플라이!B5</f>
        <v>&lt;DC to DC&gt;</v>
      </c>
      <c r="CW8" s="213" t="str">
        <f>케이스!B5</f>
        <v>&lt;미들타워&gt;</v>
      </c>
      <c r="CX8" s="213" t="str">
        <f>키보드!B5</f>
        <v>&lt;멤브레인&gt;</v>
      </c>
      <c r="CY8" s="213" t="str">
        <f>마우스!B5</f>
        <v>CORSAIR GAMING KATAR</v>
      </c>
      <c r="CZ8" s="213" t="str">
        <f>헤드셋!B5</f>
        <v>Britz 브리츠인터내셔널 K100GH LED 게이밍</v>
      </c>
      <c r="DA8" s="213" t="str">
        <f>모니터!B5</f>
        <v>&lt;22인치&gt;</v>
      </c>
    </row>
    <row r="9" spans="4:105" x14ac:dyDescent="0.4">
      <c r="D9" s="670"/>
      <c r="E9" s="670"/>
      <c r="F9" s="670"/>
      <c r="G9" s="670"/>
      <c r="H9" s="670"/>
      <c r="I9" s="670"/>
      <c r="J9" s="670"/>
      <c r="K9" s="670"/>
      <c r="L9" s="670"/>
      <c r="M9" s="670"/>
      <c r="N9" s="670"/>
      <c r="O9" s="670"/>
      <c r="P9" s="670"/>
      <c r="Q9" s="670"/>
      <c r="R9" s="670"/>
      <c r="S9" s="670"/>
      <c r="T9" s="670"/>
      <c r="U9" s="670"/>
      <c r="V9" s="670"/>
      <c r="W9" s="670"/>
      <c r="X9" s="670"/>
      <c r="Y9" s="670"/>
      <c r="Z9" s="670"/>
      <c r="AA9" s="670"/>
      <c r="AB9" s="670"/>
      <c r="AC9" s="670"/>
      <c r="AD9" s="670"/>
      <c r="AE9" s="670"/>
      <c r="AF9" s="670"/>
      <c r="AG9" s="670"/>
      <c r="AH9" s="670"/>
      <c r="AI9" s="670"/>
      <c r="AJ9" s="670"/>
      <c r="AK9" s="670"/>
      <c r="AL9" s="670"/>
      <c r="AM9" s="670"/>
      <c r="BI9" s="55">
        <v>8</v>
      </c>
      <c r="BN9" s="56" t="s">
        <v>912</v>
      </c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9">
        <f>CE9</f>
        <v>0</v>
      </c>
      <c r="CB9" s="59">
        <f>CE9</f>
        <v>0</v>
      </c>
      <c r="CC9" s="56" t="s">
        <v>1024</v>
      </c>
      <c r="CD9" s="56" t="s">
        <v>1025</v>
      </c>
      <c r="CE9" s="60">
        <f>IF(E18="추가하지 않음",0,AD18)</f>
        <v>0</v>
      </c>
      <c r="CF9" s="63">
        <v>10</v>
      </c>
      <c r="CG9" s="56" t="s">
        <v>1306</v>
      </c>
      <c r="CH9" s="64" t="s">
        <v>1026</v>
      </c>
      <c r="CI9" s="62">
        <f t="shared" si="1"/>
        <v>0</v>
      </c>
      <c r="CJ9" s="56" t="s">
        <v>1316</v>
      </c>
      <c r="CK9" s="56" t="s">
        <v>1314</v>
      </c>
      <c r="CL9" s="56" t="s">
        <v>1313</v>
      </c>
      <c r="CN9" s="217" t="str">
        <f>CPU!B6</f>
        <v>i7 6700K</v>
      </c>
      <c r="CO9" s="213" t="str">
        <f>메모리!B6</f>
        <v>&lt; DDR4 &gt;</v>
      </c>
      <c r="CP9" s="213" t="str">
        <f>CPU쿨러!B6</f>
        <v>쿨러마스터 Seidon 120V PLUS</v>
      </c>
      <c r="CQ9" s="213" t="str">
        <f>메인보드!B7</f>
        <v>&lt;H110&gt;</v>
      </c>
      <c r="CR9" s="213" t="str">
        <f>그래픽카드!B6</f>
        <v>GIGABYTE 지포스 GT740 UD2 OC D5 1GB WING-100</v>
      </c>
      <c r="CS9" s="213" t="str">
        <f>HDD!B6</f>
        <v>WD 1TB BLUE WD10EZEX</v>
      </c>
      <c r="CT9" s="213" t="str">
        <f>SSD!B6</f>
        <v>마이크론 Crucial MX200 [250GB]</v>
      </c>
      <c r="CU9" s="213" t="str">
        <f>ODD!B6</f>
        <v>LG전자 Super-Multi GH24NS96</v>
      </c>
      <c r="CV9" s="213" t="str">
        <f>파워서플라이!B6</f>
        <v>마이리플 DC 120W D3 + 12V-8.33A 어댑터</v>
      </c>
      <c r="CW9" s="213" t="str">
        <f>케이스!B6</f>
        <v>3RSYS R2</v>
      </c>
      <c r="CX9" s="213" t="str">
        <f>키보드!B6</f>
        <v>i-rocks IRK62EA LED 이중 사출키캡</v>
      </c>
      <c r="CY9" s="213" t="str">
        <f>마우스!B6</f>
        <v>CORSAIR GAMING SCIMITAR RGB</v>
      </c>
      <c r="CZ9" s="213" t="str">
        <f>헤드셋!B6</f>
        <v>Britz 브리츠인터내셔널 K200GH LED 게이밍</v>
      </c>
      <c r="DA9" s="213" t="str">
        <f>모니터!B6</f>
        <v>BenQ GW2270 아이케어 무결점</v>
      </c>
    </row>
    <row r="10" spans="4:105" x14ac:dyDescent="0.4">
      <c r="D10" s="670"/>
      <c r="E10" s="670"/>
      <c r="F10" s="670"/>
      <c r="G10" s="670"/>
      <c r="H10" s="670"/>
      <c r="I10" s="670"/>
      <c r="J10" s="670"/>
      <c r="K10" s="670"/>
      <c r="L10" s="670"/>
      <c r="M10" s="670"/>
      <c r="N10" s="670"/>
      <c r="O10" s="670"/>
      <c r="P10" s="670"/>
      <c r="Q10" s="670"/>
      <c r="R10" s="670"/>
      <c r="S10" s="670"/>
      <c r="T10" s="670"/>
      <c r="U10" s="670"/>
      <c r="V10" s="670"/>
      <c r="W10" s="670"/>
      <c r="X10" s="670"/>
      <c r="Y10" s="670"/>
      <c r="Z10" s="670"/>
      <c r="AA10" s="670"/>
      <c r="AB10" s="670"/>
      <c r="AC10" s="670"/>
      <c r="AD10" s="670"/>
      <c r="AE10" s="670"/>
      <c r="AF10" s="670"/>
      <c r="AG10" s="670"/>
      <c r="AH10" s="670"/>
      <c r="AI10" s="670"/>
      <c r="AJ10" s="670"/>
      <c r="AK10" s="670"/>
      <c r="AL10" s="670"/>
      <c r="AM10" s="670"/>
      <c r="BI10" s="55">
        <v>9</v>
      </c>
      <c r="BN10" s="56" t="s">
        <v>896</v>
      </c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9">
        <f>CE10</f>
        <v>0</v>
      </c>
      <c r="CB10" s="59">
        <f>CE10</f>
        <v>0</v>
      </c>
      <c r="CC10" s="56" t="s">
        <v>1024</v>
      </c>
      <c r="CD10" s="56" t="s">
        <v>1025</v>
      </c>
      <c r="CE10" s="60">
        <f>IF(E19="추가하지 않음",0,AD19)</f>
        <v>0</v>
      </c>
      <c r="CF10" s="63">
        <v>5</v>
      </c>
      <c r="CG10" s="56" t="s">
        <v>1303</v>
      </c>
      <c r="CH10" s="64" t="s">
        <v>1026</v>
      </c>
      <c r="CI10" s="62">
        <f t="shared" si="1"/>
        <v>0</v>
      </c>
      <c r="CJ10" s="56"/>
      <c r="CK10" s="60">
        <f>MIN(CK8,CK5)</f>
        <v>-100</v>
      </c>
      <c r="CL10" s="60">
        <f>MIN(CL8,CL5)</f>
        <v>-20</v>
      </c>
      <c r="CN10" s="217" t="str">
        <f>CPU!B7</f>
        <v>i7 6700</v>
      </c>
      <c r="CO10" s="213" t="str">
        <f>메모리!B7</f>
        <v>삼성전자 DDR4 4G PC4-17000</v>
      </c>
      <c r="CP10" s="213" t="str">
        <f>CPU쿨러!B7</f>
        <v>쿨러마스터 Seidon 120V V3 PLUS</v>
      </c>
      <c r="CQ10" s="213" t="str">
        <f>메인보드!B8</f>
        <v>ASRock H110M-DGS R2.0</v>
      </c>
      <c r="CR10" s="213" t="str">
        <f>그래픽카드!B7</f>
        <v>-</v>
      </c>
      <c r="CS10" s="213" t="str">
        <f>HDD!B7</f>
        <v>WD 2TB BLUE WD20EZRZ</v>
      </c>
      <c r="CT10" s="213" t="str">
        <f>SSD!B7</f>
        <v>마이크론 Crucial MX200 [500GB]</v>
      </c>
      <c r="CU10" s="213" t="str">
        <f>ODD!B7</f>
        <v>삼성전자 Super-WriteMaster SH-224FB</v>
      </c>
      <c r="CV10" s="213" t="str">
        <f>파워서플라이!B7</f>
        <v>모드컴 ITX 120W DC + 12V-10A 어댑터</v>
      </c>
      <c r="CW10" s="213" t="str">
        <f>케이스!B7</f>
        <v>3RSYS E-2 USB 3.0</v>
      </c>
      <c r="CX10" s="213" t="str">
        <f>키보드!B7</f>
        <v>i-rocks K27</v>
      </c>
      <c r="CY10" s="213" t="str">
        <f>마우스!B7</f>
        <v>CORSAIR GAMING 사브르 Optical RGB 게이밍 마우스</v>
      </c>
      <c r="CZ10" s="213" t="str">
        <f>헤드셋!B7</f>
        <v>Britz 브리츠인터내셔널 K300GHV LED 게이밍 진동</v>
      </c>
      <c r="DA10" s="213" t="str">
        <f>모니터!B7</f>
        <v>DELL S2240L</v>
      </c>
    </row>
    <row r="11" spans="4:105" x14ac:dyDescent="0.4">
      <c r="D11" s="670"/>
      <c r="E11" s="670"/>
      <c r="F11" s="670"/>
      <c r="G11" s="670"/>
      <c r="H11" s="670"/>
      <c r="I11" s="670"/>
      <c r="J11" s="670"/>
      <c r="K11" s="670"/>
      <c r="L11" s="670"/>
      <c r="M11" s="670"/>
      <c r="N11" s="670"/>
      <c r="O11" s="670"/>
      <c r="P11" s="670"/>
      <c r="Q11" s="670"/>
      <c r="R11" s="670"/>
      <c r="S11" s="670"/>
      <c r="T11" s="670"/>
      <c r="U11" s="670"/>
      <c r="V11" s="670"/>
      <c r="W11" s="670"/>
      <c r="X11" s="670"/>
      <c r="Y11" s="670"/>
      <c r="Z11" s="670"/>
      <c r="AA11" s="670"/>
      <c r="AB11" s="670"/>
      <c r="AC11" s="670"/>
      <c r="AD11" s="670"/>
      <c r="AE11" s="670"/>
      <c r="AF11" s="670"/>
      <c r="AG11" s="670"/>
      <c r="AH11" s="670"/>
      <c r="AI11" s="670"/>
      <c r="AJ11" s="670"/>
      <c r="AK11" s="670"/>
      <c r="AL11" s="670"/>
      <c r="AM11" s="670"/>
      <c r="AW11" s="426"/>
      <c r="BI11" s="55">
        <v>10</v>
      </c>
      <c r="BN11" s="56" t="s">
        <v>895</v>
      </c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9">
        <f>CE11</f>
        <v>0</v>
      </c>
      <c r="CB11" s="59">
        <f>CE11</f>
        <v>0</v>
      </c>
      <c r="CC11" s="56" t="s">
        <v>1024</v>
      </c>
      <c r="CD11" s="56" t="s">
        <v>1025</v>
      </c>
      <c r="CE11" s="60">
        <f>IF(E20="추가하지 않음",0,AD20)</f>
        <v>0</v>
      </c>
      <c r="CF11" s="63">
        <v>35</v>
      </c>
      <c r="CG11" s="56" t="s">
        <v>1302</v>
      </c>
      <c r="CH11" s="64" t="s">
        <v>1026</v>
      </c>
      <c r="CI11" s="62">
        <f t="shared" si="1"/>
        <v>0</v>
      </c>
      <c r="CJ11" s="56"/>
      <c r="CK11" s="56"/>
      <c r="CL11" s="56"/>
      <c r="CN11" s="217" t="str">
        <f>CPU!B8</f>
        <v>i5 6600K</v>
      </c>
      <c r="CO11" s="213" t="str">
        <f>메모리!B8</f>
        <v>삼성전자 DDR4 8G PC4-19200</v>
      </c>
      <c r="CP11" s="213" t="str">
        <f>CPU쿨러!B8</f>
        <v xml:space="preserve">쿨러마스터 V8 GTS </v>
      </c>
      <c r="CQ11" s="213" t="str">
        <f>메인보드!B9</f>
        <v>ASUS H110M-A/M.2</v>
      </c>
      <c r="CR11" s="213" t="str">
        <f>그래픽카드!B8</f>
        <v>MANLI 지포스 GTX750 Black Knight D5 1GB</v>
      </c>
      <c r="CS11" s="213" t="str">
        <f>HDD!B8</f>
        <v>WD 3TB BLUE WD30EZRZ</v>
      </c>
      <c r="CT11" s="213" t="str">
        <f>SSD!B8</f>
        <v>마이크론 Crucial MX200 [1TB]</v>
      </c>
      <c r="CU11" s="213" t="str">
        <f>ODD!B8</f>
        <v>-</v>
      </c>
      <c r="CV11" s="213" t="str">
        <f>파워서플라이!B8</f>
        <v>모드컴 ITX 200W DC + 24V-6.3A 어댑터</v>
      </c>
      <c r="CW11" s="213" t="str">
        <f>케이스!B8</f>
        <v>3RSYS J200 USB3.0</v>
      </c>
      <c r="CX11" s="213" t="str">
        <f>키보드!B8</f>
        <v>i-rocks K62E ILLUMINATED</v>
      </c>
      <c r="CY11" s="213" t="str">
        <f>마우스!B8</f>
        <v>CORSAIR M65 PRO RGB</v>
      </c>
      <c r="CZ11" s="213" t="str">
        <f>헤드셋!B8</f>
        <v>Britz 브리츠인터내셔널 K830</v>
      </c>
      <c r="DA11" s="213" t="str">
        <f>모니터!B8</f>
        <v>LG전자 22M47D </v>
      </c>
    </row>
    <row r="12" spans="4:105" ht="16.2" thickBot="1" x14ac:dyDescent="0.45">
      <c r="D12" s="670"/>
      <c r="E12" s="670"/>
      <c r="F12" s="670"/>
      <c r="G12" s="670"/>
      <c r="H12" s="670"/>
      <c r="I12" s="670"/>
      <c r="J12" s="670"/>
      <c r="K12" s="670"/>
      <c r="L12" s="670"/>
      <c r="M12" s="670"/>
      <c r="N12" s="670"/>
      <c r="O12" s="670"/>
      <c r="P12" s="670"/>
      <c r="Q12" s="670"/>
      <c r="R12" s="670"/>
      <c r="S12" s="670"/>
      <c r="T12" s="670"/>
      <c r="U12" s="670"/>
      <c r="V12" s="670"/>
      <c r="W12" s="670"/>
      <c r="X12" s="670"/>
      <c r="Y12" s="670"/>
      <c r="Z12" s="670"/>
      <c r="AA12" s="670"/>
      <c r="AB12" s="670"/>
      <c r="AC12" s="670"/>
      <c r="AD12" s="670"/>
      <c r="AE12" s="670"/>
      <c r="AF12" s="670"/>
      <c r="AG12" s="670"/>
      <c r="AH12" s="670"/>
      <c r="AI12" s="670"/>
      <c r="AJ12" s="670"/>
      <c r="AK12" s="670"/>
      <c r="AL12" s="670"/>
      <c r="AM12" s="670"/>
      <c r="BN12" s="56" t="s">
        <v>897</v>
      </c>
      <c r="BO12" s="56"/>
      <c r="BP12" s="56"/>
      <c r="BQ12" s="56"/>
      <c r="BR12" s="56"/>
      <c r="BS12" s="60">
        <f>VLOOKUP(E21,파워서플라이!B3:J131,9,FALSE)</f>
        <v>0</v>
      </c>
      <c r="BT12" s="60">
        <f>VLOOKUP(E21,파워서플라이!B3:K131,10,FALSE)</f>
        <v>0</v>
      </c>
      <c r="BU12" s="56"/>
      <c r="BV12" s="56"/>
      <c r="BW12" s="56"/>
      <c r="BX12" s="56"/>
      <c r="BY12" s="56"/>
      <c r="BZ12" s="56"/>
      <c r="CA12" s="60">
        <f>VLOOKUP(E21,파워서플라이!B3:I131,8,FALSE)+VLOOKUP(E21,파워서플라이!B3:L131,11,FALSE)</f>
        <v>0</v>
      </c>
      <c r="CB12" s="56"/>
      <c r="CC12" s="56"/>
      <c r="CD12" s="56"/>
      <c r="CE12" s="63">
        <f>IF(E21="추가하지 않음",0,AD21)</f>
        <v>0</v>
      </c>
      <c r="CF12" s="61">
        <f>VLOOKUP(E21,파워서플라이!B3:E131,4,FALSE)</f>
        <v>0</v>
      </c>
      <c r="CG12" s="56" t="s">
        <v>1303</v>
      </c>
      <c r="CH12" s="56"/>
      <c r="CI12" s="56"/>
      <c r="CJ12" s="56" t="s">
        <v>1029</v>
      </c>
      <c r="CK12" s="62">
        <f>CF12*CE12</f>
        <v>0</v>
      </c>
      <c r="CL12" s="56"/>
      <c r="CN12" s="217" t="str">
        <f>CPU!B9</f>
        <v>i5 6600</v>
      </c>
      <c r="CO12" s="213" t="str">
        <f>메모리!B9</f>
        <v>삼성전자 DDR4 16G PC4-17000</v>
      </c>
      <c r="CP12" s="213" t="str">
        <f>CPU쿨러!B9</f>
        <v>쿨러마스터 Nepton 240M</v>
      </c>
      <c r="CQ12" s="213" t="str">
        <f>메인보드!B10</f>
        <v>ASUS H110T</v>
      </c>
      <c r="CR12" s="213" t="str">
        <f>그래픽카드!B9</f>
        <v>갤럭시 GALAX 지포스 GTX750 OC 개간지 D5 1GB</v>
      </c>
      <c r="CS12" s="213" t="str">
        <f>HDD!B9</f>
        <v>WD 4TB BLUE WD40EZRZ</v>
      </c>
      <c r="CT12" s="213" t="str">
        <f>SSD!B9</f>
        <v>마이크론 Crucial MX300 [275GB]</v>
      </c>
      <c r="CU12" s="213" t="str">
        <f>ODD!B9</f>
        <v>LG전자 BH16NS55</v>
      </c>
      <c r="CV12" s="213" t="str">
        <f>파워서플라이!B9</f>
        <v>-</v>
      </c>
      <c r="CW12" s="213" t="str">
        <f>케이스!B9</f>
        <v>3RSYS J210 해머</v>
      </c>
      <c r="CX12" s="213" t="str">
        <f>키보드!B9</f>
        <v>i-rocks KR-6220 PLUS</v>
      </c>
      <c r="CY12" s="213" t="str">
        <f>마우스!B9</f>
        <v>CORSAIR RAPTOR M45</v>
      </c>
      <c r="CZ12" s="213" t="str">
        <f>헤드셋!B9</f>
        <v>Britz 브리츠인터내셔널 K800</v>
      </c>
      <c r="DA12" s="213" t="str">
        <f>모니터!B9</f>
        <v>LG전자 22MP57HQ </v>
      </c>
    </row>
    <row r="13" spans="4:105" ht="17.25" customHeight="1" thickBot="1" x14ac:dyDescent="0.45">
      <c r="D13" s="221" t="s">
        <v>890</v>
      </c>
      <c r="E13" s="616" t="s">
        <v>3041</v>
      </c>
      <c r="F13" s="617"/>
      <c r="G13" s="617"/>
      <c r="H13" s="617"/>
      <c r="I13" s="617"/>
      <c r="J13" s="617"/>
      <c r="K13" s="617"/>
      <c r="L13" s="617"/>
      <c r="M13" s="617"/>
      <c r="N13" s="617"/>
      <c r="O13" s="617"/>
      <c r="P13" s="617"/>
      <c r="Q13" s="617"/>
      <c r="R13" s="617"/>
      <c r="S13" s="617"/>
      <c r="T13" s="617"/>
      <c r="U13" s="617"/>
      <c r="V13" s="618"/>
      <c r="W13" s="617" t="s">
        <v>906</v>
      </c>
      <c r="X13" s="617"/>
      <c r="Y13" s="617"/>
      <c r="Z13" s="617"/>
      <c r="AA13" s="617"/>
      <c r="AB13" s="617"/>
      <c r="AC13" s="617"/>
      <c r="AD13" s="616" t="s">
        <v>907</v>
      </c>
      <c r="AE13" s="618"/>
      <c r="AF13" s="617" t="s">
        <v>908</v>
      </c>
      <c r="AG13" s="617"/>
      <c r="AH13" s="617"/>
      <c r="AI13" s="617"/>
      <c r="AJ13" s="617"/>
      <c r="AK13" s="617"/>
      <c r="AL13" s="617"/>
      <c r="AM13" s="619"/>
      <c r="BN13" s="56" t="s">
        <v>898</v>
      </c>
      <c r="BO13" s="56"/>
      <c r="BP13" s="56"/>
      <c r="BQ13" s="56"/>
      <c r="BR13" s="56"/>
      <c r="BS13" s="56" t="s">
        <v>1194</v>
      </c>
      <c r="BT13" s="56" t="s">
        <v>1407</v>
      </c>
      <c r="BU13" s="60">
        <f>VLOOKUP(E22,케이스!B3:L129,11,FALSE)</f>
        <v>0</v>
      </c>
      <c r="BV13" s="60">
        <f>VLOOKUP(E22,케이스!B3:M129,12,FALSE)</f>
        <v>0</v>
      </c>
      <c r="BW13" s="60">
        <f>VLOOKUP(E22,케이스!B3:N129,13,FALSE)</f>
        <v>0</v>
      </c>
      <c r="BX13" s="60">
        <f>VLOOKUP(E22,케이스!B3:O129,14,FALSE)</f>
        <v>0</v>
      </c>
      <c r="BY13" s="60">
        <f>VLOOKUP(E22,케이스!B3:I129,8,FALSE)</f>
        <v>0</v>
      </c>
      <c r="BZ13" s="60">
        <f>VLOOKUP(E22,케이스!B3:H129,7,FALSE)</f>
        <v>0</v>
      </c>
      <c r="CA13" s="56"/>
      <c r="CB13" s="56"/>
      <c r="CC13" s="56"/>
      <c r="CD13" s="56"/>
      <c r="CE13" s="63">
        <f>IF(E22="추가하지 않음",0,AD22)</f>
        <v>0</v>
      </c>
      <c r="CF13" s="56"/>
      <c r="CG13" s="56" t="s">
        <v>1304</v>
      </c>
      <c r="CH13" s="56"/>
      <c r="CI13" s="62">
        <f>SUM(CI5:CI11)</f>
        <v>0</v>
      </c>
      <c r="CJ13" s="64" t="s">
        <v>1312</v>
      </c>
      <c r="CK13" s="56"/>
      <c r="CL13" s="56"/>
      <c r="CN13" s="217" t="str">
        <f>CPU!B10</f>
        <v>i5 6500</v>
      </c>
      <c r="CO13" s="213" t="str">
        <f>메모리!B10</f>
        <v>TeamGroup DDR4 4G PC4-19200 Elite Plus White Gold</v>
      </c>
      <c r="CP13" s="213" t="str">
        <f>CPU쿨러!B10</f>
        <v>쿨러마스터 MASTERLIQUID PRO 240</v>
      </c>
      <c r="CQ13" s="213" t="str">
        <f>메인보드!B11</f>
        <v>GIGABYTE GA-H110M-H 듀러블에디션</v>
      </c>
      <c r="CR13" s="213" t="str">
        <f>그래픽카드!B10</f>
        <v>이엠텍 HV 지포스 GTX750 OverClock Edition D5 1GB</v>
      </c>
      <c r="CS13" s="213" t="str">
        <f>HDD!B10</f>
        <v>WD 5TB BLUE WD50EZRZ</v>
      </c>
      <c r="CT13" s="213" t="str">
        <f>SSD!B10</f>
        <v>마이크론 Crucial MX300 [525GB]</v>
      </c>
      <c r="CU13" s="213">
        <f>ODD!B10</f>
        <v>0</v>
      </c>
      <c r="CV13" s="213" t="str">
        <f>파워서플라이!B10</f>
        <v>&lt;500~599W&gt;</v>
      </c>
      <c r="CW13" s="213" t="str">
        <f>케이스!B10</f>
        <v>3RSYS J210 해머 풀 강화아크릴 윈도우</v>
      </c>
      <c r="CX13" s="213" t="str">
        <f>키보드!B10</f>
        <v>Microsoft Comfort Curve 키보드 3000</v>
      </c>
      <c r="CY13" s="213" t="str">
        <f>마우스!B10</f>
        <v>GIGABYTE AIVIA KRYPTON</v>
      </c>
      <c r="CZ13" s="213" t="str">
        <f>헤드셋!B10</f>
        <v>Britz 브리츠인터내셔널 G2 헤카테</v>
      </c>
      <c r="DA13" s="213" t="str">
        <f>모니터!B10</f>
        <v>LG전자 22MP58VQ</v>
      </c>
    </row>
    <row r="14" spans="4:105" x14ac:dyDescent="0.4">
      <c r="D14" s="431" t="s">
        <v>891</v>
      </c>
      <c r="E14" s="638" t="s">
        <v>3220</v>
      </c>
      <c r="F14" s="639"/>
      <c r="G14" s="639"/>
      <c r="H14" s="639"/>
      <c r="I14" s="639"/>
      <c r="J14" s="639"/>
      <c r="K14" s="639"/>
      <c r="L14" s="639"/>
      <c r="M14" s="639"/>
      <c r="N14" s="639"/>
      <c r="O14" s="639"/>
      <c r="P14" s="639"/>
      <c r="Q14" s="639"/>
      <c r="R14" s="639"/>
      <c r="S14" s="639"/>
      <c r="T14" s="639"/>
      <c r="U14" s="639"/>
      <c r="V14" s="640"/>
      <c r="W14" s="622">
        <f>VLOOKUP(E14,CPU!$B$3:$C$50,2,FALSE)</f>
        <v>0</v>
      </c>
      <c r="X14" s="622"/>
      <c r="Y14" s="622"/>
      <c r="Z14" s="622"/>
      <c r="AA14" s="622"/>
      <c r="AB14" s="622"/>
      <c r="AC14" s="622"/>
      <c r="AD14" s="620">
        <v>1</v>
      </c>
      <c r="AE14" s="621"/>
      <c r="AF14" s="622">
        <f t="shared" ref="AF14:AF23" si="2">W14*AD14</f>
        <v>0</v>
      </c>
      <c r="AG14" s="622"/>
      <c r="AH14" s="622"/>
      <c r="AI14" s="622"/>
      <c r="AJ14" s="622"/>
      <c r="AK14" s="622"/>
      <c r="AL14" s="622"/>
      <c r="AM14" s="623"/>
      <c r="AO14" s="104" t="str">
        <f>IF(CE5+CE6=2,IF(BO5=BO6,"O","CPU소켓을 확인하세요")," ")</f>
        <v xml:space="preserve"> </v>
      </c>
      <c r="BN14" s="56" t="s">
        <v>899</v>
      </c>
      <c r="BO14" s="60" t="str">
        <f>VLOOKUP(E23,CPU쿨러!B3:E32,4,FALSE)</f>
        <v>O</v>
      </c>
      <c r="BP14" s="60" t="str">
        <f>VLOOKUP(E23,CPU쿨러!B3:F32,5,FALSE)</f>
        <v>O</v>
      </c>
      <c r="BQ14" s="60" t="str">
        <f>VLOOKUP(E23,CPU쿨러!B3:G32,6,FALSE)</f>
        <v>O</v>
      </c>
      <c r="BR14" s="60" t="str">
        <f>VLOOKUP(E23,CPU쿨러!B3:G32,6,FALSE)</f>
        <v>O</v>
      </c>
      <c r="BS14" s="60" t="str">
        <f>VLOOKUP(E23,CPU쿨러!B3:H32,7,FALSE)</f>
        <v>O</v>
      </c>
      <c r="BT14" s="56"/>
      <c r="BU14" s="56"/>
      <c r="BV14" s="56"/>
      <c r="BW14" s="56"/>
      <c r="BX14" s="56"/>
      <c r="BY14" s="56"/>
      <c r="BZ14" s="60">
        <f>VLOOKUP(E23,CPU쿨러!B3:I32,8,FALSE)</f>
        <v>0</v>
      </c>
      <c r="CA14" s="56"/>
      <c r="CB14" s="56"/>
      <c r="CC14" s="56"/>
      <c r="CD14" s="56"/>
      <c r="CE14" s="63">
        <f>IF(E23="기본 쿨러",0,AD23)</f>
        <v>0</v>
      </c>
      <c r="CF14" s="56"/>
      <c r="CG14" s="56" t="s">
        <v>1305</v>
      </c>
      <c r="CH14" s="56"/>
      <c r="CI14" s="56"/>
      <c r="CJ14" s="56"/>
      <c r="CK14" s="56"/>
      <c r="CL14" s="56"/>
      <c r="CN14" s="217" t="str">
        <f>CPU!B11</f>
        <v>i3 6320</v>
      </c>
      <c r="CO14" s="213" t="str">
        <f>메모리!B11</f>
        <v>TeamGroup DDR4 4G PC4-19200 Elite Plus Red Gold</v>
      </c>
      <c r="CP14" s="213" t="str">
        <f>CPU쿨러!B11</f>
        <v>잘만 CNPS7X LED+</v>
      </c>
      <c r="CQ14" s="213" t="str">
        <f>메인보드!B12</f>
        <v>GIGABYTE GA-H110M-HD2 듀러블에디션</v>
      </c>
      <c r="CR14" s="213" t="str">
        <f>그래픽카드!B11</f>
        <v>-</v>
      </c>
      <c r="CS14" s="213" t="str">
        <f>HDD!B11</f>
        <v>WD 6TB BLUE WD60EZRZ</v>
      </c>
      <c r="CT14" s="213" t="str">
        <f>SSD!B11</f>
        <v>마이크론 Crucial MX300 [750GB]</v>
      </c>
      <c r="CU14" s="213">
        <f>ODD!B11</f>
        <v>0</v>
      </c>
      <c r="CV14" s="213" t="str">
        <f>파워서플라이!B11</f>
        <v>Antec VP500P V2 A-PFC 88퍼센트</v>
      </c>
      <c r="CW14" s="213" t="str">
        <f>케이스!B11</f>
        <v>3RSYS L300 미르 USB3.0</v>
      </c>
      <c r="CX14" s="213" t="str">
        <f>키보드!B11</f>
        <v>Microsoft Sculpt Comfort 데스크탑</v>
      </c>
      <c r="CY14" s="213" t="str">
        <f>마우스!B11</f>
        <v>GIGABYTE GM-M5050</v>
      </c>
      <c r="CZ14" s="213" t="str">
        <f>헤드셋!B11</f>
        <v>Britz 브리츠인터내셔널 K550</v>
      </c>
      <c r="DA14" s="213" t="str">
        <f>모니터!B11</f>
        <v>삼성전자 S22E390 </v>
      </c>
    </row>
    <row r="15" spans="4:105" x14ac:dyDescent="0.4">
      <c r="D15" s="431" t="s">
        <v>892</v>
      </c>
      <c r="E15" s="638" t="s">
        <v>3220</v>
      </c>
      <c r="F15" s="639"/>
      <c r="G15" s="639"/>
      <c r="H15" s="639"/>
      <c r="I15" s="639"/>
      <c r="J15" s="639"/>
      <c r="K15" s="639"/>
      <c r="L15" s="639"/>
      <c r="M15" s="639"/>
      <c r="N15" s="639"/>
      <c r="O15" s="639"/>
      <c r="P15" s="639"/>
      <c r="Q15" s="639"/>
      <c r="R15" s="639"/>
      <c r="S15" s="639"/>
      <c r="T15" s="639"/>
      <c r="U15" s="639"/>
      <c r="V15" s="640"/>
      <c r="W15" s="622">
        <f>VLOOKUP(E15,메인보드!$B$4:$C$132,2,FALSE)</f>
        <v>0</v>
      </c>
      <c r="X15" s="622"/>
      <c r="Y15" s="622"/>
      <c r="Z15" s="622"/>
      <c r="AA15" s="622"/>
      <c r="AB15" s="622"/>
      <c r="AC15" s="622"/>
      <c r="AD15" s="620">
        <v>1</v>
      </c>
      <c r="AE15" s="621"/>
      <c r="AF15" s="622">
        <f t="shared" si="2"/>
        <v>0</v>
      </c>
      <c r="AG15" s="622"/>
      <c r="AH15" s="622"/>
      <c r="AI15" s="622"/>
      <c r="AJ15" s="622"/>
      <c r="AK15" s="622"/>
      <c r="AL15" s="622"/>
      <c r="AM15" s="623"/>
      <c r="AO15" s="104" t="str">
        <f>IF(CE6+CE13=2,IF(SUM(BU15:BX15)&gt;0,"O","케이스에 안들어갑니다")," ")</f>
        <v xml:space="preserve"> </v>
      </c>
      <c r="BN15" s="56"/>
      <c r="BO15" s="258" t="s">
        <v>1542</v>
      </c>
      <c r="BP15" s="258" t="s">
        <v>1540</v>
      </c>
      <c r="BQ15" s="258" t="s">
        <v>1543</v>
      </c>
      <c r="BR15" s="56" t="s">
        <v>1544</v>
      </c>
      <c r="BS15" s="56" t="s">
        <v>1547</v>
      </c>
      <c r="BT15" s="56"/>
      <c r="BU15" s="60">
        <f>IF(BU13=BU6,1,0)</f>
        <v>0</v>
      </c>
      <c r="BV15" s="60">
        <f>IF(BV13=BV6,1,0)</f>
        <v>0</v>
      </c>
      <c r="BW15" s="60">
        <f>IF(BW13=BW6,1,0)</f>
        <v>0</v>
      </c>
      <c r="BX15" s="60">
        <f>IF(BX13=BX6,1,0)</f>
        <v>0</v>
      </c>
      <c r="BY15" s="56"/>
      <c r="BZ15" s="56" t="s">
        <v>1909</v>
      </c>
      <c r="CA15" s="56"/>
      <c r="CB15" s="56"/>
      <c r="CC15" s="56"/>
      <c r="CD15" s="56"/>
      <c r="CE15" s="56"/>
      <c r="CF15" s="56"/>
      <c r="CG15" s="56" t="s">
        <v>1307</v>
      </c>
      <c r="CH15" s="56"/>
      <c r="CI15" s="56"/>
      <c r="CJ15" s="56" t="s">
        <v>1408</v>
      </c>
      <c r="CK15" s="56"/>
      <c r="CL15" s="56"/>
      <c r="CN15" s="217" t="str">
        <f>CPU!B12</f>
        <v>i3 6300</v>
      </c>
      <c r="CO15" s="213" t="str">
        <f>메모리!B12</f>
        <v>TeamGroup DDR4 16G PC4-19200 Elite</v>
      </c>
      <c r="CP15" s="213" t="str">
        <f>CPU쿨러!B12</f>
        <v>잘만 CNPS9900 MAX 블루</v>
      </c>
      <c r="CQ15" s="213" t="str">
        <f>메인보드!B13</f>
        <v>MSI H110M PRO-VD PLUS</v>
      </c>
      <c r="CR15" s="213" t="str">
        <f>그래픽카드!B12</f>
        <v>ASUS 지포스 GTX750 Ti OC D5 2GB</v>
      </c>
      <c r="CS15" s="213" t="str">
        <f>HDD!B12</f>
        <v>WD 1TB BLACK WD1003FZEX</v>
      </c>
      <c r="CT15" s="213" t="str">
        <f>SSD!B12</f>
        <v>마이크론 Crucial MX300 [1TB]</v>
      </c>
      <c r="CU15" s="213">
        <f>ODD!B12</f>
        <v>0</v>
      </c>
      <c r="CV15" s="213" t="str">
        <f>파워서플라이!B12</f>
        <v>Antec VPF 550 80PLUS 브론즈 </v>
      </c>
      <c r="CW15" s="213" t="str">
        <f>케이스!B12</f>
        <v>3RSYS L520</v>
      </c>
      <c r="CX15" s="213" t="str">
        <f>키보드!B12</f>
        <v>Microsoft 무선 데스크탑 5050</v>
      </c>
      <c r="CY15" s="213" t="str">
        <f>마우스!B12</f>
        <v>GIGABYTE GM-M5050X</v>
      </c>
      <c r="CZ15" s="213" t="str">
        <f>헤드셋!B12</f>
        <v>Britz 브리츠인터내셔널 K810</v>
      </c>
      <c r="DA15" s="213" t="str">
        <f>모니터!B12</f>
        <v>삼성전자 S22F350</v>
      </c>
    </row>
    <row r="16" spans="4:105" x14ac:dyDescent="0.4">
      <c r="D16" s="431" t="s">
        <v>893</v>
      </c>
      <c r="E16" s="638" t="s">
        <v>3220</v>
      </c>
      <c r="F16" s="639"/>
      <c r="G16" s="639"/>
      <c r="H16" s="639"/>
      <c r="I16" s="639"/>
      <c r="J16" s="639"/>
      <c r="K16" s="639"/>
      <c r="L16" s="639"/>
      <c r="M16" s="639"/>
      <c r="N16" s="639"/>
      <c r="O16" s="639"/>
      <c r="P16" s="639"/>
      <c r="Q16" s="639"/>
      <c r="R16" s="639"/>
      <c r="S16" s="639"/>
      <c r="T16" s="639"/>
      <c r="U16" s="639"/>
      <c r="V16" s="640"/>
      <c r="W16" s="622">
        <f>VLOOKUP(E16,메모리!$B$3:$C$50,2,FALSE)</f>
        <v>0</v>
      </c>
      <c r="X16" s="622"/>
      <c r="Y16" s="622"/>
      <c r="Z16" s="622"/>
      <c r="AA16" s="622"/>
      <c r="AB16" s="622"/>
      <c r="AC16" s="622"/>
      <c r="AD16" s="620">
        <v>1</v>
      </c>
      <c r="AE16" s="621"/>
      <c r="AF16" s="622">
        <f t="shared" si="2"/>
        <v>0</v>
      </c>
      <c r="AG16" s="622"/>
      <c r="AH16" s="622"/>
      <c r="AI16" s="622"/>
      <c r="AJ16" s="622"/>
      <c r="AK16" s="622"/>
      <c r="AL16" s="622"/>
      <c r="AM16" s="623"/>
      <c r="AO16" s="55" t="str">
        <f>IF(AND(CE7&gt;0,CE6&gt;0),IF(BP6=BP7,"O","DDR타입이 다릅니다")," ")</f>
        <v xml:space="preserve"> </v>
      </c>
      <c r="AP16" s="233"/>
      <c r="BI16" s="104">
        <v>5</v>
      </c>
      <c r="BJ16" s="235"/>
      <c r="BK16" s="235" t="s">
        <v>1322</v>
      </c>
      <c r="BN16" s="56"/>
      <c r="BO16" s="60" t="b">
        <f>AND(ISNUMBER(FIND(BO15,$BO$5)),BO14="O")</f>
        <v>0</v>
      </c>
      <c r="BP16" s="60" t="b">
        <f>AND(ISNUMBER(FIND(BP15,$BO$5)),BP14="O")</f>
        <v>0</v>
      </c>
      <c r="BQ16" s="60" t="b">
        <f>AND(ISNUMBER(FIND(BQ15,$BO$5)),NOT(BO5="AM1"),BQ14="O")</f>
        <v>0</v>
      </c>
      <c r="BR16" s="60" t="b">
        <f>AND(ISNUMBER(FIND(BR15,$BO$5)),BR14="O")</f>
        <v>0</v>
      </c>
      <c r="BS16" s="60" t="b">
        <f>AND(BO5=BS15,BS14="O")</f>
        <v>0</v>
      </c>
      <c r="BT16" s="64" t="s">
        <v>1545</v>
      </c>
      <c r="BU16" s="259" t="b">
        <f>OR(BO16:BS16)</f>
        <v>0</v>
      </c>
      <c r="BV16" s="64"/>
      <c r="BW16" s="56"/>
      <c r="BX16" s="64"/>
      <c r="BY16" s="56"/>
      <c r="BZ16" s="56"/>
      <c r="CA16" s="56"/>
      <c r="CB16" s="56" t="s">
        <v>1309</v>
      </c>
      <c r="CC16" s="56"/>
      <c r="CD16" s="56"/>
      <c r="CE16" s="56"/>
      <c r="CF16" s="56"/>
      <c r="CG16" s="56" t="s">
        <v>1308</v>
      </c>
      <c r="CH16" s="56"/>
      <c r="CI16" s="56"/>
      <c r="CJ16" s="60">
        <f>IF(BQ8="O",BQ6,BR6)</f>
        <v>0</v>
      </c>
      <c r="CK16" s="56"/>
      <c r="CL16" s="56"/>
      <c r="CN16" s="217" t="str">
        <f>CPU!B13</f>
        <v>i3 6100</v>
      </c>
      <c r="CO16" s="213" t="str">
        <f>메모리!B13</f>
        <v xml:space="preserve">TeamGroup DDR4 16G PC4-19200 Elite Plus Black Gold </v>
      </c>
      <c r="CP16" s="213" t="str">
        <f>CPU쿨러!B13</f>
        <v>잘만 CNPS9900 MAX 레드</v>
      </c>
      <c r="CQ16" s="213" t="str">
        <f>메인보드!B14</f>
        <v>-</v>
      </c>
      <c r="CR16" s="213" t="str">
        <f>그래픽카드!B13</f>
        <v>ASUS STRIX 지포스 GTX750 Ti OC D5 2GB</v>
      </c>
      <c r="CS16" s="213" t="str">
        <f>HDD!B13</f>
        <v>WD 2TB BLACK WD2003FZEX</v>
      </c>
      <c r="CT16" s="213" t="str">
        <f>SSD!B13</f>
        <v>마이크론 Crucial MX300 [2TB]</v>
      </c>
      <c r="CU16" s="213">
        <f>ODD!B13</f>
        <v>0</v>
      </c>
      <c r="CV16" s="213" t="str">
        <f>파워서플라이!B13</f>
        <v>Antec EDGE550 GOLD LED 풀모듈러 </v>
      </c>
      <c r="CW16" s="213" t="str">
        <f>케이스!B13</f>
        <v>3RSYS E600 에스프레소SG USB3.0</v>
      </c>
      <c r="CX16" s="213" t="str">
        <f>키보드!B13</f>
        <v>Microsoft 무선 데스크탑 900</v>
      </c>
      <c r="CY16" s="213" t="str">
        <f>마우스!B13</f>
        <v>GIGABYTE GM-M6880X USB 레이저 게이밍마우스</v>
      </c>
      <c r="CZ16" s="213" t="str">
        <f>헤드셋!B13</f>
        <v>CORSAIR VOID USB Dolby 7.1 Gaming Headset</v>
      </c>
      <c r="DA16" s="213" t="str">
        <f>모니터!B13</f>
        <v>알파스캔 2214 ADS LED 무결점 </v>
      </c>
    </row>
    <row r="17" spans="4:105" x14ac:dyDescent="0.4">
      <c r="D17" s="431" t="s">
        <v>3219</v>
      </c>
      <c r="E17" s="638" t="s">
        <v>3221</v>
      </c>
      <c r="F17" s="639"/>
      <c r="G17" s="639"/>
      <c r="H17" s="639"/>
      <c r="I17" s="639"/>
      <c r="J17" s="639"/>
      <c r="K17" s="639"/>
      <c r="L17" s="639"/>
      <c r="M17" s="639"/>
      <c r="N17" s="639"/>
      <c r="O17" s="639"/>
      <c r="P17" s="639"/>
      <c r="Q17" s="639"/>
      <c r="R17" s="639"/>
      <c r="S17" s="639"/>
      <c r="T17" s="639"/>
      <c r="U17" s="639"/>
      <c r="V17" s="640"/>
      <c r="W17" s="622">
        <f>VLOOKUP(E17,그래픽카드!$B$3:$C$200,2,FALSE)</f>
        <v>0</v>
      </c>
      <c r="X17" s="622"/>
      <c r="Y17" s="622"/>
      <c r="Z17" s="622"/>
      <c r="AA17" s="622"/>
      <c r="AB17" s="622"/>
      <c r="AC17" s="622"/>
      <c r="AD17" s="620">
        <v>1</v>
      </c>
      <c r="AE17" s="621"/>
      <c r="AF17" s="622">
        <f t="shared" si="2"/>
        <v>0</v>
      </c>
      <c r="AG17" s="622"/>
      <c r="AH17" s="622"/>
      <c r="AI17" s="622"/>
      <c r="AJ17" s="622"/>
      <c r="AK17" s="622"/>
      <c r="AL17" s="622"/>
      <c r="AM17" s="623"/>
      <c r="AO17" s="55" t="str">
        <f>IF(CE8+CE6+CE12+CE13&gt;=4,IF(BQ6+BR6&gt;0,IF(CJ16&gt;=CE8,IF(BY8&lt;=BY13,IF(AND(BS8&lt;=BS12,BT8&lt;=BT12),"O","파워 핀수가 부족합니다"),"그래픽 길이가 너무 깁니다"),"그래픽카드 수량이 너무 많습니다"),"메인보드에 슬롯이 없습니다")," ")</f>
        <v xml:space="preserve"> </v>
      </c>
      <c r="AP17" s="233"/>
      <c r="BI17" s="104">
        <v>4.9000000000000004</v>
      </c>
      <c r="BJ17" s="235"/>
      <c r="BK17" s="235" t="s">
        <v>1322</v>
      </c>
      <c r="BN17" s="643" t="s">
        <v>1268</v>
      </c>
      <c r="BO17" s="643"/>
      <c r="BP17" s="643"/>
      <c r="BQ17" s="643"/>
      <c r="BR17" s="643"/>
      <c r="BS17" s="643"/>
      <c r="BT17" s="643"/>
      <c r="BU17" s="643"/>
      <c r="BV17" s="643"/>
      <c r="BW17" s="643"/>
      <c r="BX17" s="643"/>
      <c r="BY17" s="643"/>
      <c r="BZ17" s="643"/>
      <c r="CA17" s="643"/>
      <c r="CB17" s="643"/>
      <c r="CC17" s="643"/>
      <c r="CD17" s="643"/>
      <c r="CE17" s="643"/>
      <c r="CF17" s="643"/>
      <c r="CG17" s="643"/>
      <c r="CH17" s="643"/>
      <c r="CI17" s="643"/>
      <c r="CJ17" s="643"/>
      <c r="CK17" s="643"/>
      <c r="CL17" s="643"/>
      <c r="CN17" s="217" t="str">
        <f>CPU!B14</f>
        <v>펜티엄 G4520</v>
      </c>
      <c r="CO17" s="213" t="str">
        <f>메모리!B14</f>
        <v>ESSENCORE KLEVV DDR4 16G PC4-17000 CL15 CRAS RED (4Gx4)</v>
      </c>
      <c r="CP17" s="213" t="str">
        <f>CPU쿨러!B14</f>
        <v>잘만 CNPS9900 MAX DF</v>
      </c>
      <c r="CQ17" s="213" t="str">
        <f>메인보드!B15</f>
        <v>&lt;B150&gt;</v>
      </c>
      <c r="CR17" s="213" t="str">
        <f>그래픽카드!B14</f>
        <v>Colorful 지포스 GTX750 Ti REVENGE D5 2GB</v>
      </c>
      <c r="CS17" s="213" t="str">
        <f>HDD!B14</f>
        <v>WD 2TB GREEN WD20EZRX</v>
      </c>
      <c r="CT17" s="213" t="str">
        <f>SSD!B14</f>
        <v>Sandisk SSD PLUS [120GB]</v>
      </c>
      <c r="CU17" s="213">
        <f>ODD!B14</f>
        <v>0</v>
      </c>
      <c r="CV17" s="213" t="str">
        <f>파워서플라이!B14</f>
        <v>Enermax MAXPRO EMP500AGT</v>
      </c>
      <c r="CW17" s="213" t="str">
        <f>케이스!B14</f>
        <v>3RSYS E610 에스프레소GT USB3.0</v>
      </c>
      <c r="CX17" s="213" t="str">
        <f>키보드!B14</f>
        <v>Microsoft 유선 데스크탑 600</v>
      </c>
      <c r="CY17" s="213" t="str">
        <f>마우스!B14</f>
        <v>GIGABYTE GM-M6900</v>
      </c>
      <c r="CZ17" s="213" t="str">
        <f>헤드셋!B14</f>
        <v>CORSAIR RAPTOR HS40 7.1 Gaming Headset</v>
      </c>
      <c r="DA17" s="213" t="str">
        <f>모니터!B14</f>
        <v>알파스캔 2250AH1 무결점</v>
      </c>
    </row>
    <row r="18" spans="4:105" x14ac:dyDescent="0.4">
      <c r="D18" s="431" t="s">
        <v>1220</v>
      </c>
      <c r="E18" s="638" t="s">
        <v>3222</v>
      </c>
      <c r="F18" s="639"/>
      <c r="G18" s="639"/>
      <c r="H18" s="639"/>
      <c r="I18" s="639"/>
      <c r="J18" s="639"/>
      <c r="K18" s="639"/>
      <c r="L18" s="639"/>
      <c r="M18" s="639"/>
      <c r="N18" s="639"/>
      <c r="O18" s="639"/>
      <c r="P18" s="639"/>
      <c r="Q18" s="639"/>
      <c r="R18" s="639"/>
      <c r="S18" s="639"/>
      <c r="T18" s="639"/>
      <c r="U18" s="639"/>
      <c r="V18" s="640"/>
      <c r="W18" s="622">
        <f>VLOOKUP(E18,HDD!$B$3:$C$57,2,FALSE)</f>
        <v>0</v>
      </c>
      <c r="X18" s="622"/>
      <c r="Y18" s="622"/>
      <c r="Z18" s="622"/>
      <c r="AA18" s="622"/>
      <c r="AB18" s="622"/>
      <c r="AC18" s="622"/>
      <c r="AD18" s="620">
        <v>1</v>
      </c>
      <c r="AE18" s="621"/>
      <c r="AF18" s="622">
        <f t="shared" si="2"/>
        <v>0</v>
      </c>
      <c r="AG18" s="622"/>
      <c r="AH18" s="622"/>
      <c r="AI18" s="622"/>
      <c r="AJ18" s="622"/>
      <c r="AK18" s="622"/>
      <c r="AL18" s="622"/>
      <c r="AM18" s="623"/>
      <c r="AO18" s="615" t="str">
        <f>IF(AND(CE6+CE12=2,SUM(CE9:CE11)&gt;0),IF(SUM(CB9:CB11)&lt;=CB6,IF(SUM(CA9:CA11)&lt;=CA12,"O","파워선 갯수 부족"),"SATA포트 갯수 부족")," ")</f>
        <v xml:space="preserve"> </v>
      </c>
      <c r="AP18" s="242"/>
      <c r="BI18" s="104">
        <v>4.8</v>
      </c>
      <c r="BJ18" s="235"/>
      <c r="BK18" s="235" t="s">
        <v>1322</v>
      </c>
      <c r="BN18" s="643" t="s">
        <v>1326</v>
      </c>
      <c r="BO18" s="64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N18" s="217" t="str">
        <f>CPU!B15</f>
        <v>펜티엄 G4500</v>
      </c>
      <c r="CO18" s="213" t="str">
        <f>메모리!B15</f>
        <v xml:space="preserve">ESSENCORE KLEVV DDR4 16G PC4-24000 CL16 CRAS WHITE (4Gx4) </v>
      </c>
      <c r="CP18" s="213" t="str">
        <f>CPU쿨러!B15</f>
        <v>써모랩 BADA2010</v>
      </c>
      <c r="CQ18" s="213" t="str">
        <f>메인보드!B16</f>
        <v xml:space="preserve">ASRock B150M PRO4V </v>
      </c>
      <c r="CR18" s="213" t="str">
        <f>그래픽카드!B15</f>
        <v>GIGABYTE 지포스 GTX750 Ti UD2 OC D5 1GB UltraHD</v>
      </c>
      <c r="CS18" s="213" t="str">
        <f>HDD!B15</f>
        <v>WD 3TB GREEN WD30EZRX</v>
      </c>
      <c r="CT18" s="213" t="str">
        <f>SSD!B15</f>
        <v>Sandisk SSD PLUS [240GB]</v>
      </c>
      <c r="CU18" s="213">
        <f>ODD!B15</f>
        <v>0</v>
      </c>
      <c r="CV18" s="213" t="str">
        <f>파워서플라이!B15</f>
        <v>Enermax NAXN Adv ETL550AWT </v>
      </c>
      <c r="CW18" s="213" t="str">
        <f>케이스!B15</f>
        <v>3RSYS L700 이클립스</v>
      </c>
      <c r="CX18" s="213" t="str">
        <f>키보드!B15</f>
        <v>로지텍 K100 New 클래식 키보드</v>
      </c>
      <c r="CY18" s="213" t="str">
        <f>마우스!B15</f>
        <v>GIGABYTE GM-M6980X</v>
      </c>
      <c r="CZ18" s="213" t="str">
        <f>헤드셋!B15</f>
        <v>CORSAIR Gaming H1500 Dolby 7.1 Gaming Headset</v>
      </c>
      <c r="DA18" s="213" t="str">
        <f>모니터!B15</f>
        <v>알파스캔 AOC 2269 IPS LED 무결점 </v>
      </c>
    </row>
    <row r="19" spans="4:105" x14ac:dyDescent="0.4">
      <c r="D19" s="431" t="s">
        <v>896</v>
      </c>
      <c r="E19" s="638" t="s">
        <v>3223</v>
      </c>
      <c r="F19" s="639"/>
      <c r="G19" s="639"/>
      <c r="H19" s="639"/>
      <c r="I19" s="639"/>
      <c r="J19" s="639"/>
      <c r="K19" s="639"/>
      <c r="L19" s="639"/>
      <c r="M19" s="639"/>
      <c r="N19" s="639"/>
      <c r="O19" s="639"/>
      <c r="P19" s="639"/>
      <c r="Q19" s="639"/>
      <c r="R19" s="639"/>
      <c r="S19" s="639"/>
      <c r="T19" s="639"/>
      <c r="U19" s="639"/>
      <c r="V19" s="640"/>
      <c r="W19" s="622">
        <f>VLOOKUP(E19,SSD!$B$3:$C$88,2,FALSE)</f>
        <v>0</v>
      </c>
      <c r="X19" s="622"/>
      <c r="Y19" s="622"/>
      <c r="Z19" s="622"/>
      <c r="AA19" s="622"/>
      <c r="AB19" s="622"/>
      <c r="AC19" s="622"/>
      <c r="AD19" s="620">
        <v>1</v>
      </c>
      <c r="AE19" s="621"/>
      <c r="AF19" s="622">
        <f t="shared" si="2"/>
        <v>0</v>
      </c>
      <c r="AG19" s="622"/>
      <c r="AH19" s="622"/>
      <c r="AI19" s="622"/>
      <c r="AJ19" s="622"/>
      <c r="AK19" s="622"/>
      <c r="AL19" s="622"/>
      <c r="AM19" s="623"/>
      <c r="AO19" s="615"/>
      <c r="AP19" s="242"/>
      <c r="BI19" s="104">
        <v>4.7</v>
      </c>
      <c r="BJ19" s="235"/>
      <c r="BK19" s="235" t="s">
        <v>1321</v>
      </c>
      <c r="BN19" s="63">
        <v>1</v>
      </c>
      <c r="BO19" s="63" t="s">
        <v>3171</v>
      </c>
      <c r="BP19" s="63"/>
      <c r="BQ19" s="437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N19" s="217" t="str">
        <f>CPU!B16</f>
        <v>셀러론 G3920</v>
      </c>
      <c r="CO19" s="213" t="str">
        <f>메모리!B16</f>
        <v>ESSENCORE KLEVV DDR4 16G PC4-24000 CL16 CRAS RED (4Gx4)</v>
      </c>
      <c r="CP19" s="213" t="str">
        <f>CPU쿨러!B16</f>
        <v>써모랩 ITX30</v>
      </c>
      <c r="CQ19" s="213" t="str">
        <f>메인보드!B17</f>
        <v>ASRock B150M PRO4/HYPER</v>
      </c>
      <c r="CR19" s="213" t="str">
        <f>그래픽카드!B16</f>
        <v>GIGABYTE 지포스 GTX750 Ti UD2 OC D5 2GB 미니미</v>
      </c>
      <c r="CS19" s="213" t="str">
        <f>HDD!B16</f>
        <v>WD 4TB GREEN WD40EZRX</v>
      </c>
      <c r="CT19" s="213" t="str">
        <f>SSD!B16</f>
        <v>Sandisk SSD PLUS [480GB]</v>
      </c>
      <c r="CU19" s="213">
        <f>ODD!B16</f>
        <v>0</v>
      </c>
      <c r="CV19" s="213" t="str">
        <f>파워서플라이!B16</f>
        <v>FSP HEXA+ 500W</v>
      </c>
      <c r="CW19" s="213" t="str">
        <f>케이스!B16</f>
        <v>3RSYS L900 USB3.0</v>
      </c>
      <c r="CX19" s="213" t="str">
        <f>키보드!B16</f>
        <v>로지텍 K120 New 키보드</v>
      </c>
      <c r="CY19" s="213" t="str">
        <f>마우스!B16</f>
        <v>GIGABYTE GM-M8000X</v>
      </c>
      <c r="CZ19" s="213" t="str">
        <f>헤드셋!B16</f>
        <v>CORSAIR RAPTOR HS30</v>
      </c>
      <c r="DA19" s="213" t="str">
        <f>모니터!B16</f>
        <v>알파스캔 AOC 2276 ADS 무결점 </v>
      </c>
    </row>
    <row r="20" spans="4:105" x14ac:dyDescent="0.4">
      <c r="D20" s="431" t="s">
        <v>1221</v>
      </c>
      <c r="E20" s="638" t="s">
        <v>3222</v>
      </c>
      <c r="F20" s="639"/>
      <c r="G20" s="639"/>
      <c r="H20" s="639"/>
      <c r="I20" s="639"/>
      <c r="J20" s="639"/>
      <c r="K20" s="639"/>
      <c r="L20" s="639"/>
      <c r="M20" s="639"/>
      <c r="N20" s="639"/>
      <c r="O20" s="639"/>
      <c r="P20" s="639"/>
      <c r="Q20" s="639"/>
      <c r="R20" s="639"/>
      <c r="S20" s="639"/>
      <c r="T20" s="639"/>
      <c r="U20" s="639"/>
      <c r="V20" s="640"/>
      <c r="W20" s="622">
        <f>VLOOKUP(E20,ODD!$B$3:$C$9,2,FALSE)</f>
        <v>0</v>
      </c>
      <c r="X20" s="622"/>
      <c r="Y20" s="622"/>
      <c r="Z20" s="622"/>
      <c r="AA20" s="622"/>
      <c r="AB20" s="622"/>
      <c r="AC20" s="622"/>
      <c r="AD20" s="620">
        <v>1</v>
      </c>
      <c r="AE20" s="621"/>
      <c r="AF20" s="622">
        <f t="shared" si="2"/>
        <v>0</v>
      </c>
      <c r="AG20" s="622"/>
      <c r="AH20" s="622"/>
      <c r="AI20" s="622"/>
      <c r="AJ20" s="622"/>
      <c r="AK20" s="622"/>
      <c r="AL20" s="622"/>
      <c r="AM20" s="623"/>
      <c r="AO20" s="615"/>
      <c r="AP20" s="242"/>
      <c r="BI20" s="104">
        <v>4.5999999999999996</v>
      </c>
      <c r="BJ20" s="235"/>
      <c r="BK20" s="235" t="s">
        <v>1322</v>
      </c>
      <c r="BN20" s="63">
        <v>2</v>
      </c>
      <c r="BO20" s="63" t="s">
        <v>3161</v>
      </c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N20" s="217" t="str">
        <f>CPU!B17</f>
        <v>셀러론 G3900</v>
      </c>
      <c r="CO20" s="213" t="str">
        <f>메모리!B17</f>
        <v>CORSAIR DDR4 16G PC4-24000 CL15 VENGEANCE LPX 레드 (8Gx2)</v>
      </c>
      <c r="CP20" s="213" t="str">
        <f>CPU쿨러!B17</f>
        <v>써모랩 LP53</v>
      </c>
      <c r="CQ20" s="213" t="str">
        <f>메인보드!B18</f>
        <v xml:space="preserve">ASUS B150M-A/M.2 </v>
      </c>
      <c r="CR20" s="213" t="str">
        <f>그래픽카드!B17</f>
        <v>GIGABYTE 지포스 GTX750 Ti UD2 OC D5 2GB UltraHD</v>
      </c>
      <c r="CS20" s="213" t="str">
        <f>HDD!B17</f>
        <v>WD 2TB Red WD20EFRX</v>
      </c>
      <c r="CT20" s="213" t="str">
        <f>SSD!B17</f>
        <v>Sandisk Z400s [64GB]</v>
      </c>
      <c r="CU20" s="213">
        <f>ODD!B17</f>
        <v>0</v>
      </c>
      <c r="CV20" s="213" t="str">
        <f>파워서플라이!B17</f>
        <v>FSP HYPER K 500W 80PLUS Standard 230V EU</v>
      </c>
      <c r="CW20" s="213" t="str">
        <f>케이스!B17</f>
        <v>3RSYS L900 USB3.0 화이트</v>
      </c>
      <c r="CX20" s="213" t="str">
        <f>키보드!B17</f>
        <v>로지텍 K270 무선 키보드</v>
      </c>
      <c r="CY20" s="213" t="str">
        <f>마우스!B17</f>
        <v>GIGABYTE RAPTOR FPS 게이밍마우스</v>
      </c>
      <c r="CZ20" s="213" t="str">
        <f>헤드셋!B17</f>
        <v>CORSAIR VOID Surround Hybrid Stereo</v>
      </c>
      <c r="DA20" s="213" t="str">
        <f>모니터!B17</f>
        <v>알파스캔 AOC 2281 IPS 플리커프리 무결점</v>
      </c>
    </row>
    <row r="21" spans="4:105" x14ac:dyDescent="0.4">
      <c r="D21" s="431" t="s">
        <v>3158</v>
      </c>
      <c r="E21" s="638" t="s">
        <v>3220</v>
      </c>
      <c r="F21" s="639"/>
      <c r="G21" s="639"/>
      <c r="H21" s="639"/>
      <c r="I21" s="639"/>
      <c r="J21" s="639"/>
      <c r="K21" s="639"/>
      <c r="L21" s="639"/>
      <c r="M21" s="639"/>
      <c r="N21" s="639"/>
      <c r="O21" s="639"/>
      <c r="P21" s="639"/>
      <c r="Q21" s="639"/>
      <c r="R21" s="639"/>
      <c r="S21" s="639"/>
      <c r="T21" s="639"/>
      <c r="U21" s="639"/>
      <c r="V21" s="640"/>
      <c r="W21" s="622">
        <f>VLOOKUP(E21,파워서플라이!$B$3:$C$131,2,FALSE)</f>
        <v>0</v>
      </c>
      <c r="X21" s="622"/>
      <c r="Y21" s="622"/>
      <c r="Z21" s="622"/>
      <c r="AA21" s="622"/>
      <c r="AB21" s="622"/>
      <c r="AC21" s="622"/>
      <c r="AD21" s="620">
        <v>1</v>
      </c>
      <c r="AE21" s="621"/>
      <c r="AF21" s="622">
        <f t="shared" si="2"/>
        <v>0</v>
      </c>
      <c r="AG21" s="622"/>
      <c r="AH21" s="622"/>
      <c r="AI21" s="622"/>
      <c r="AJ21" s="622"/>
      <c r="AK21" s="622"/>
      <c r="AL21" s="622"/>
      <c r="AM21" s="623"/>
      <c r="AO21" s="55" t="str">
        <f>IF(AND(CE12=1,SUM(CE5:CE11)&gt;0),IF(CL10&gt;=0,IF(CK10&gt;=0,"O","파워 위험"),"파워 부족")," ")</f>
        <v xml:space="preserve"> </v>
      </c>
      <c r="BI21" s="104">
        <v>4.5</v>
      </c>
      <c r="BJ21" s="235"/>
      <c r="BK21" s="235" t="s">
        <v>1322</v>
      </c>
      <c r="BN21" s="63">
        <v>3</v>
      </c>
      <c r="BO21" s="63" t="s">
        <v>3166</v>
      </c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N21" s="217" t="str">
        <f>CPU!B18</f>
        <v>i7 5960X</v>
      </c>
      <c r="CO21" s="213" t="str">
        <f>메모리!B18</f>
        <v>CORSAIR DDR4 32G PC4-25600 CL16 VENGEANCE LPX 레드 (16Gx2)</v>
      </c>
      <c r="CP21" s="213" t="str">
        <f>CPU쿨러!B18</f>
        <v>써모랩 Trinity</v>
      </c>
      <c r="CQ21" s="213" t="str">
        <f>메인보드!B19</f>
        <v>ASUS B150M PRO GAMING</v>
      </c>
      <c r="CR21" s="213" t="str">
        <f>그래픽카드!B18</f>
        <v>inno3D 지포스 GTX750 Ti OC D5 1GB</v>
      </c>
      <c r="CS21" s="213" t="str">
        <f>HDD!B18</f>
        <v>WD 3TB Red WD30EFRX</v>
      </c>
      <c r="CT21" s="213" t="str">
        <f>SSD!B18</f>
        <v>Sandisk Z400s [128GB]</v>
      </c>
      <c r="CU21" s="213"/>
      <c r="CV21" s="213" t="str">
        <f>파워서플라이!B18</f>
        <v>FSP HYPER 500W </v>
      </c>
      <c r="CW21" s="213" t="str">
        <f>케이스!B18</f>
        <v>3RSYS L920 Black &amp; White -White Chassis-</v>
      </c>
      <c r="CX21" s="213" t="str">
        <f>키보드!B18</f>
        <v>로지텍 MK120 New 콤보</v>
      </c>
      <c r="CY21" s="213" t="str">
        <f>마우스!B18</f>
        <v>Microsoft Arc 터치 블루투스 마우스</v>
      </c>
      <c r="CZ21" s="213" t="str">
        <f>헤드셋!B18</f>
        <v>CORSAIR VOID STEREO Gaming Headset</v>
      </c>
      <c r="DA21" s="213" t="str">
        <f>모니터!B18</f>
        <v>알파스캔 프레스티지 2215 LED 무결점</v>
      </c>
    </row>
    <row r="22" spans="4:105" x14ac:dyDescent="0.4">
      <c r="D22" s="431" t="s">
        <v>898</v>
      </c>
      <c r="E22" s="638" t="s">
        <v>3222</v>
      </c>
      <c r="F22" s="639"/>
      <c r="G22" s="639"/>
      <c r="H22" s="639"/>
      <c r="I22" s="639"/>
      <c r="J22" s="639"/>
      <c r="K22" s="639"/>
      <c r="L22" s="639"/>
      <c r="M22" s="639"/>
      <c r="N22" s="639"/>
      <c r="O22" s="639"/>
      <c r="P22" s="639"/>
      <c r="Q22" s="639"/>
      <c r="R22" s="639"/>
      <c r="S22" s="639"/>
      <c r="T22" s="639"/>
      <c r="U22" s="639"/>
      <c r="V22" s="640"/>
      <c r="W22" s="622">
        <f>VLOOKUP(E22,케이스!$B$3:$C$129,2,FALSE)</f>
        <v>0</v>
      </c>
      <c r="X22" s="622"/>
      <c r="Y22" s="622"/>
      <c r="Z22" s="622"/>
      <c r="AA22" s="622"/>
      <c r="AB22" s="622"/>
      <c r="AC22" s="622"/>
      <c r="AD22" s="620">
        <v>1</v>
      </c>
      <c r="AE22" s="621"/>
      <c r="AF22" s="622">
        <f t="shared" si="2"/>
        <v>0</v>
      </c>
      <c r="AG22" s="622"/>
      <c r="AH22" s="622"/>
      <c r="AI22" s="622"/>
      <c r="AJ22" s="622"/>
      <c r="AK22" s="622"/>
      <c r="AL22" s="622"/>
      <c r="AM22" s="623"/>
      <c r="BI22" s="104">
        <v>4.4000000000000004</v>
      </c>
      <c r="BJ22" s="235"/>
      <c r="BK22" s="235" t="s">
        <v>1322</v>
      </c>
      <c r="BN22" s="63">
        <v>4</v>
      </c>
      <c r="BO22" s="63" t="s">
        <v>3165</v>
      </c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N22" s="217" t="str">
        <f>CPU!B19</f>
        <v>i7 5820k</v>
      </c>
      <c r="CO22" s="213" t="str">
        <f>메모리!B19</f>
        <v>CORSAIR DDR4 32G PC4-22400 CL16 Dominator Platinum (16Gx2)</v>
      </c>
      <c r="CP22" s="213" t="str">
        <f>CPU쿨러!B19</f>
        <v xml:space="preserve">DEEPCOOL GAMMAXX 400 For Intel BRAVOTEC </v>
      </c>
      <c r="CQ22" s="213" t="str">
        <f>메인보드!B20</f>
        <v>GIGABYTE GA-B150M-D2V 듀러블에디션</v>
      </c>
      <c r="CR22" s="213" t="str">
        <f>그래픽카드!B19</f>
        <v>inno3D 지포스 GTX750 Ti OC D5 2GB</v>
      </c>
      <c r="CS22" s="213" t="str">
        <f>HDD!B19</f>
        <v>WD 4TB Red WD40EFRX</v>
      </c>
      <c r="CT22" s="213" t="str">
        <f>SSD!B19</f>
        <v>Sandisk Z400s [256GB]</v>
      </c>
      <c r="CU22" s="213"/>
      <c r="CV22" s="213" t="str">
        <f>파워서플라이!B19</f>
        <v>FSP Hydro 500W 80PLUS BRONZE 230V EU</v>
      </c>
      <c r="CW22" s="213" t="str">
        <f>케이스!B19</f>
        <v>3RSYS L910 화이트 풀 윈도우 튜닝LED바</v>
      </c>
      <c r="CX22" s="213" t="str">
        <f>키보드!B19</f>
        <v>로지텍 MK235 무선 콤보</v>
      </c>
      <c r="CY22" s="213" t="str">
        <f>마우스!B19</f>
        <v>Microsoft Sculpt Comfort 마우스</v>
      </c>
      <c r="CZ22" s="213" t="str">
        <f>헤드셋!B19</f>
        <v>OZONE RAGE ST</v>
      </c>
      <c r="DA22" s="213" t="str">
        <f>모니터!B19</f>
        <v>-</v>
      </c>
    </row>
    <row r="23" spans="4:105" ht="16.2" thickBot="1" x14ac:dyDescent="0.45">
      <c r="D23" s="431" t="s">
        <v>899</v>
      </c>
      <c r="E23" s="638" t="s">
        <v>3224</v>
      </c>
      <c r="F23" s="639"/>
      <c r="G23" s="639"/>
      <c r="H23" s="639"/>
      <c r="I23" s="639"/>
      <c r="J23" s="639"/>
      <c r="K23" s="639"/>
      <c r="L23" s="639"/>
      <c r="M23" s="639"/>
      <c r="N23" s="639"/>
      <c r="O23" s="639"/>
      <c r="P23" s="639"/>
      <c r="Q23" s="639"/>
      <c r="R23" s="639"/>
      <c r="S23" s="639"/>
      <c r="T23" s="639"/>
      <c r="U23" s="639"/>
      <c r="V23" s="640"/>
      <c r="W23" s="622">
        <f>VLOOKUP(E23,CPU쿨러!$B$3:$C$32,2,FALSE)</f>
        <v>0</v>
      </c>
      <c r="X23" s="622"/>
      <c r="Y23" s="622"/>
      <c r="Z23" s="622"/>
      <c r="AA23" s="622"/>
      <c r="AB23" s="622"/>
      <c r="AC23" s="622"/>
      <c r="AD23" s="620">
        <v>1</v>
      </c>
      <c r="AE23" s="621"/>
      <c r="AF23" s="622">
        <f t="shared" si="2"/>
        <v>0</v>
      </c>
      <c r="AG23" s="622"/>
      <c r="AH23" s="622"/>
      <c r="AI23" s="622"/>
      <c r="AJ23" s="622"/>
      <c r="AK23" s="622"/>
      <c r="AL23" s="622"/>
      <c r="AM23" s="623"/>
      <c r="AO23" s="55" t="str">
        <f>IF(CE14+CE5+CE13&gt;=2,IF(AND(CC5="O",E23="기본 쿨러"),"쿨러가 없는 CPU입니다",IF(BU16,IF(BZ14&lt;=BZ13,"O","쿨러높이 초과"),"장착이 되지않는 CPU입니다"))," ")</f>
        <v xml:space="preserve"> </v>
      </c>
      <c r="BI23" s="104">
        <v>4.3</v>
      </c>
      <c r="BJ23" s="235"/>
      <c r="BK23" s="235" t="s">
        <v>1322</v>
      </c>
      <c r="BN23" s="63">
        <v>5</v>
      </c>
      <c r="BO23" s="63" t="s">
        <v>3170</v>
      </c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N23" s="217" t="str">
        <f>CPU!B20</f>
        <v>i7 4790k</v>
      </c>
      <c r="CO23" s="213" t="str">
        <f>메모리!B20</f>
        <v>CORSAIR DDR4 32G PC4-28800 CL16 Dominator Platinum (8Gx4)</v>
      </c>
      <c r="CP23" s="213" t="str">
        <f>CPU쿨러!B20</f>
        <v xml:space="preserve">DEEPCOOL FROSTWIN LED 2016 BRAVOTEC </v>
      </c>
      <c r="CQ23" s="213" t="str">
        <f>메인보드!B21</f>
        <v>GIGABYTE GA-B150M-HD3 듀러블에디션</v>
      </c>
      <c r="CR23" s="213" t="str">
        <f>그래픽카드!B20</f>
        <v>MANLI 지포스 GTX750 Ti Black Knight D5 1GB</v>
      </c>
      <c r="CS23" s="213" t="str">
        <f>HDD!B20</f>
        <v>WD 5TB Red WD50EFRX</v>
      </c>
      <c r="CT23" s="213" t="str">
        <f>SSD!B20</f>
        <v>Sandisk Z410 [120GB]</v>
      </c>
      <c r="CV23" s="213" t="str">
        <f>파워서플라이!B20</f>
        <v>FSP FSP550-50KPN</v>
      </c>
      <c r="CW23" s="213" t="str">
        <f>케이스!B20</f>
        <v>3RSYS L1000 강화유리</v>
      </c>
      <c r="CX23" s="213" t="str">
        <f>키보드!B20</f>
        <v>스카이디지탈 NKEYBOARD NKEY-1</v>
      </c>
      <c r="CY23" s="213" t="str">
        <f>마우스!B20</f>
        <v>Microsoft Sculpt 인체공학 마우스</v>
      </c>
      <c r="CZ23" s="213" t="str">
        <f>헤드셋!B20</f>
        <v>OZONE ONDA 3HX</v>
      </c>
      <c r="DA23" s="213" t="str">
        <f>모니터!B20</f>
        <v>&lt;23인치&gt;</v>
      </c>
    </row>
    <row r="24" spans="4:105" ht="16.2" thickBot="1" x14ac:dyDescent="0.45">
      <c r="D24" s="430" t="s">
        <v>900</v>
      </c>
      <c r="E24" s="624">
        <f>SUM(AF14:AM23)</f>
        <v>0</v>
      </c>
      <c r="F24" s="624"/>
      <c r="G24" s="624"/>
      <c r="H24" s="624"/>
      <c r="I24" s="624"/>
      <c r="J24" s="624"/>
      <c r="K24" s="624"/>
      <c r="L24" s="624"/>
      <c r="M24" s="624"/>
      <c r="N24" s="624"/>
      <c r="O24" s="624"/>
      <c r="P24" s="624"/>
      <c r="Q24" s="624"/>
      <c r="R24" s="624"/>
      <c r="S24" s="624"/>
      <c r="T24" s="624"/>
      <c r="U24" s="624"/>
      <c r="V24" s="624"/>
      <c r="W24" s="624"/>
      <c r="X24" s="624"/>
      <c r="Y24" s="624"/>
      <c r="Z24" s="624"/>
      <c r="AA24" s="624"/>
      <c r="AB24" s="624"/>
      <c r="AC24" s="624"/>
      <c r="AD24" s="624"/>
      <c r="AE24" s="624"/>
      <c r="AF24" s="624"/>
      <c r="AG24" s="624"/>
      <c r="AH24" s="624"/>
      <c r="AI24" s="624"/>
      <c r="AJ24" s="624"/>
      <c r="AK24" s="624"/>
      <c r="AL24" s="624"/>
      <c r="AM24" s="625"/>
      <c r="BI24" s="104">
        <v>4.2</v>
      </c>
      <c r="BJ24" s="235"/>
      <c r="BK24" s="235" t="s">
        <v>1322</v>
      </c>
      <c r="BN24" s="63">
        <v>6</v>
      </c>
      <c r="BO24" s="63" t="s">
        <v>3159</v>
      </c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N24" s="217" t="str">
        <f>CPU!B21</f>
        <v>i7 4790</v>
      </c>
      <c r="CO24" s="213" t="str">
        <f>메모리!B21</f>
        <v>G.SKILL DDR4 4G PC4-19200 CL15 AEGIS (4Gx1)</v>
      </c>
      <c r="CP24" s="213" t="str">
        <f>CPU쿨러!B21</f>
        <v xml:space="preserve">DEEPCOOL GAMER STORM CAPTAIN 240EX WHITE BRAVOTEC </v>
      </c>
      <c r="CQ24" s="213" t="str">
        <f>메인보드!B22</f>
        <v>MSI B150M 바주카</v>
      </c>
      <c r="CR24" s="213" t="str">
        <f>그래픽카드!B21</f>
        <v>MSI 지포스 GTX750 Ti OC 블랙 아머 D5 2GB V1</v>
      </c>
      <c r="CS24" s="213" t="str">
        <f>HDD!B21</f>
        <v>WD 6TB Red WD60EFRX</v>
      </c>
      <c r="CT24" s="213" t="str">
        <f>SSD!B21</f>
        <v>Sandisk Z410 [240GB]</v>
      </c>
      <c r="CV24" s="213" t="str">
        <f>파워서플라이!B21</f>
        <v>FSP AURUM PT-550M</v>
      </c>
      <c r="CW24" s="213" t="str">
        <f>케이스!B21</f>
        <v>ABKO NCORE 넘버원</v>
      </c>
      <c r="CX24" s="213" t="str">
        <f>키보드!B21</f>
        <v>스카이디지탈 NKEYBOARD NKEY-2</v>
      </c>
      <c r="CY24" s="213" t="str">
        <f>마우스!B21</f>
        <v>Microsoft 디자이너 블루투스 마우스</v>
      </c>
      <c r="CZ24" s="213" t="str">
        <f>헤드셋!B21</f>
        <v>OZONE RAGE 7HX Virtual 7.1CH</v>
      </c>
      <c r="DA24" s="213" t="str">
        <f>모니터!B21</f>
        <v xml:space="preserve">BenQ VZ2350HM 아이케어 무결점 </v>
      </c>
    </row>
    <row r="25" spans="4:105" ht="16.2" thickBot="1" x14ac:dyDescent="0.45">
      <c r="D25" s="219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02"/>
      <c r="X25" s="202"/>
      <c r="Y25" s="202"/>
      <c r="Z25" s="202"/>
      <c r="AA25" s="202"/>
      <c r="AB25" s="202"/>
      <c r="AC25" s="202"/>
      <c r="AD25" s="212"/>
      <c r="AE25" s="212"/>
      <c r="AF25" s="212"/>
      <c r="AG25" s="212"/>
      <c r="AH25" s="212"/>
      <c r="AI25" s="212"/>
      <c r="AJ25" s="212"/>
      <c r="AK25" s="212"/>
      <c r="AL25" s="212"/>
      <c r="AM25" s="220"/>
      <c r="BI25" s="104">
        <v>4.0999999999999996</v>
      </c>
      <c r="BJ25" s="235"/>
      <c r="BK25" s="235" t="s">
        <v>1325</v>
      </c>
      <c r="BN25" s="63">
        <v>7</v>
      </c>
      <c r="BO25" s="63" t="s">
        <v>3169</v>
      </c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N25" s="217" t="str">
        <f>CPU!B22</f>
        <v>i7 4770</v>
      </c>
      <c r="CO25" s="213" t="str">
        <f>메모리!B22</f>
        <v xml:space="preserve">G.SKILL DDR4 8G PC4-24000 CL15 RIPJAWS VR (4Gx2) </v>
      </c>
      <c r="CP25" s="213" t="str">
        <f>CPU쿨러!B22</f>
        <v>CORSAIR HYDRO SERIES H80i v2</v>
      </c>
      <c r="CQ25" s="213" t="str">
        <f>메인보드!B23</f>
        <v>MSI B150M 박격포</v>
      </c>
      <c r="CR25" s="213" t="str">
        <f>그래픽카드!B22</f>
        <v>ZOTAC 지포스 GTX750 Ti D5 1GB</v>
      </c>
      <c r="CS25" s="213" t="str">
        <f>HDD!B22</f>
        <v>Toshiba 500GB DT01ACA050</v>
      </c>
      <c r="CT25" s="213" t="str">
        <f>SSD!B22</f>
        <v>Sandisk Z410 [480GB]</v>
      </c>
      <c r="CV25" s="213" t="str">
        <f>파워서플라이!B22</f>
        <v>SuperFlower SF-500R12A NOVA</v>
      </c>
      <c r="CW25" s="213" t="str">
        <f>케이스!B22</f>
        <v>ABKO NCORE 팝</v>
      </c>
      <c r="CX25" s="213" t="str">
        <f>키보드!B22</f>
        <v>스카이디지탈 NKEYBOARD NKEY-D2 더블샷 레인보우 LED</v>
      </c>
      <c r="CY25" s="213" t="str">
        <f>마우스!B22</f>
        <v>Microsoft 무선 Arc 터치 마우스</v>
      </c>
      <c r="CZ25" s="213" t="str">
        <f>헤드셋!B22</f>
        <v>OZONE RAGE Z50</v>
      </c>
      <c r="DA25" s="213" t="str">
        <f>모니터!B22</f>
        <v>DELL P2314H</v>
      </c>
    </row>
    <row r="26" spans="4:105" ht="17.399999999999999" customHeight="1" x14ac:dyDescent="0.4">
      <c r="D26" s="432" t="s">
        <v>901</v>
      </c>
      <c r="E26" s="656" t="s">
        <v>3225</v>
      </c>
      <c r="F26" s="657"/>
      <c r="G26" s="657"/>
      <c r="H26" s="657"/>
      <c r="I26" s="657"/>
      <c r="J26" s="657"/>
      <c r="K26" s="657"/>
      <c r="L26" s="657"/>
      <c r="M26" s="657"/>
      <c r="N26" s="657"/>
      <c r="O26" s="657"/>
      <c r="P26" s="657"/>
      <c r="Q26" s="657"/>
      <c r="R26" s="657"/>
      <c r="S26" s="657"/>
      <c r="T26" s="657"/>
      <c r="U26" s="657"/>
      <c r="V26" s="658"/>
      <c r="W26" s="687">
        <f>VLOOKUP(E26,모니터!B3:C156,2,FALSE)</f>
        <v>0</v>
      </c>
      <c r="X26" s="675"/>
      <c r="Y26" s="675"/>
      <c r="Z26" s="675"/>
      <c r="AA26" s="675"/>
      <c r="AB26" s="675"/>
      <c r="AC26" s="688"/>
      <c r="AD26" s="685">
        <v>1</v>
      </c>
      <c r="AE26" s="686"/>
      <c r="AF26" s="675">
        <f>W26*AD26</f>
        <v>0</v>
      </c>
      <c r="AG26" s="675"/>
      <c r="AH26" s="675"/>
      <c r="AI26" s="675"/>
      <c r="AJ26" s="675"/>
      <c r="AK26" s="675"/>
      <c r="AL26" s="675"/>
      <c r="AM26" s="676"/>
      <c r="BI26" s="104">
        <v>4</v>
      </c>
      <c r="BJ26" s="235"/>
      <c r="BK26" s="235"/>
      <c r="BN26" s="63">
        <v>8</v>
      </c>
      <c r="BO26" s="63" t="s">
        <v>3168</v>
      </c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N26" s="217" t="str">
        <f>CPU!B23</f>
        <v>i5 4690</v>
      </c>
      <c r="CO26" s="213" t="str">
        <f>메모리!B23</f>
        <v xml:space="preserve">G.SKILL DDR4 8G PC4-24000 CL15 TRIDENT Z (4Gx2) </v>
      </c>
      <c r="CP26" s="213" t="str">
        <f>CPU쿨러!B23</f>
        <v>CORSAIR HYDRO SERIES H100i v2</v>
      </c>
      <c r="CQ26" s="213" t="str">
        <f>메인보드!B24</f>
        <v>-</v>
      </c>
      <c r="CR26" s="213" t="str">
        <f>그래픽카드!B23</f>
        <v>ZOTAC 지포스 GTX750 Ti D5 2GB</v>
      </c>
      <c r="CS26" s="213" t="str">
        <f>HDD!B23</f>
        <v>Toshiba 1TB DT01ACA100</v>
      </c>
      <c r="CT26" s="213" t="str">
        <f>SSD!B23</f>
        <v>Sandisk X400 [128GB]</v>
      </c>
      <c r="CV26" s="213" t="str">
        <f>파워서플라이!B23</f>
        <v>SuperFlower SF-500R14SE Silver Green FX </v>
      </c>
      <c r="CW26" s="213" t="str">
        <f>케이스!B23</f>
        <v>ABKO NCORE 볼트론 USB 3.0</v>
      </c>
      <c r="CX26" s="213" t="str">
        <f>키보드!B23</f>
        <v>스카이디지탈 NKEYBOARD NKEY-D4 더블샷 레인보우 LED</v>
      </c>
      <c r="CY26" s="213" t="str">
        <f>마우스!B23</f>
        <v>Microsoft 무선 모바일 마우스 4000</v>
      </c>
      <c r="CZ26" s="213" t="str">
        <f>헤드셋!B23</f>
        <v>Razer Kraken Pro II</v>
      </c>
      <c r="DA26" s="213" t="str">
        <f>모니터!B23</f>
        <v>DELL S2316H</v>
      </c>
    </row>
    <row r="27" spans="4:105" x14ac:dyDescent="0.4">
      <c r="D27" s="433" t="s">
        <v>902</v>
      </c>
      <c r="E27" s="638" t="s">
        <v>1198</v>
      </c>
      <c r="F27" s="639"/>
      <c r="G27" s="639"/>
      <c r="H27" s="639"/>
      <c r="I27" s="639"/>
      <c r="J27" s="639"/>
      <c r="K27" s="639"/>
      <c r="L27" s="639"/>
      <c r="M27" s="639"/>
      <c r="N27" s="639"/>
      <c r="O27" s="639"/>
      <c r="P27" s="639"/>
      <c r="Q27" s="639"/>
      <c r="R27" s="639"/>
      <c r="S27" s="639"/>
      <c r="T27" s="639"/>
      <c r="U27" s="639"/>
      <c r="V27" s="640"/>
      <c r="W27" s="683">
        <f>VLOOKUP(E27,키보드!B3:C126,2,FALSE)</f>
        <v>0</v>
      </c>
      <c r="X27" s="622"/>
      <c r="Y27" s="622"/>
      <c r="Z27" s="622"/>
      <c r="AA27" s="622"/>
      <c r="AB27" s="622"/>
      <c r="AC27" s="684"/>
      <c r="AD27" s="620">
        <v>1</v>
      </c>
      <c r="AE27" s="621"/>
      <c r="AF27" s="622">
        <f>W27*AD27</f>
        <v>0</v>
      </c>
      <c r="AG27" s="622"/>
      <c r="AH27" s="622"/>
      <c r="AI27" s="622"/>
      <c r="AJ27" s="622"/>
      <c r="AK27" s="622"/>
      <c r="AL27" s="622"/>
      <c r="AM27" s="623"/>
      <c r="BI27" s="104">
        <v>3.9</v>
      </c>
      <c r="BJ27" s="235"/>
      <c r="BK27" s="235" t="s">
        <v>1322</v>
      </c>
      <c r="BL27" s="235"/>
      <c r="BN27" s="63">
        <v>9</v>
      </c>
      <c r="BO27" s="63" t="s">
        <v>3164</v>
      </c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N27" s="217" t="str">
        <f>CPU!B24</f>
        <v>i5 4590</v>
      </c>
      <c r="CO27" s="213" t="str">
        <f>메모리!B24</f>
        <v>G.SKILL DDR4 8G PC4-21300 RIPJAWS VK (8Gx1)</v>
      </c>
      <c r="CP27" s="213" t="str">
        <f>CPU쿨러!B24</f>
        <v>CORSAIR HYDRO SERIES H115i</v>
      </c>
      <c r="CQ27" s="213" t="str">
        <f>메인보드!B25</f>
        <v>&lt;H170&gt;</v>
      </c>
      <c r="CR27" s="213" t="str">
        <f>그래픽카드!B24</f>
        <v>ZOTAC 지포스 GTX750 Ti D5 2GB DUAL SILENCER</v>
      </c>
      <c r="CS27" s="213" t="str">
        <f>HDD!B24</f>
        <v>Toshiba 2TB DT01ACA200</v>
      </c>
      <c r="CT27" s="213" t="str">
        <f>SSD!B24</f>
        <v>Sandisk X400 [256GB]</v>
      </c>
      <c r="CV27" s="213" t="str">
        <f>파워서플라이!B24</f>
        <v>SuperFlower SF-500P14XE GOLDEN GREEN HX </v>
      </c>
      <c r="CW27" s="213" t="str">
        <f>케이스!B24</f>
        <v>ABKO NCORE 벤투스 USB3.0</v>
      </c>
      <c r="CX27" s="213" t="str">
        <f>키보드!B24</f>
        <v>스카이디지탈 NKEYBOARD NKEY-L2</v>
      </c>
      <c r="CY27" s="213" t="str">
        <f>마우스!B24</f>
        <v>ORSAIR GAMING M65 RGB 게이밍 마우스</v>
      </c>
      <c r="CZ27" s="213" t="str">
        <f>헤드셋!B24</f>
        <v>Razer Kraken 7.1 Chroma</v>
      </c>
      <c r="DA27" s="213" t="str">
        <f>모니터!B24</f>
        <v xml:space="preserve">LG전자 23ET63 터치스크린 </v>
      </c>
    </row>
    <row r="28" spans="4:105" x14ac:dyDescent="0.4">
      <c r="D28" s="433" t="s">
        <v>903</v>
      </c>
      <c r="E28" s="638" t="s">
        <v>3226</v>
      </c>
      <c r="F28" s="639"/>
      <c r="G28" s="639"/>
      <c r="H28" s="639"/>
      <c r="I28" s="639"/>
      <c r="J28" s="639"/>
      <c r="K28" s="639"/>
      <c r="L28" s="639"/>
      <c r="M28" s="639"/>
      <c r="N28" s="639"/>
      <c r="O28" s="639"/>
      <c r="P28" s="639"/>
      <c r="Q28" s="639"/>
      <c r="R28" s="639"/>
      <c r="S28" s="639"/>
      <c r="T28" s="639"/>
      <c r="U28" s="639"/>
      <c r="V28" s="640"/>
      <c r="W28" s="683">
        <f>VLOOKUP(E28,마우스!B3:C55,2,FALSE)</f>
        <v>0</v>
      </c>
      <c r="X28" s="622"/>
      <c r="Y28" s="622"/>
      <c r="Z28" s="622"/>
      <c r="AA28" s="622"/>
      <c r="AB28" s="622"/>
      <c r="AC28" s="684"/>
      <c r="AD28" s="620">
        <v>1</v>
      </c>
      <c r="AE28" s="621"/>
      <c r="AF28" s="622">
        <f>W28*AD28</f>
        <v>0</v>
      </c>
      <c r="AG28" s="622"/>
      <c r="AH28" s="622"/>
      <c r="AI28" s="622"/>
      <c r="AJ28" s="622"/>
      <c r="AK28" s="622"/>
      <c r="AL28" s="622"/>
      <c r="AM28" s="623"/>
      <c r="BI28" s="104">
        <v>3.8</v>
      </c>
      <c r="BJ28" s="235"/>
      <c r="BK28" s="235" t="s">
        <v>1322</v>
      </c>
      <c r="BL28" s="235"/>
      <c r="BN28" s="63">
        <v>10</v>
      </c>
      <c r="BO28" s="63" t="s">
        <v>3167</v>
      </c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N28" s="217" t="str">
        <f>CPU!B25</f>
        <v>i5 4460</v>
      </c>
      <c r="CO28" s="213" t="str">
        <f>메모리!B25</f>
        <v>G.SKILL DDR4 16G PC4-21300 RIPJAWS VR (16Gx1)</v>
      </c>
      <c r="CP28" s="213" t="str">
        <f>CPU쿨러!B25</f>
        <v>NOCTUA NH-D15</v>
      </c>
      <c r="CQ28" s="213" t="str">
        <f>메인보드!B26</f>
        <v>ASRock H170 PRO4S</v>
      </c>
      <c r="CR28" s="213" t="str">
        <f>그래픽카드!B25</f>
        <v>갤럭시 GALAX 지포스 GTX750 Ti OC 개간지 D5 2GB</v>
      </c>
      <c r="CS28" s="213" t="str">
        <f>HDD!B25</f>
        <v>Toshiba 2TB MC04ACA200</v>
      </c>
      <c r="CT28" s="213" t="str">
        <f>SSD!B25</f>
        <v>Sandisk X400 [512GB]</v>
      </c>
      <c r="CV28" s="213" t="str">
        <f>파워서플라이!B25</f>
        <v>SuperFlower SF-550F14MT LEADEX SILVER</v>
      </c>
      <c r="CW28" s="213" t="str">
        <f>케이스!B25</f>
        <v>ABKO NCORE 이카루스 USB3.0 블랙</v>
      </c>
      <c r="CX28" s="213" t="str">
        <f>키보드!B25</f>
        <v>스카이디지탈 NKEYBOARD NKEY-L3 LED 게이밍</v>
      </c>
      <c r="CY28" s="213" t="str">
        <f>마우스!B25</f>
        <v>Razer DeathAdder Chroma</v>
      </c>
      <c r="CZ28" s="213" t="str">
        <f>헤드셋!B25</f>
        <v>SADES SA-906 Virtual 7.1CH 진동 게이밍 헤드셋</v>
      </c>
      <c r="DA28" s="213" t="str">
        <f>모니터!B25</f>
        <v xml:space="preserve">LG전자 23M47D </v>
      </c>
    </row>
    <row r="29" spans="4:105" x14ac:dyDescent="0.4">
      <c r="D29" s="433" t="s">
        <v>904</v>
      </c>
      <c r="E29" s="638" t="s">
        <v>3225</v>
      </c>
      <c r="F29" s="639"/>
      <c r="G29" s="639"/>
      <c r="H29" s="639"/>
      <c r="I29" s="639"/>
      <c r="J29" s="639"/>
      <c r="K29" s="639"/>
      <c r="L29" s="639"/>
      <c r="M29" s="639"/>
      <c r="N29" s="639"/>
      <c r="O29" s="639"/>
      <c r="P29" s="639"/>
      <c r="Q29" s="639"/>
      <c r="R29" s="639"/>
      <c r="S29" s="639"/>
      <c r="T29" s="639"/>
      <c r="U29" s="639"/>
      <c r="V29" s="640"/>
      <c r="W29" s="683">
        <f>VLOOKUP(E29,헤드셋!B3:C51,2,FALSE)</f>
        <v>0</v>
      </c>
      <c r="X29" s="622"/>
      <c r="Y29" s="622"/>
      <c r="Z29" s="622"/>
      <c r="AA29" s="622"/>
      <c r="AB29" s="622"/>
      <c r="AC29" s="684"/>
      <c r="AD29" s="620">
        <v>1</v>
      </c>
      <c r="AE29" s="621"/>
      <c r="AF29" s="622">
        <f>W29*AD29</f>
        <v>0</v>
      </c>
      <c r="AG29" s="622"/>
      <c r="AH29" s="622"/>
      <c r="AI29" s="622"/>
      <c r="AJ29" s="622"/>
      <c r="AK29" s="622"/>
      <c r="AL29" s="622"/>
      <c r="AM29" s="623"/>
      <c r="BI29" s="104">
        <v>3.7</v>
      </c>
      <c r="BJ29" s="235"/>
      <c r="BK29" s="235" t="s">
        <v>1322</v>
      </c>
      <c r="BL29" s="235"/>
      <c r="BN29" s="63">
        <v>11</v>
      </c>
      <c r="BO29" s="63" t="s">
        <v>3163</v>
      </c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N29" s="217" t="str">
        <f>CPU!B26</f>
        <v>i3 4370</v>
      </c>
      <c r="CO29" s="213" t="str">
        <f>메모리!B26</f>
        <v>-</v>
      </c>
      <c r="CP29" s="213" t="str">
        <f>CPU쿨러!B26</f>
        <v>Thermalright Silver Arrow ITX</v>
      </c>
      <c r="CQ29" s="213" t="str">
        <f>메인보드!B27</f>
        <v>ASRock H170 PRO4/HYPER</v>
      </c>
      <c r="CR29" s="213" t="str">
        <f>그래픽카드!B26</f>
        <v>이엠텍 XENON 지포스 GTX750 STORM X OC D5 1GB HDMI 2.0</v>
      </c>
      <c r="CS29" s="213" t="str">
        <f>HDD!B26</f>
        <v>Toshiba 3TB DT01ACA300</v>
      </c>
      <c r="CT29" s="213" t="str">
        <f>SSD!B26</f>
        <v>Sandisk X400 [1TB]</v>
      </c>
      <c r="CV29" s="213" t="str">
        <f>파워서플라이!B26</f>
        <v>XFX TS 550W BRONZE</v>
      </c>
      <c r="CW29" s="213" t="str">
        <f>케이스!B26</f>
        <v>ABKO NCORE 사파이어 3.0 풀아크릴 &amp; 강화유리</v>
      </c>
      <c r="CX29" s="213" t="str">
        <f>키보드!B26</f>
        <v>스카이디지탈 NKEYBOARD NKEY-U10</v>
      </c>
      <c r="CY29" s="213" t="str">
        <f>마우스!B26</f>
        <v>Razer Mamba Chroma</v>
      </c>
      <c r="CZ29" s="213" t="str">
        <f>헤드셋!B26</f>
        <v>SADES SA-808 게이밍 헤드셋</v>
      </c>
      <c r="DA29" s="213" t="str">
        <f>모니터!B26</f>
        <v>LG전자 23MP47HQ</v>
      </c>
    </row>
    <row r="30" spans="4:105" x14ac:dyDescent="0.4">
      <c r="D30" s="434" t="s">
        <v>2425</v>
      </c>
      <c r="E30" s="644" t="str">
        <f>SW!B3</f>
        <v>추가하지 않음</v>
      </c>
      <c r="F30" s="645"/>
      <c r="G30" s="645"/>
      <c r="H30" s="645"/>
      <c r="I30" s="645"/>
      <c r="J30" s="645"/>
      <c r="K30" s="645"/>
      <c r="L30" s="645"/>
      <c r="M30" s="645"/>
      <c r="N30" s="645"/>
      <c r="O30" s="645"/>
      <c r="P30" s="645"/>
      <c r="Q30" s="645"/>
      <c r="R30" s="645"/>
      <c r="S30" s="645"/>
      <c r="T30" s="645"/>
      <c r="U30" s="645"/>
      <c r="V30" s="645"/>
      <c r="W30" s="645"/>
      <c r="X30" s="645"/>
      <c r="Y30" s="645"/>
      <c r="Z30" s="645"/>
      <c r="AA30" s="645"/>
      <c r="AB30" s="645"/>
      <c r="AC30" s="645"/>
      <c r="AD30" s="645"/>
      <c r="AE30" s="646"/>
      <c r="AF30" s="647">
        <f>SW!C3</f>
        <v>0</v>
      </c>
      <c r="AG30" s="648"/>
      <c r="AH30" s="648"/>
      <c r="AI30" s="648"/>
      <c r="AJ30" s="648"/>
      <c r="AK30" s="648"/>
      <c r="AL30" s="648"/>
      <c r="AM30" s="649"/>
      <c r="BI30" s="104">
        <v>3.6</v>
      </c>
      <c r="BJ30" s="235"/>
      <c r="BK30" s="235" t="s">
        <v>1322</v>
      </c>
      <c r="BL30" s="235"/>
      <c r="BN30" s="63">
        <v>12</v>
      </c>
      <c r="BO30" s="63" t="s">
        <v>3173</v>
      </c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N30" s="217" t="str">
        <f>CPU!B27</f>
        <v>i3 4170</v>
      </c>
      <c r="CO30" s="213" t="str">
        <f>메모리!B27</f>
        <v>&lt; DDR3 &gt;</v>
      </c>
      <c r="CP30" s="213" t="str">
        <f>CPU쿨러!B27</f>
        <v xml:space="preserve">Thermalright Silver Arrow IB-E Extreme </v>
      </c>
      <c r="CQ30" s="213" t="str">
        <f>메인보드!B28</f>
        <v>ASRock H170 PERFORMANCE/HYPER</v>
      </c>
      <c r="CR30" s="213" t="str">
        <f>그래픽카드!B27</f>
        <v>이엠텍 XENON 지포스 GTX750 Ti STORM X Dual OC D5 2GB</v>
      </c>
      <c r="CS30" s="213" t="str">
        <f>HDD!B27</f>
        <v>Toshiba 3TB MC04ACA300</v>
      </c>
      <c r="CT30" s="213" t="str">
        <f>SSD!B27</f>
        <v>ADATA Premier Pro SP900 [64GB]</v>
      </c>
      <c r="CV30" s="213" t="str">
        <f>파워서플라이!B27</f>
        <v>XFX TS 550W GOLD</v>
      </c>
      <c r="CW30" s="213" t="str">
        <f>케이스!B27</f>
        <v>ABKO NCORE G200 타노스 USB3.0</v>
      </c>
      <c r="CX30" s="213" t="str">
        <f>키보드!B27</f>
        <v>스카이디지탈 NKEYBOARD NKEY-매크로</v>
      </c>
      <c r="CY30" s="213" t="str">
        <f>마우스!B27</f>
        <v>Razer Naga Chroma</v>
      </c>
      <c r="CZ30" s="213" t="str">
        <f>헤드셋!B27</f>
        <v>SADES Snuk SA-902 Virtual 7.1CH 게이밍 헤드셋</v>
      </c>
      <c r="DA30" s="213" t="str">
        <f>모니터!B27</f>
        <v xml:space="preserve">LG전자 23MP57HQ </v>
      </c>
    </row>
    <row r="31" spans="4:105" ht="16.2" thickBot="1" x14ac:dyDescent="0.45">
      <c r="D31" s="435" t="s">
        <v>914</v>
      </c>
      <c r="E31" s="653" t="str">
        <f>기타!B3</f>
        <v>추가하지 않음</v>
      </c>
      <c r="F31" s="654"/>
      <c r="G31" s="654"/>
      <c r="H31" s="654"/>
      <c r="I31" s="654"/>
      <c r="J31" s="654"/>
      <c r="K31" s="654"/>
      <c r="L31" s="654"/>
      <c r="M31" s="654"/>
      <c r="N31" s="654"/>
      <c r="O31" s="654"/>
      <c r="P31" s="654"/>
      <c r="Q31" s="654"/>
      <c r="R31" s="654"/>
      <c r="S31" s="654"/>
      <c r="T31" s="654"/>
      <c r="U31" s="654"/>
      <c r="V31" s="654"/>
      <c r="W31" s="654"/>
      <c r="X31" s="654"/>
      <c r="Y31" s="654"/>
      <c r="Z31" s="654"/>
      <c r="AA31" s="654"/>
      <c r="AB31" s="654"/>
      <c r="AC31" s="654"/>
      <c r="AD31" s="654"/>
      <c r="AE31" s="655"/>
      <c r="AF31" s="677">
        <f>기타!C3</f>
        <v>0</v>
      </c>
      <c r="AG31" s="678"/>
      <c r="AH31" s="678"/>
      <c r="AI31" s="678"/>
      <c r="AJ31" s="678"/>
      <c r="AK31" s="678"/>
      <c r="AL31" s="678"/>
      <c r="AM31" s="679"/>
      <c r="BI31" s="104">
        <v>3.5</v>
      </c>
      <c r="BN31" s="63">
        <v>13</v>
      </c>
      <c r="BO31" s="63" t="s">
        <v>3162</v>
      </c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N31" s="217" t="str">
        <f>CPU!B28</f>
        <v>i3 4160</v>
      </c>
      <c r="CO31" s="213" t="str">
        <f>메모리!B28</f>
        <v>삼성전자 DDR3 4G PC3-12800</v>
      </c>
      <c r="CP31" s="213" t="str">
        <f>CPU쿨러!B28</f>
        <v>Thermalright Macho Rev.B</v>
      </c>
      <c r="CQ31" s="213" t="str">
        <f>메인보드!B29</f>
        <v>ASUS H170M-PLUS</v>
      </c>
      <c r="CR31" s="213" t="str">
        <f>그래픽카드!B28</f>
        <v>이엠텍 HV 지포스 GTX750 Ti Super OverClock Edition D5 1GB</v>
      </c>
      <c r="CS31" s="213" t="str">
        <f>HDD!B28</f>
        <v>Toshiba 4TB MC04ACA400</v>
      </c>
      <c r="CT31" s="213" t="str">
        <f>SSD!B28</f>
        <v>ADATA Premier Pro SP900 [128GB]</v>
      </c>
      <c r="CV31" s="213" t="str">
        <f>파워서플라이!B28</f>
        <v>XFX XTR 550W GOLD</v>
      </c>
      <c r="CW31" s="213" t="str">
        <f>케이스!B28</f>
        <v>ABKO NCORE 레인보우 S 튜닝 LED 컨트롤 블랙</v>
      </c>
      <c r="CX31" s="213" t="str">
        <f>키보드!B28</f>
        <v>스카이디지탈 NKEYBOARD W570 무선키보드마우스</v>
      </c>
      <c r="CY31" s="213" t="str">
        <f>마우스!B28</f>
        <v>Razer Naga Epic Chroma</v>
      </c>
      <c r="CZ31" s="213" t="str">
        <f>헤드셋!B28</f>
        <v>SADES Knight SA-907S Virtual 7.1CH 게이밍 헤드셋</v>
      </c>
      <c r="DA31" s="213" t="str">
        <f>모니터!B28</f>
        <v xml:space="preserve">삼성전자 S23C340H </v>
      </c>
    </row>
    <row r="32" spans="4:105" ht="16.2" thickBot="1" x14ac:dyDescent="0.45">
      <c r="D32" s="263" t="s">
        <v>905</v>
      </c>
      <c r="E32" s="680">
        <f>(SUM(AF26:AM31)+E24) * 1.1</f>
        <v>0</v>
      </c>
      <c r="F32" s="680"/>
      <c r="G32" s="680"/>
      <c r="H32" s="680"/>
      <c r="I32" s="680"/>
      <c r="J32" s="680"/>
      <c r="K32" s="680"/>
      <c r="L32" s="680"/>
      <c r="M32" s="680"/>
      <c r="N32" s="680"/>
      <c r="O32" s="680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0"/>
      <c r="AA32" s="680"/>
      <c r="AB32" s="680"/>
      <c r="AC32" s="680"/>
      <c r="AD32" s="680"/>
      <c r="AE32" s="680"/>
      <c r="AF32" s="680"/>
      <c r="AG32" s="680"/>
      <c r="AH32" s="680"/>
      <c r="AI32" s="680"/>
      <c r="AJ32" s="680"/>
      <c r="AK32" s="680"/>
      <c r="AL32" s="680"/>
      <c r="AM32" s="681"/>
      <c r="BI32" s="104" t="s">
        <v>1222</v>
      </c>
      <c r="BN32" s="63">
        <v>14</v>
      </c>
      <c r="BO32" s="63" t="s">
        <v>3160</v>
      </c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N32" s="217" t="str">
        <f>CPU!B29</f>
        <v>펜티엄 G3460</v>
      </c>
      <c r="CO32" s="213" t="str">
        <f>메모리!B29</f>
        <v>삼성전자 DDR3 8G PC3-12800</v>
      </c>
      <c r="CP32" s="213" t="str">
        <f>CPU쿨러!B29</f>
        <v xml:space="preserve">Thermalright Macho Zero </v>
      </c>
      <c r="CQ32" s="213" t="str">
        <f>메인보드!B30</f>
        <v>ASUS H170I-PRO</v>
      </c>
      <c r="CR32" s="213" t="str">
        <f>그래픽카드!B29</f>
        <v>이엠텍 HV 지포스 GTX750 Ti OverClock Edition D5 2GB</v>
      </c>
      <c r="CS32" s="213" t="str">
        <f>HDD!B29</f>
        <v>Toshiba 4TB MG04ACA400 Enterprise</v>
      </c>
      <c r="CT32" s="213" t="str">
        <f>SSD!B29</f>
        <v>ADATA Premier Pro SP900 [256GB]</v>
      </c>
      <c r="CV32" s="213" t="str">
        <f>파워서플라이!B29</f>
        <v>마이크로닉스 Classic II 500W +12V Single Rail 85+</v>
      </c>
      <c r="CW32" s="213" t="str">
        <f>케이스!B29</f>
        <v>ABKO SUITMASTER 501S RGB 컨트롤 블랙</v>
      </c>
      <c r="CX32" s="213" t="str">
        <f>키보드!B29</f>
        <v>제닉스 STORMX K3 </v>
      </c>
      <c r="CY32" s="213" t="str">
        <f>마우스!B29</f>
        <v>Razer Orochi Chroma</v>
      </c>
      <c r="CZ32" s="213" t="str">
        <f>헤드셋!B29</f>
        <v>SADES Epower SA-707 스테레오 게이밍 헤드셋</v>
      </c>
      <c r="DA32" s="213" t="str">
        <f>모니터!B29</f>
        <v xml:space="preserve">알파스캔 AOC 2367 IPS LED 무결점 </v>
      </c>
    </row>
    <row r="33" spans="4:105" ht="16.2" thickBot="1" x14ac:dyDescent="0.45">
      <c r="BN33" s="63">
        <v>15</v>
      </c>
      <c r="BO33" s="63" t="s">
        <v>3174</v>
      </c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N33" s="217" t="str">
        <f>CPU!B30</f>
        <v>펜티엄 G3450</v>
      </c>
      <c r="CO33" s="213" t="str">
        <f>메모리!B30</f>
        <v xml:space="preserve">TeamGroup DDR3 4G PC3-12800 </v>
      </c>
      <c r="CP33" s="213" t="str">
        <f>CPU쿨러!B30</f>
        <v xml:space="preserve">Thermalright AXP-100 Muscle </v>
      </c>
      <c r="CQ33" s="213" t="str">
        <f>메인보드!B31</f>
        <v>GIGABYTE GA-H170M-DS3H 듀러블에디션</v>
      </c>
      <c r="CR33" s="213" t="str">
        <f>그래픽카드!B30</f>
        <v>-</v>
      </c>
      <c r="CS33" s="213" t="str">
        <f>HDD!B30</f>
        <v>Toshiba 5TB MC04ACA500</v>
      </c>
      <c r="CT33" s="213" t="str">
        <f>SSD!B30</f>
        <v>ADATA Premier Pro SP900 [512GB]</v>
      </c>
      <c r="CV33" s="213" t="str">
        <f>파워서플라이!B30</f>
        <v>마이크로닉스 ZERO POWER 500W</v>
      </c>
      <c r="CW33" s="213" t="str">
        <f>케이스!B30</f>
        <v>ABKO NCORE 오로라 RGB 튜닝 LED 강화유리</v>
      </c>
      <c r="CX33" s="213" t="str">
        <f>키보드!B30</f>
        <v>제닉스 STORMX TITAN LT </v>
      </c>
      <c r="CY33" s="213" t="str">
        <f>마우스!B30</f>
        <v>Razer Ouroboros</v>
      </c>
      <c r="CZ33" s="213" t="str">
        <f>헤드셋!B30</f>
        <v>SADES SA-708 게이밍 헤드셋</v>
      </c>
      <c r="DA33" s="213" t="str">
        <f>모니터!B30</f>
        <v>알파스캔 AOC 2381 IPS 레이저 플리커프리 무결점</v>
      </c>
    </row>
    <row r="34" spans="4:105" x14ac:dyDescent="0.4">
      <c r="D34" s="671" t="s">
        <v>1062</v>
      </c>
      <c r="E34" s="672"/>
      <c r="F34" s="672"/>
      <c r="G34" s="672"/>
      <c r="H34" s="672"/>
      <c r="I34" s="672"/>
      <c r="J34" s="672"/>
      <c r="K34" s="672"/>
      <c r="L34" s="672"/>
      <c r="M34" s="672"/>
      <c r="N34" s="672"/>
      <c r="O34" s="672"/>
      <c r="P34" s="672"/>
      <c r="Q34" s="672"/>
      <c r="R34" s="672"/>
      <c r="S34" s="672"/>
      <c r="T34" s="672"/>
      <c r="U34" s="672"/>
      <c r="V34" s="672"/>
      <c r="W34" s="672"/>
      <c r="X34" s="672"/>
      <c r="Y34" s="672"/>
      <c r="Z34" s="672"/>
      <c r="AA34" s="672"/>
      <c r="AB34" s="672"/>
      <c r="AC34" s="672"/>
      <c r="AD34" s="672"/>
      <c r="AE34" s="672"/>
      <c r="AF34" s="672"/>
      <c r="AG34" s="672"/>
      <c r="AH34" s="672"/>
      <c r="AI34" s="672"/>
      <c r="AJ34" s="672"/>
      <c r="AK34" s="672"/>
      <c r="AL34" s="672"/>
      <c r="AM34" s="673"/>
      <c r="BN34" s="63">
        <v>16</v>
      </c>
      <c r="BO34" s="63" t="s">
        <v>3172</v>
      </c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N34" s="217" t="str">
        <f>CPU!B31</f>
        <v>펜티엄 G3260</v>
      </c>
      <c r="CO34" s="213" t="str">
        <f>메모리!B31</f>
        <v xml:space="preserve">TeamGroup DDR3 8G PC3-12800 </v>
      </c>
      <c r="CP34" s="213" t="str">
        <f>CPU쿨러!B31</f>
        <v>Thermalright AXP-200</v>
      </c>
      <c r="CQ34" s="213" t="str">
        <f>메인보드!B32</f>
        <v>GIGABYTE GA-H170-D3H 듀러블에디션</v>
      </c>
      <c r="CR34" s="213" t="str">
        <f>그래픽카드!B31</f>
        <v>GIGABYTE 라데온 R7 360 UD2 OC D5 2GB 미니미</v>
      </c>
      <c r="CS34" s="213" t="str">
        <f>HDD!B31</f>
        <v>Toshiba 6TB MC04ACA600</v>
      </c>
      <c r="CT34" s="213" t="str">
        <f>SSD!B31</f>
        <v>ADATA Premier SP550 [120GB]</v>
      </c>
      <c r="CV34" s="213" t="str">
        <f>파워서플라이!B31</f>
        <v>마이크로닉스 New Performance 500W 80Plus Bronze Change-up</v>
      </c>
      <c r="CW34" s="213" t="str">
        <f>케이스!B31</f>
        <v>BRAVOTEC 트레저 530S 블랙</v>
      </c>
      <c r="CX34" s="213" t="str">
        <f>키보드!B31</f>
        <v>제닉스 STORMX TITAN SE</v>
      </c>
      <c r="CY34" s="213" t="str">
        <f>마우스!B31</f>
        <v>Razer Taipan</v>
      </c>
      <c r="CZ34" s="213" t="str">
        <f>헤드셋!B31</f>
        <v>로지텍 H150</v>
      </c>
      <c r="DA34" s="213" t="str">
        <f>모니터!B31</f>
        <v xml:space="preserve">알파스캔 프레스티지 N2312 IPS LED 무결점 </v>
      </c>
    </row>
    <row r="35" spans="4:105" x14ac:dyDescent="0.4">
      <c r="D35" s="642"/>
      <c r="E35" s="641"/>
      <c r="F35" s="641"/>
      <c r="G35" s="641"/>
      <c r="H35" s="641"/>
      <c r="I35" s="641"/>
      <c r="J35" s="641"/>
      <c r="K35" s="641"/>
      <c r="L35" s="641"/>
      <c r="M35" s="641"/>
      <c r="N35" s="641"/>
      <c r="O35" s="641"/>
      <c r="P35" s="641"/>
      <c r="Q35" s="641"/>
      <c r="R35" s="641"/>
      <c r="S35" s="641"/>
      <c r="T35" s="641"/>
      <c r="U35" s="641"/>
      <c r="V35" s="641"/>
      <c r="W35" s="641"/>
      <c r="X35" s="641"/>
      <c r="Y35" s="641"/>
      <c r="Z35" s="641"/>
      <c r="AA35" s="641"/>
      <c r="AB35" s="641"/>
      <c r="AC35" s="641"/>
      <c r="AD35" s="641"/>
      <c r="AE35" s="641"/>
      <c r="AF35" s="641"/>
      <c r="AG35" s="641"/>
      <c r="AH35" s="641"/>
      <c r="AI35" s="641"/>
      <c r="AJ35" s="641"/>
      <c r="AK35" s="641"/>
      <c r="AL35" s="641"/>
      <c r="AM35" s="674"/>
      <c r="CN35" s="217" t="str">
        <f>CPU!B32</f>
        <v>펜티엄 G3258</v>
      </c>
      <c r="CO35" s="213" t="str">
        <f>메모리!B32</f>
        <v xml:space="preserve">ESSENCORE KLEVV DDR3 4G PC3-12800 CL9 (4Gx1) </v>
      </c>
      <c r="CP35" s="213">
        <f>CPU쿨러!B32</f>
        <v>0</v>
      </c>
      <c r="CQ35" s="213" t="str">
        <f>메인보드!B33</f>
        <v>GIGABYTE GA-H170-Designare 듀러블에디션</v>
      </c>
      <c r="CR35" s="213" t="str">
        <f>그래픽카드!B32</f>
        <v>MSI 라데온 R7 360 OC D5 2GB 블랙아머</v>
      </c>
      <c r="CS35" s="213" t="str">
        <f>HDD!B32</f>
        <v>Toshiba 6TB MG04ACA600 Enterprise</v>
      </c>
      <c r="CT35" s="213" t="str">
        <f>SSD!B32</f>
        <v>ADATA Premier SP550 [240GB]</v>
      </c>
      <c r="CV35" s="213" t="str">
        <f>파워서플라이!B32</f>
        <v>마이크로닉스 New Performance 500W 80Plus Bronze 프리볼트</v>
      </c>
      <c r="CW35" s="213" t="str">
        <f>케이스!B32</f>
        <v>BRAVOTEC QT01 USB 3.0</v>
      </c>
      <c r="CX35" s="213" t="str">
        <f>키보드!B32</f>
        <v>-</v>
      </c>
      <c r="CY35" s="213" t="str">
        <f>마우스!B32</f>
        <v>ROCCAT KIRO</v>
      </c>
      <c r="CZ35" s="213" t="str">
        <f>헤드셋!B32</f>
        <v>로지텍 G230</v>
      </c>
      <c r="DA35" s="213" t="str">
        <f>모니터!B32</f>
        <v>-</v>
      </c>
    </row>
    <row r="36" spans="4:105" x14ac:dyDescent="0.4">
      <c r="D36" s="642"/>
      <c r="E36" s="641"/>
      <c r="F36" s="641"/>
      <c r="G36" s="641"/>
      <c r="H36" s="641"/>
      <c r="I36" s="641"/>
      <c r="J36" s="641"/>
      <c r="K36" s="641"/>
      <c r="L36" s="641"/>
      <c r="M36" s="641"/>
      <c r="N36" s="641"/>
      <c r="O36" s="641"/>
      <c r="P36" s="641"/>
      <c r="Q36" s="641"/>
      <c r="R36" s="641"/>
      <c r="S36" s="641"/>
      <c r="T36" s="641"/>
      <c r="U36" s="641"/>
      <c r="V36" s="641"/>
      <c r="W36" s="641"/>
      <c r="X36" s="641"/>
      <c r="Y36" s="641"/>
      <c r="Z36" s="641"/>
      <c r="AA36" s="641"/>
      <c r="AB36" s="641"/>
      <c r="AC36" s="641"/>
      <c r="AD36" s="641"/>
      <c r="AE36" s="641"/>
      <c r="AF36" s="641"/>
      <c r="AG36" s="641"/>
      <c r="AH36" s="641"/>
      <c r="AI36" s="641"/>
      <c r="AJ36" s="641"/>
      <c r="AK36" s="641"/>
      <c r="AL36" s="641"/>
      <c r="AM36" s="674"/>
      <c r="CN36" s="217" t="str">
        <f>CPU!B33</f>
        <v>셀러론 G1850</v>
      </c>
      <c r="CO36" s="213" t="str">
        <f>메모리!B33</f>
        <v>ESSENCORE KLEVV DDR3 8G PC3-14900 CL10 FIT (4Gx2)</v>
      </c>
      <c r="CP36" s="213">
        <f>CPU쿨러!B33</f>
        <v>0</v>
      </c>
      <c r="CQ36" s="213" t="str">
        <f>메인보드!B34</f>
        <v>MSI H170A PC 메이트</v>
      </c>
      <c r="CR36" s="213" t="str">
        <f>그래픽카드!B33</f>
        <v>PowerColor 라데온 R7 360 OC D5 2GB Dual Fan</v>
      </c>
      <c r="CS36" s="213" t="str">
        <f>HDD!B33</f>
        <v>Seagate 1TB Surveillance HDD ST1000VX001</v>
      </c>
      <c r="CT36" s="213" t="str">
        <f>SSD!B33</f>
        <v>ADATA Premier SP550 [480GB]</v>
      </c>
      <c r="CV36" s="213" t="str">
        <f>파워서플라이!B33</f>
        <v>마이크로닉스 CASLON 500W After Cooling 87+ FDB</v>
      </c>
      <c r="CW36" s="213" t="str">
        <f>케이스!B33</f>
        <v>BRAVOTEC RM2 Silver</v>
      </c>
      <c r="CX36" s="213" t="str">
        <f>키보드!B33</f>
        <v>&lt;펜타그래프&gt;</v>
      </c>
      <c r="CY36" s="213" t="str">
        <f>마우스!B33</f>
        <v>ROCCAT Kone Pure</v>
      </c>
      <c r="CZ36" s="213" t="str">
        <f>헤드셋!B33</f>
        <v>로지텍 G130</v>
      </c>
      <c r="DA36" s="213" t="str">
        <f>모니터!B33</f>
        <v>&lt;24인치&gt;</v>
      </c>
    </row>
    <row r="37" spans="4:105" x14ac:dyDescent="0.4">
      <c r="D37" s="642"/>
      <c r="E37" s="641"/>
      <c r="F37" s="641"/>
      <c r="G37" s="641"/>
      <c r="H37" s="459"/>
      <c r="I37" s="459" t="s">
        <v>1284</v>
      </c>
      <c r="J37" s="459"/>
      <c r="K37" s="459" t="s">
        <v>1285</v>
      </c>
      <c r="L37" s="459"/>
      <c r="M37" s="459" t="s">
        <v>1286</v>
      </c>
      <c r="N37" s="459"/>
      <c r="O37" s="459" t="s">
        <v>1287</v>
      </c>
      <c r="P37" s="641"/>
      <c r="Q37" s="641"/>
      <c r="R37" s="641"/>
      <c r="S37" s="641"/>
      <c r="T37" s="641"/>
      <c r="U37" s="641"/>
      <c r="V37" s="641"/>
      <c r="W37" s="459"/>
      <c r="X37" s="459" t="s">
        <v>1288</v>
      </c>
      <c r="Y37" s="459"/>
      <c r="Z37" s="459" t="s">
        <v>1289</v>
      </c>
      <c r="AA37" s="459"/>
      <c r="AB37" s="459" t="s">
        <v>1290</v>
      </c>
      <c r="AC37" s="459"/>
      <c r="AD37" s="459" t="s">
        <v>1291</v>
      </c>
      <c r="AE37" s="460"/>
      <c r="AF37" s="460"/>
      <c r="AG37" s="460"/>
      <c r="AH37" s="460"/>
      <c r="AI37" s="460"/>
      <c r="AJ37" s="460"/>
      <c r="AK37" s="460"/>
      <c r="AL37" s="460"/>
      <c r="AM37" s="461"/>
      <c r="CN37" s="217" t="str">
        <f>CPU!B34</f>
        <v>셀러론 G1840</v>
      </c>
      <c r="CO37" s="213" t="str">
        <f>메모리!B34</f>
        <v>ESSENCORE KLEVV DDR3 8G PC3-22400 CL12 URBANE (4Gx2)</v>
      </c>
      <c r="CP37" s="213">
        <f>CPU쿨러!B34</f>
        <v>0</v>
      </c>
      <c r="CQ37" s="213" t="str">
        <f>메인보드!B35</f>
        <v>MSI H170 게이밍 M3</v>
      </c>
      <c r="CR37" s="213" t="str">
        <f>그래픽카드!B34</f>
        <v>-</v>
      </c>
      <c r="CS37" s="213" t="str">
        <f>HDD!B34</f>
        <v>Seagate 2TB Surveillance HDD+Rescue ST2000VX005</v>
      </c>
      <c r="CT37" s="213" t="str">
        <f>SSD!B34</f>
        <v>ADATA Premier SP550 [960GB]</v>
      </c>
      <c r="CV37" s="213" t="str">
        <f>파워서플라이!B34</f>
        <v>마이크로닉스 ASTRO GD 550W 80PLUS GOLD </v>
      </c>
      <c r="CW37" s="213" t="str">
        <f>케이스!B34</f>
        <v>BRAVOTEC W2 Silver 강화유리</v>
      </c>
      <c r="CX37" s="213" t="str">
        <f>키보드!B34</f>
        <v>i-rocks IRK01RP</v>
      </c>
      <c r="CY37" s="213" t="str">
        <f>마우스!B34</f>
        <v>ROCCAT KOVA</v>
      </c>
      <c r="CZ37" s="213" t="str">
        <f>헤드셋!B34</f>
        <v>로지텍 PC-860</v>
      </c>
      <c r="DA37" s="213" t="str">
        <f>모니터!B34</f>
        <v xml:space="preserve">BenQ EW2440ZH 아이케어 무결점 </v>
      </c>
    </row>
    <row r="38" spans="4:105" ht="17.399999999999999" customHeight="1" x14ac:dyDescent="0.4">
      <c r="D38" s="636" t="s">
        <v>1032</v>
      </c>
      <c r="E38" s="637"/>
      <c r="F38" s="637"/>
      <c r="G38" s="637"/>
      <c r="H38" s="464" t="str">
        <f ca="1">IF('예아!'!F7,"O","X")</f>
        <v>X</v>
      </c>
      <c r="I38" s="464" t="str">
        <f ca="1">IF('예아!'!G7,"O","X")</f>
        <v>X</v>
      </c>
      <c r="J38" s="464" t="str">
        <f ca="1">IF('예아!'!H7,"O","X")</f>
        <v>X</v>
      </c>
      <c r="K38" s="464" t="str">
        <f ca="1">IF('예아!'!I7,"O","X")</f>
        <v>X</v>
      </c>
      <c r="L38" s="464" t="str">
        <f ca="1">IF('예아!'!J7,"O","X")</f>
        <v>X</v>
      </c>
      <c r="M38" s="464" t="str">
        <f ca="1">IF('예아!'!K7,"O","X")</f>
        <v>X</v>
      </c>
      <c r="N38" s="464" t="str">
        <f ca="1">IF('예아!'!L7,"O","X")</f>
        <v>X</v>
      </c>
      <c r="O38" s="464" t="str">
        <f ca="1">IF('예아!'!M7,"O","X")</f>
        <v>X</v>
      </c>
      <c r="P38" s="637" t="s">
        <v>2835</v>
      </c>
      <c r="Q38" s="637"/>
      <c r="R38" s="637"/>
      <c r="S38" s="637"/>
      <c r="T38" s="637"/>
      <c r="U38" s="637"/>
      <c r="V38" s="637"/>
      <c r="W38" s="464" t="str">
        <f ca="1">IF('예아!'!U7,"O","X")</f>
        <v>X</v>
      </c>
      <c r="X38" s="464" t="str">
        <f ca="1">IF('예아!'!V7,"O","X")</f>
        <v>X</v>
      </c>
      <c r="Y38" s="464" t="str">
        <f ca="1">IF('예아!'!W7,"O","X")</f>
        <v>X</v>
      </c>
      <c r="Z38" s="464" t="str">
        <f ca="1">IF('예아!'!X7,"O","X")</f>
        <v>X</v>
      </c>
      <c r="AA38" s="464" t="str">
        <f ca="1">IF('예아!'!Y7,"O","X")</f>
        <v>X</v>
      </c>
      <c r="AB38" s="464" t="str">
        <f ca="1">IF('예아!'!Z7,"O","X")</f>
        <v>X</v>
      </c>
      <c r="AC38" s="464" t="str">
        <f ca="1">IF('예아!'!AA7,"O","X")</f>
        <v>X</v>
      </c>
      <c r="AD38" s="464" t="str">
        <f ca="1">IF('예아!'!AB7,"O","X")</f>
        <v>X</v>
      </c>
      <c r="AE38" s="460"/>
      <c r="AF38" s="641" t="s">
        <v>1224</v>
      </c>
      <c r="AG38" s="641"/>
      <c r="AH38" s="641"/>
      <c r="AI38" s="641"/>
      <c r="AJ38" s="641"/>
      <c r="AK38" s="641"/>
      <c r="AL38" s="641"/>
      <c r="AM38" s="461"/>
      <c r="CN38" s="217" t="str">
        <f>CPU!B35</f>
        <v>-</v>
      </c>
      <c r="CO38" s="213" t="str">
        <f>메모리!B35</f>
        <v xml:space="preserve">ESSENCORE KLEVV DDR3 8G PC3-12800 CL9 (8Gx1) </v>
      </c>
      <c r="CP38" s="213">
        <f>CPU쿨러!B35</f>
        <v>0</v>
      </c>
      <c r="CQ38" s="213" t="str">
        <f>메인보드!B36</f>
        <v>-</v>
      </c>
      <c r="CR38" s="213" t="str">
        <f>그래픽카드!B35</f>
        <v>&lt;메인스트림&gt;</v>
      </c>
      <c r="CS38" s="213" t="str">
        <f>HDD!B35</f>
        <v>Seagate 3TB Surveillance HDD+Rescue ST3000VX005</v>
      </c>
      <c r="CT38" s="213" t="str">
        <f>SSD!B35</f>
        <v>ADATA Premier Pro New SP920 [128GB]</v>
      </c>
      <c r="CV38" s="213" t="str">
        <f>파워서플라이!B35</f>
        <v>시소닉 HYDANCE HY-500CT Active PFC 80PLUS BRONZE</v>
      </c>
      <c r="CW38" s="213" t="str">
        <f>케이스!B35</f>
        <v>BRAVOTEC W2 Black 강화유리</v>
      </c>
      <c r="CX38" s="213" t="str">
        <f>키보드!B35</f>
        <v>i-rocks IRK25RP</v>
      </c>
      <c r="CY38" s="213" t="str">
        <f>마우스!B35</f>
        <v>ROCCAT TYON</v>
      </c>
      <c r="CZ38" s="213" t="str">
        <f>헤드셋!B35</f>
        <v>로지텍 G633</v>
      </c>
      <c r="DA38" s="213" t="str">
        <f>모니터!B35</f>
        <v xml:space="preserve">BenQ GL2460 아이케어 무결점 </v>
      </c>
    </row>
    <row r="39" spans="4:105" ht="17.399999999999999" customHeight="1" x14ac:dyDescent="0.4">
      <c r="D39" s="636" t="s">
        <v>1034</v>
      </c>
      <c r="E39" s="637"/>
      <c r="F39" s="637"/>
      <c r="G39" s="637"/>
      <c r="H39" s="464" t="str">
        <f ca="1">IF('예아!'!F8,"O","X")</f>
        <v>X</v>
      </c>
      <c r="I39" s="464" t="str">
        <f ca="1">IF('예아!'!G8,"O","X")</f>
        <v>X</v>
      </c>
      <c r="J39" s="464" t="str">
        <f ca="1">IF('예아!'!H8,"O","X")</f>
        <v>X</v>
      </c>
      <c r="K39" s="464" t="str">
        <f ca="1">IF('예아!'!I8,"O","X")</f>
        <v>X</v>
      </c>
      <c r="L39" s="464" t="str">
        <f ca="1">IF('예아!'!J8,"O","X")</f>
        <v>X</v>
      </c>
      <c r="M39" s="464" t="str">
        <f ca="1">IF('예아!'!K8,"O","X")</f>
        <v>X</v>
      </c>
      <c r="N39" s="464" t="str">
        <f ca="1">IF('예아!'!L8,"O","X")</f>
        <v>X</v>
      </c>
      <c r="O39" s="464" t="str">
        <f ca="1">IF('예아!'!M8,"O","X")</f>
        <v>X</v>
      </c>
      <c r="P39" s="637" t="s">
        <v>3040</v>
      </c>
      <c r="Q39" s="637"/>
      <c r="R39" s="637"/>
      <c r="S39" s="637"/>
      <c r="T39" s="637"/>
      <c r="U39" s="637"/>
      <c r="V39" s="637"/>
      <c r="W39" s="464" t="str">
        <f ca="1">IF('예아!'!U8,"O","X")</f>
        <v>X</v>
      </c>
      <c r="X39" s="464" t="str">
        <f ca="1">IF('예아!'!V8,"O","X")</f>
        <v>X</v>
      </c>
      <c r="Y39" s="464" t="str">
        <f ca="1">IF('예아!'!W8,"O","X")</f>
        <v>X</v>
      </c>
      <c r="Z39" s="464" t="str">
        <f ca="1">IF('예아!'!X8,"O","X")</f>
        <v>X</v>
      </c>
      <c r="AA39" s="464" t="str">
        <f ca="1">IF('예아!'!Y8,"O","X")</f>
        <v>X</v>
      </c>
      <c r="AB39" s="464" t="str">
        <f ca="1">IF('예아!'!Z8,"O","X")</f>
        <v>X</v>
      </c>
      <c r="AC39" s="464" t="str">
        <f ca="1">IF('예아!'!AA8,"O","X")</f>
        <v>X</v>
      </c>
      <c r="AD39" s="464" t="str">
        <f ca="1">IF('예아!'!AB8,"O","X")</f>
        <v>X</v>
      </c>
      <c r="AE39" s="460"/>
      <c r="AF39" s="643" t="str">
        <f>VLOOKUP(BillDVANCE!E14,CPU!B3:O50,14,FALSE)</f>
        <v>X</v>
      </c>
      <c r="AG39" s="643"/>
      <c r="AH39" s="643"/>
      <c r="AI39" s="643"/>
      <c r="AJ39" s="643"/>
      <c r="AK39" s="643"/>
      <c r="AL39" s="643"/>
      <c r="AM39" s="461"/>
      <c r="CN39" s="217" t="str">
        <f>CPU!B36</f>
        <v>&lt;&lt; AMD &gt;&gt;</v>
      </c>
      <c r="CO39" s="213" t="str">
        <f>메모리!B36</f>
        <v>ESSENCORE KLEVV DDR3 16G PC3-14900 CL9 URBANE (8Gx2)</v>
      </c>
      <c r="CP39" s="213">
        <f>CPU쿨러!B36</f>
        <v>0</v>
      </c>
      <c r="CQ39" s="213" t="str">
        <f>메인보드!B37</f>
        <v>&lt;Z170&gt;</v>
      </c>
      <c r="CR39" s="213" t="str">
        <f>그래픽카드!B36</f>
        <v>ASUS STRIX 지포스 GTX950 DC2 OC D5 2GB GAMING</v>
      </c>
      <c r="CS39" s="213" t="str">
        <f>HDD!B36</f>
        <v>Seagate 4TB Surveillance HDD+Rescue ST4000VX002</v>
      </c>
      <c r="CT39" s="213" t="str">
        <f>SSD!B36</f>
        <v>ADATA Premier Pro New SP920 [256GB]</v>
      </c>
      <c r="CV39" s="213" t="str">
        <f>파워서플라이!B36</f>
        <v>시소닉 ECO-500</v>
      </c>
      <c r="CW39" s="213" t="str">
        <f>케이스!B36</f>
        <v>BRAVOTEC UMX4 Black 강화유리</v>
      </c>
      <c r="CX39" s="213" t="str">
        <f>키보드!B36</f>
        <v>i-rocks KR-6170 X-Slim</v>
      </c>
      <c r="CY39" s="213" t="str">
        <f>마우스!B36</f>
        <v>로지텍 B100 마우스</v>
      </c>
      <c r="CZ39" s="213" t="str">
        <f>헤드셋!B36</f>
        <v>로지텍 H390</v>
      </c>
      <c r="DA39" s="213" t="str">
        <f>모니터!B36</f>
        <v>BenQ GL2460HM 아이케어 무결점</v>
      </c>
    </row>
    <row r="40" spans="4:105" ht="17.399999999999999" customHeight="1" x14ac:dyDescent="0.4">
      <c r="D40" s="636" t="s">
        <v>1036</v>
      </c>
      <c r="E40" s="637"/>
      <c r="F40" s="637"/>
      <c r="G40" s="637"/>
      <c r="H40" s="464" t="str">
        <f ca="1">IF('예아!'!F9,"O","X")</f>
        <v>X</v>
      </c>
      <c r="I40" s="464" t="str">
        <f ca="1">IF('예아!'!G9,"O","X")</f>
        <v>X</v>
      </c>
      <c r="J40" s="464" t="str">
        <f ca="1">IF('예아!'!H9,"O","X")</f>
        <v>X</v>
      </c>
      <c r="K40" s="464" t="str">
        <f ca="1">IF('예아!'!I9,"O","X")</f>
        <v>X</v>
      </c>
      <c r="L40" s="464" t="str">
        <f ca="1">IF('예아!'!J9,"O","X")</f>
        <v>X</v>
      </c>
      <c r="M40" s="464" t="str">
        <f ca="1">IF('예아!'!K9,"O","X")</f>
        <v>X</v>
      </c>
      <c r="N40" s="464" t="str">
        <f ca="1">IF('예아!'!L9,"O","X")</f>
        <v>X</v>
      </c>
      <c r="O40" s="464" t="str">
        <f ca="1">IF('예아!'!M9,"O","X")</f>
        <v>X</v>
      </c>
      <c r="P40" s="637" t="s">
        <v>2993</v>
      </c>
      <c r="Q40" s="637"/>
      <c r="R40" s="637"/>
      <c r="S40" s="637"/>
      <c r="T40" s="637"/>
      <c r="U40" s="637"/>
      <c r="V40" s="637"/>
      <c r="W40" s="464" t="str">
        <f ca="1">IF('예아!'!U9,"O","X")</f>
        <v>X</v>
      </c>
      <c r="X40" s="464" t="str">
        <f ca="1">IF('예아!'!V9,"O","X")</f>
        <v>X</v>
      </c>
      <c r="Y40" s="464" t="str">
        <f ca="1">IF('예아!'!W9,"O","X")</f>
        <v>X</v>
      </c>
      <c r="Z40" s="464" t="str">
        <f ca="1">IF('예아!'!X9,"O","X")</f>
        <v>X</v>
      </c>
      <c r="AA40" s="464" t="str">
        <f ca="1">IF('예아!'!Y9,"O","X")</f>
        <v>X</v>
      </c>
      <c r="AB40" s="464" t="str">
        <f ca="1">IF('예아!'!Z9,"O","X")</f>
        <v>X</v>
      </c>
      <c r="AC40" s="464" t="str">
        <f ca="1">IF('예아!'!AA9,"O","X")</f>
        <v>X</v>
      </c>
      <c r="AD40" s="464" t="str">
        <f ca="1">IF('예아!'!AB9,"O","X")</f>
        <v>X</v>
      </c>
      <c r="AE40" s="460"/>
      <c r="AF40" s="641" t="s">
        <v>1223</v>
      </c>
      <c r="AG40" s="641"/>
      <c r="AH40" s="641"/>
      <c r="AI40" s="641"/>
      <c r="AJ40" s="641"/>
      <c r="AK40" s="641"/>
      <c r="AL40" s="641"/>
      <c r="AM40" s="461"/>
      <c r="CN40" s="217" t="str">
        <f>CPU!B37</f>
        <v>애슬론 X4 845</v>
      </c>
      <c r="CO40" s="213" t="str">
        <f>메모리!B37</f>
        <v xml:space="preserve">CORSAIR DDR3 4G PC3-12800 CL9 VENGEANCE 블루 (2Gx2) </v>
      </c>
      <c r="CP40" s="213">
        <f>CPU쿨러!B37</f>
        <v>0</v>
      </c>
      <c r="CQ40" s="213" t="str">
        <f>메인보드!B38</f>
        <v>ASRock Z170 PRO4S</v>
      </c>
      <c r="CR40" s="213" t="str">
        <f>그래픽카드!B37</f>
        <v>Colorful 지포스 GTX950 REVENGE OC D5 2GB</v>
      </c>
      <c r="CS40" s="213" t="str">
        <f>HDD!B37</f>
        <v>Seagate 5TB Surveillance HDD+Rescue ST5000VX0011</v>
      </c>
      <c r="CT40" s="213" t="str">
        <f>SSD!B37</f>
        <v>ADATA Premier Pro New SP920 [512GB]</v>
      </c>
      <c r="CV40" s="213" t="str">
        <f>파워서플라이!B37</f>
        <v>시소닉 S12II-520 80PLUS 브론즈 </v>
      </c>
      <c r="CW40" s="213" t="str">
        <f>케이스!B37</f>
        <v>BRAVOTEC UMX4 Silver 강화유리</v>
      </c>
      <c r="CX40" s="213" t="str">
        <f>키보드!B37</f>
        <v>Microsoft Sculpt 인체공학 데스크탑</v>
      </c>
      <c r="CY40" s="213" t="str">
        <f>마우스!B37</f>
        <v>로지텍 B175 무선 마우스</v>
      </c>
      <c r="CZ40" s="213" t="str">
        <f>헤드셋!B37</f>
        <v>로지텍 USB 헤드셋 H340</v>
      </c>
      <c r="DA40" s="213" t="str">
        <f>모니터!B37</f>
        <v>BenQ GW2470H 아이케어 무결점</v>
      </c>
    </row>
    <row r="41" spans="4:105" ht="17.399999999999999" customHeight="1" x14ac:dyDescent="0.4">
      <c r="D41" s="636" t="s">
        <v>1038</v>
      </c>
      <c r="E41" s="637"/>
      <c r="F41" s="637"/>
      <c r="G41" s="637"/>
      <c r="H41" s="464" t="str">
        <f ca="1">IF('예아!'!F10,"O","X")</f>
        <v>X</v>
      </c>
      <c r="I41" s="464" t="str">
        <f ca="1">IF('예아!'!G10,"O","X")</f>
        <v>X</v>
      </c>
      <c r="J41" s="464" t="str">
        <f ca="1">IF('예아!'!H10,"O","X")</f>
        <v>X</v>
      </c>
      <c r="K41" s="464" t="str">
        <f ca="1">IF('예아!'!I10,"O","X")</f>
        <v>X</v>
      </c>
      <c r="L41" s="464" t="str">
        <f ca="1">IF('예아!'!J10,"O","X")</f>
        <v>X</v>
      </c>
      <c r="M41" s="464" t="str">
        <f ca="1">IF('예아!'!K10,"O","X")</f>
        <v>X</v>
      </c>
      <c r="N41" s="464" t="str">
        <f ca="1">IF('예아!'!L10,"O","X")</f>
        <v>X</v>
      </c>
      <c r="O41" s="464" t="str">
        <f ca="1">IF('예아!'!M10,"O","X")</f>
        <v>X</v>
      </c>
      <c r="P41" s="637" t="s">
        <v>1077</v>
      </c>
      <c r="Q41" s="637"/>
      <c r="R41" s="637"/>
      <c r="S41" s="637"/>
      <c r="T41" s="637"/>
      <c r="U41" s="637"/>
      <c r="V41" s="637"/>
      <c r="W41" s="464" t="str">
        <f ca="1">IF('예아!'!U10,"O","X")</f>
        <v>X</v>
      </c>
      <c r="X41" s="464" t="str">
        <f ca="1">IF('예아!'!V10,"O","X")</f>
        <v>X</v>
      </c>
      <c r="Y41" s="464" t="str">
        <f ca="1">IF('예아!'!W10,"O","X")</f>
        <v>X</v>
      </c>
      <c r="Z41" s="464" t="str">
        <f ca="1">IF('예아!'!X10,"O","X")</f>
        <v>X</v>
      </c>
      <c r="AA41" s="464" t="str">
        <f ca="1">IF('예아!'!Y10,"O","X")</f>
        <v>X</v>
      </c>
      <c r="AB41" s="464" t="str">
        <f ca="1">IF('예아!'!Z10,"O","X")</f>
        <v>X</v>
      </c>
      <c r="AC41" s="464" t="str">
        <f ca="1">IF('예아!'!AA10,"O","X")</f>
        <v>X</v>
      </c>
      <c r="AD41" s="464" t="str">
        <f ca="1">IF('예아!'!AB10,"O","X")</f>
        <v>X</v>
      </c>
      <c r="AE41" s="460"/>
      <c r="AF41" s="650" t="s">
        <v>229</v>
      </c>
      <c r="AG41" s="650"/>
      <c r="AH41" s="650"/>
      <c r="AI41" s="650"/>
      <c r="AJ41" s="650"/>
      <c r="AK41" s="650"/>
      <c r="AL41" s="650"/>
      <c r="AM41" s="461"/>
      <c r="CN41" s="217" t="str">
        <f>CPU!B38</f>
        <v>A10 7890K</v>
      </c>
      <c r="CO41" s="213" t="str">
        <f>메모리!B38</f>
        <v>G.SKILL DDR3 8G PC3-19200 CL11 RIPJAWS XM (4Gx2)</v>
      </c>
      <c r="CP41" s="213">
        <f>CPU쿨러!B38</f>
        <v>0</v>
      </c>
      <c r="CQ41" s="213" t="str">
        <f>메인보드!B39</f>
        <v>ASRock Z170 EXTREME 4</v>
      </c>
      <c r="CR41" s="213" t="str">
        <f>그래픽카드!B38</f>
        <v>GIGABYTE 지포스 GTX950 UD2 OC D5 2GB 미니미</v>
      </c>
      <c r="CS41" s="213" t="str">
        <f>HDD!B38</f>
        <v>Seagate 6TB Surveillance HDD+Rescue ST6000VX0011</v>
      </c>
      <c r="CT41" s="213" t="str">
        <f>SSD!B38</f>
        <v>ADATA Premier Pro New SP920 [1TB]</v>
      </c>
      <c r="CV41" s="213" t="str">
        <f>파워서플라이!B38</f>
        <v>시소닉 P-520 Fanless 80PLUS PLATINUM (2세대)</v>
      </c>
      <c r="CW41" s="213" t="str">
        <f>케이스!B38</f>
        <v>BRAVOTEC UMX2 Black USB 3.0</v>
      </c>
      <c r="CX41" s="213" t="str">
        <f>키보드!B38</f>
        <v>로지텍 K740 illuminated 키보드</v>
      </c>
      <c r="CY41" s="213" t="str">
        <f>마우스!B38</f>
        <v>로지텍 G100s 게이밍 마우스</v>
      </c>
      <c r="CZ41" s="213" t="str">
        <f>헤드셋!B38</f>
        <v>로지텍 H540</v>
      </c>
      <c r="DA41" s="213" t="str">
        <f>모니터!B38</f>
        <v>BenQ XL2411Z 아이케어 무결점 </v>
      </c>
    </row>
    <row r="42" spans="4:105" ht="17.399999999999999" customHeight="1" x14ac:dyDescent="0.4">
      <c r="D42" s="636" t="s">
        <v>1040</v>
      </c>
      <c r="E42" s="637"/>
      <c r="F42" s="637"/>
      <c r="G42" s="637"/>
      <c r="H42" s="464" t="str">
        <f ca="1">IF('예아!'!F11,"O","X")</f>
        <v>X</v>
      </c>
      <c r="I42" s="464" t="str">
        <f ca="1">IF('예아!'!G11,"O","X")</f>
        <v>X</v>
      </c>
      <c r="J42" s="464" t="str">
        <f ca="1">IF('예아!'!H11,"O","X")</f>
        <v>X</v>
      </c>
      <c r="K42" s="464" t="str">
        <f ca="1">IF('예아!'!I11,"O","X")</f>
        <v>X</v>
      </c>
      <c r="L42" s="464" t="str">
        <f ca="1">IF('예아!'!J11,"O","X")</f>
        <v>X</v>
      </c>
      <c r="M42" s="464" t="str">
        <f ca="1">IF('예아!'!K11,"O","X")</f>
        <v>X</v>
      </c>
      <c r="N42" s="464" t="str">
        <f ca="1">IF('예아!'!L11,"O","X")</f>
        <v>X</v>
      </c>
      <c r="O42" s="464" t="str">
        <f ca="1">IF('예아!'!M11,"O","X")</f>
        <v>X</v>
      </c>
      <c r="P42" s="637" t="s">
        <v>1072</v>
      </c>
      <c r="Q42" s="637"/>
      <c r="R42" s="637"/>
      <c r="S42" s="637"/>
      <c r="T42" s="637"/>
      <c r="U42" s="637"/>
      <c r="V42" s="637"/>
      <c r="W42" s="464" t="str">
        <f ca="1">IF('예아!'!U11,"O","X")</f>
        <v>X</v>
      </c>
      <c r="X42" s="464" t="str">
        <f ca="1">IF('예아!'!V11,"O","X")</f>
        <v>X</v>
      </c>
      <c r="Y42" s="464" t="str">
        <f ca="1">IF('예아!'!W11,"O","X")</f>
        <v>X</v>
      </c>
      <c r="Z42" s="464" t="str">
        <f ca="1">IF('예아!'!X11,"O","X")</f>
        <v>X</v>
      </c>
      <c r="AA42" s="464" t="str">
        <f ca="1">IF('예아!'!Y11,"O","X")</f>
        <v>X</v>
      </c>
      <c r="AB42" s="464" t="str">
        <f ca="1">IF('예아!'!Z11,"O","X")</f>
        <v>X</v>
      </c>
      <c r="AC42" s="464" t="str">
        <f ca="1">IF('예아!'!AA11,"O","X")</f>
        <v>X</v>
      </c>
      <c r="AD42" s="464" t="str">
        <f ca="1">IF('예아!'!AB11,"O","X")</f>
        <v>X</v>
      </c>
      <c r="AE42" s="460"/>
      <c r="AF42" s="650"/>
      <c r="AG42" s="650"/>
      <c r="AH42" s="650"/>
      <c r="AI42" s="650"/>
      <c r="AJ42" s="650"/>
      <c r="AK42" s="650"/>
      <c r="AL42" s="650"/>
      <c r="AM42" s="461"/>
      <c r="CN42" s="217" t="str">
        <f>CPU!B39</f>
        <v>A10 7870K</v>
      </c>
      <c r="CO42" s="213" t="str">
        <f>메모리!B39</f>
        <v>-</v>
      </c>
      <c r="CP42" s="213">
        <f>CPU쿨러!B39</f>
        <v>0</v>
      </c>
      <c r="CQ42" s="213" t="str">
        <f>메인보드!B40</f>
        <v xml:space="preserve">ASRock Z170 Gaming K4 </v>
      </c>
      <c r="CR42" s="213" t="str">
        <f>그래픽카드!B39</f>
        <v>GIGABYTE 지포스 GTX950 UD2 OC D5 2GB 윈드포스</v>
      </c>
      <c r="CS42" s="213" t="str">
        <f>HDD!B39</f>
        <v>Seagate 1TB Barracuda ST1000DM003</v>
      </c>
      <c r="CT42" s="213" t="str">
        <f>SSD!B39</f>
        <v>ADATA Premier SP580 [120GB]</v>
      </c>
      <c r="CV42" s="213" t="str">
        <f>파워서플라이!B39</f>
        <v>-</v>
      </c>
      <c r="CW42" s="213" t="str">
        <f>케이스!B39</f>
        <v>CORSAIR CARBIDE SERIES 100R Silent Edition</v>
      </c>
      <c r="CX42" s="213" t="str">
        <f>키보드!B39</f>
        <v>로지텍 MK520r 무선 콤보</v>
      </c>
      <c r="CY42" s="213" t="str">
        <f>마우스!B39</f>
        <v>로지텍 G302 DAEDALUS PRIME 마우스</v>
      </c>
      <c r="CZ42" s="213" t="str">
        <f>헤드셋!B39</f>
        <v>스틸시리즈 SIBERIA 200</v>
      </c>
      <c r="DA42" s="213" t="str">
        <f>모니터!B39</f>
        <v xml:space="preserve">DELL S2415H </v>
      </c>
    </row>
    <row r="43" spans="4:105" ht="17.399999999999999" customHeight="1" x14ac:dyDescent="0.4">
      <c r="D43" s="651" t="s">
        <v>1042</v>
      </c>
      <c r="E43" s="652"/>
      <c r="F43" s="652"/>
      <c r="G43" s="652"/>
      <c r="H43" s="464" t="str">
        <f ca="1">IF('예아!'!F12,"O","X")</f>
        <v>X</v>
      </c>
      <c r="I43" s="464" t="str">
        <f ca="1">IF('예아!'!G12,"O","X")</f>
        <v>X</v>
      </c>
      <c r="J43" s="464" t="str">
        <f ca="1">IF('예아!'!H12,"O","X")</f>
        <v>X</v>
      </c>
      <c r="K43" s="464" t="str">
        <f ca="1">IF('예아!'!I12,"O","X")</f>
        <v>X</v>
      </c>
      <c r="L43" s="464" t="str">
        <f ca="1">IF('예아!'!J12,"O","X")</f>
        <v>X</v>
      </c>
      <c r="M43" s="464" t="str">
        <f ca="1">IF('예아!'!K12,"O","X")</f>
        <v>X</v>
      </c>
      <c r="N43" s="464" t="str">
        <f ca="1">IF('예아!'!L12,"O","X")</f>
        <v>X</v>
      </c>
      <c r="O43" s="464" t="str">
        <f ca="1">IF('예아!'!M12,"O","X")</f>
        <v>X</v>
      </c>
      <c r="P43" s="637" t="s">
        <v>1083</v>
      </c>
      <c r="Q43" s="637"/>
      <c r="R43" s="637"/>
      <c r="S43" s="637"/>
      <c r="T43" s="637"/>
      <c r="U43" s="637"/>
      <c r="V43" s="637"/>
      <c r="W43" s="464" t="str">
        <f ca="1">IF('예아!'!U12,"O","X")</f>
        <v>X</v>
      </c>
      <c r="X43" s="464" t="str">
        <f ca="1">IF('예아!'!V12,"O","X")</f>
        <v>X</v>
      </c>
      <c r="Y43" s="464" t="str">
        <f ca="1">IF('예아!'!W12,"O","X")</f>
        <v>X</v>
      </c>
      <c r="Z43" s="464" t="str">
        <f ca="1">IF('예아!'!X12,"O","X")</f>
        <v>X</v>
      </c>
      <c r="AA43" s="464" t="str">
        <f ca="1">IF('예아!'!Y12,"O","X")</f>
        <v>X</v>
      </c>
      <c r="AB43" s="464" t="str">
        <f ca="1">IF('예아!'!Z12,"O","X")</f>
        <v>X</v>
      </c>
      <c r="AC43" s="464" t="str">
        <f ca="1">IF('예아!'!AA12,"O","X")</f>
        <v>X</v>
      </c>
      <c r="AD43" s="464" t="str">
        <f ca="1">IF('예아!'!AB12,"O","X")</f>
        <v>X</v>
      </c>
      <c r="AE43" s="460"/>
      <c r="AF43" s="650"/>
      <c r="AG43" s="650"/>
      <c r="AH43" s="650"/>
      <c r="AI43" s="650"/>
      <c r="AJ43" s="650"/>
      <c r="AK43" s="650"/>
      <c r="AL43" s="650"/>
      <c r="AM43" s="461"/>
      <c r="CN43" s="217" t="str">
        <f>CPU!B40</f>
        <v>A8 7670K</v>
      </c>
      <c r="CO43" s="213" t="str">
        <f>메모리!B40</f>
        <v>&lt;&lt; SO-dimm[m-ITX(일부)/노트북] RAM &gt;&gt;</v>
      </c>
      <c r="CP43" s="213">
        <f>CPU쿨러!B40</f>
        <v>0</v>
      </c>
      <c r="CQ43" s="213" t="str">
        <f>메인보드!B41</f>
        <v>ASRock Z170 EXTREME 4+</v>
      </c>
      <c r="CR43" s="213" t="str">
        <f>그래픽카드!B40</f>
        <v>MANLI 지포스 GTX950 Black Knight D5 2GB</v>
      </c>
      <c r="CS43" s="213" t="str">
        <f>HDD!B40</f>
        <v>Seagate 2TB Barracuda ST2000DM006</v>
      </c>
      <c r="CT43" s="213" t="str">
        <f>SSD!B40</f>
        <v>Plextor M6 PRO Series [128GB]</v>
      </c>
      <c r="CV43" s="213" t="str">
        <f>파워서플라이!B40</f>
        <v>&lt;600~699W&gt;</v>
      </c>
      <c r="CW43" s="213" t="str">
        <f>케이스!B40</f>
        <v>CORSAIR CARBIDE SERIES SPEC-ALPHA Black &amp; Yellow</v>
      </c>
      <c r="CX43" s="213" t="str">
        <f>키보드!B40</f>
        <v>-</v>
      </c>
      <c r="CY43" s="213" t="str">
        <f>마우스!B40</f>
        <v>로지텍 G502 RGB PROTEUS SPECTRUM 게이밍 마우스</v>
      </c>
      <c r="CZ43" s="213" t="str">
        <f>헤드셋!B40</f>
        <v>스틸시리즈 SIBERIA 650</v>
      </c>
      <c r="DA43" s="213" t="str">
        <f>모니터!B40</f>
        <v>DELL UltraSharp U2412M </v>
      </c>
    </row>
    <row r="44" spans="4:105" ht="17.399999999999999" customHeight="1" x14ac:dyDescent="0.4">
      <c r="D44" s="636" t="s">
        <v>1044</v>
      </c>
      <c r="E44" s="637"/>
      <c r="F44" s="637"/>
      <c r="G44" s="637"/>
      <c r="H44" s="464" t="str">
        <f ca="1">IF('예아!'!F13,"O","X")</f>
        <v>X</v>
      </c>
      <c r="I44" s="464" t="str">
        <f ca="1">IF('예아!'!G13,"O","X")</f>
        <v>X</v>
      </c>
      <c r="J44" s="464" t="str">
        <f ca="1">IF('예아!'!H13,"O","X")</f>
        <v>X</v>
      </c>
      <c r="K44" s="464" t="str">
        <f ca="1">IF('예아!'!I13,"O","X")</f>
        <v>X</v>
      </c>
      <c r="L44" s="464" t="str">
        <f ca="1">IF('예아!'!J13,"O","X")</f>
        <v>X</v>
      </c>
      <c r="M44" s="464" t="str">
        <f ca="1">IF('예아!'!K13,"O","X")</f>
        <v>X</v>
      </c>
      <c r="N44" s="464" t="str">
        <f ca="1">IF('예아!'!L13,"O","X")</f>
        <v>X</v>
      </c>
      <c r="O44" s="464" t="str">
        <f ca="1">IF('예아!'!M13,"O","X")</f>
        <v>X</v>
      </c>
      <c r="P44" s="637" t="s">
        <v>1075</v>
      </c>
      <c r="Q44" s="637"/>
      <c r="R44" s="637"/>
      <c r="S44" s="637"/>
      <c r="T44" s="637"/>
      <c r="U44" s="637"/>
      <c r="V44" s="637"/>
      <c r="W44" s="464" t="str">
        <f ca="1">IF('예아!'!U13,"O","X")</f>
        <v>X</v>
      </c>
      <c r="X44" s="464" t="str">
        <f ca="1">IF('예아!'!V13,"O","X")</f>
        <v>X</v>
      </c>
      <c r="Y44" s="464" t="str">
        <f ca="1">IF('예아!'!W13,"O","X")</f>
        <v>X</v>
      </c>
      <c r="Z44" s="464" t="str">
        <f ca="1">IF('예아!'!X13,"O","X")</f>
        <v>X</v>
      </c>
      <c r="AA44" s="464" t="str">
        <f ca="1">IF('예아!'!Y13,"O","X")</f>
        <v>X</v>
      </c>
      <c r="AB44" s="464" t="str">
        <f ca="1">IF('예아!'!Z13,"O","X")</f>
        <v>X</v>
      </c>
      <c r="AC44" s="464" t="str">
        <f ca="1">IF('예아!'!AA13,"O","X")</f>
        <v>X</v>
      </c>
      <c r="AD44" s="464" t="str">
        <f ca="1">IF('예아!'!AB13,"O","X")</f>
        <v>X</v>
      </c>
      <c r="AE44" s="460"/>
      <c r="AF44" s="650"/>
      <c r="AG44" s="650"/>
      <c r="AH44" s="650"/>
      <c r="AI44" s="650"/>
      <c r="AJ44" s="650"/>
      <c r="AK44" s="650"/>
      <c r="AL44" s="650"/>
      <c r="AM44" s="461"/>
      <c r="CN44" s="217" t="str">
        <f>CPU!B41</f>
        <v>A10 7850K</v>
      </c>
      <c r="CO44" s="213" t="str">
        <f>메모리!B41</f>
        <v>&lt; DDR4 &gt;</v>
      </c>
      <c r="CP44" s="213">
        <f>CPU쿨러!B41</f>
        <v>0</v>
      </c>
      <c r="CQ44" s="213" t="str">
        <f>메인보드!B42</f>
        <v>ASRock Z170 EXTREME 6</v>
      </c>
      <c r="CR44" s="213" t="str">
        <f>그래픽카드!B41</f>
        <v>ZOTAC 지포스 GTX950 DUAL SILENCER D5 2GB</v>
      </c>
      <c r="CS44" s="213" t="str">
        <f>HDD!B41</f>
        <v>Seagate 3TB Barracuda ST3000DM008</v>
      </c>
      <c r="CT44" s="213" t="str">
        <f>SSD!B41</f>
        <v>Plextor M6 PRO Series [256GB]</v>
      </c>
      <c r="CV44" s="213" t="str">
        <f>파워서플라이!B41</f>
        <v>Antec VP600P</v>
      </c>
      <c r="CW44" s="213" t="str">
        <f>케이스!B41</f>
        <v>CORSAIR CARBIDE SERIES CLEAR 400C</v>
      </c>
      <c r="CX44" s="213" t="str">
        <f>키보드!B41</f>
        <v>&lt;플런저&gt;</v>
      </c>
      <c r="CY44" s="213" t="str">
        <f>마우스!B41</f>
        <v>로지텍 M100r 마우스</v>
      </c>
      <c r="CZ44" s="213" t="str">
        <f>헤드셋!B41</f>
        <v>스틸시리즈 SIBERIA 800</v>
      </c>
      <c r="DA44" s="213" t="str">
        <f>모니터!B41</f>
        <v xml:space="preserve">DELL UltraSharp U2414H </v>
      </c>
    </row>
    <row r="45" spans="4:105" ht="17.399999999999999" customHeight="1" x14ac:dyDescent="0.4">
      <c r="D45" s="636" t="s">
        <v>1049</v>
      </c>
      <c r="E45" s="637"/>
      <c r="F45" s="637"/>
      <c r="G45" s="637"/>
      <c r="H45" s="464" t="str">
        <f ca="1">IF('예아!'!F14,"O","X")</f>
        <v>X</v>
      </c>
      <c r="I45" s="464" t="str">
        <f ca="1">IF('예아!'!G14,"O","X")</f>
        <v>X</v>
      </c>
      <c r="J45" s="464" t="str">
        <f ca="1">IF('예아!'!H14,"O","X")</f>
        <v>X</v>
      </c>
      <c r="K45" s="464" t="str">
        <f ca="1">IF('예아!'!I14,"O","X")</f>
        <v>X</v>
      </c>
      <c r="L45" s="464" t="str">
        <f ca="1">IF('예아!'!J14,"O","X")</f>
        <v>X</v>
      </c>
      <c r="M45" s="464" t="str">
        <f ca="1">IF('예아!'!K14,"O","X")</f>
        <v>X</v>
      </c>
      <c r="N45" s="464" t="str">
        <f ca="1">IF('예아!'!L14,"O","X")</f>
        <v>X</v>
      </c>
      <c r="O45" s="464" t="str">
        <f ca="1">IF('예아!'!M14,"O","X")</f>
        <v>X</v>
      </c>
      <c r="P45" s="637" t="s">
        <v>2839</v>
      </c>
      <c r="Q45" s="637"/>
      <c r="R45" s="637"/>
      <c r="S45" s="637"/>
      <c r="T45" s="637"/>
      <c r="U45" s="637"/>
      <c r="V45" s="637"/>
      <c r="W45" s="464" t="str">
        <f ca="1">IF('예아!'!U14,"O","X")</f>
        <v>X</v>
      </c>
      <c r="X45" s="464" t="str">
        <f ca="1">IF('예아!'!V14,"O","X")</f>
        <v>X</v>
      </c>
      <c r="Y45" s="464" t="str">
        <f ca="1">IF('예아!'!W14,"O","X")</f>
        <v>X</v>
      </c>
      <c r="Z45" s="464" t="str">
        <f ca="1">IF('예아!'!X14,"O","X")</f>
        <v>X</v>
      </c>
      <c r="AA45" s="464" t="str">
        <f ca="1">IF('예아!'!Y14,"O","X")</f>
        <v>X</v>
      </c>
      <c r="AB45" s="464" t="str">
        <f ca="1">IF('예아!'!Z14,"O","X")</f>
        <v>X</v>
      </c>
      <c r="AC45" s="464" t="str">
        <f ca="1">IF('예아!'!AA14,"O","X")</f>
        <v>X</v>
      </c>
      <c r="AD45" s="464" t="str">
        <f ca="1">IF('예아!'!AB14,"O","X")</f>
        <v>X</v>
      </c>
      <c r="AE45" s="460"/>
      <c r="AF45" s="460"/>
      <c r="AG45" s="460"/>
      <c r="AH45" s="460"/>
      <c r="AI45" s="460"/>
      <c r="AJ45" s="460"/>
      <c r="AK45" s="460"/>
      <c r="AL45" s="460"/>
      <c r="AM45" s="461"/>
      <c r="CN45" s="217" t="str">
        <f>CPU!B42</f>
        <v>A8 7650K</v>
      </c>
      <c r="CO45" s="213" t="str">
        <f>메모리!B42</f>
        <v>삼성전자 노트북 DDR4 4G PC4-17000</v>
      </c>
      <c r="CP45" s="213">
        <f>CPU쿨러!B42</f>
        <v>0</v>
      </c>
      <c r="CQ45" s="213" t="str">
        <f>메인보드!B43</f>
        <v>ASRock Z170 EXTREME 7+</v>
      </c>
      <c r="CR45" s="213" t="str">
        <f>그래픽카드!B42</f>
        <v>ZOTAC 지포스 GTX950 AMP! Edition D5 2GB</v>
      </c>
      <c r="CS45" s="213" t="str">
        <f>HDD!B42</f>
        <v>Seagate 10TB SkyHawk HDD ST10000VX0004</v>
      </c>
      <c r="CT45" s="213" t="str">
        <f>SSD!B42</f>
        <v>Plextor M6 PRO Series [512GB]</v>
      </c>
      <c r="CV45" s="213" t="str">
        <f>파워서플라이!B42</f>
        <v>Antec VPF 650 80PLUS 브론즈</v>
      </c>
      <c r="CW45" s="213" t="str">
        <f>케이스!B42</f>
        <v>CORSAIR CARBIDE SERIES CLEAR 400C White</v>
      </c>
      <c r="CX45" s="213" t="str">
        <f>키보드!B42</f>
        <v>i-rocks K10 USB GAMING KEYBOARD</v>
      </c>
      <c r="CY45" s="213" t="str">
        <f>마우스!B42</f>
        <v>로지텍 M325 무선 마우스</v>
      </c>
      <c r="CZ45" s="213" t="str">
        <f>헤드셋!B42</f>
        <v>스틸시리즈 SIBERIA 150</v>
      </c>
      <c r="DA45" s="213" t="str">
        <f>모니터!B42</f>
        <v xml:space="preserve">DELL UltraSharp U2415 </v>
      </c>
    </row>
    <row r="46" spans="4:105" ht="17.399999999999999" customHeight="1" x14ac:dyDescent="0.4">
      <c r="D46" s="636" t="s">
        <v>1093</v>
      </c>
      <c r="E46" s="637"/>
      <c r="F46" s="637"/>
      <c r="G46" s="637"/>
      <c r="H46" s="464" t="str">
        <f ca="1">IF('예아!'!F15,"O","X")</f>
        <v>X</v>
      </c>
      <c r="I46" s="464" t="str">
        <f ca="1">IF('예아!'!G15,"O","X")</f>
        <v>X</v>
      </c>
      <c r="J46" s="464" t="str">
        <f ca="1">IF('예아!'!H15,"O","X")</f>
        <v>X</v>
      </c>
      <c r="K46" s="464" t="str">
        <f ca="1">IF('예아!'!I15,"O","X")</f>
        <v>X</v>
      </c>
      <c r="L46" s="464" t="str">
        <f ca="1">IF('예아!'!J15,"O","X")</f>
        <v>X</v>
      </c>
      <c r="M46" s="464" t="str">
        <f ca="1">IF('예아!'!K15,"O","X")</f>
        <v>X</v>
      </c>
      <c r="N46" s="464" t="str">
        <f ca="1">IF('예아!'!L15,"O","X")</f>
        <v>X</v>
      </c>
      <c r="O46" s="464" t="str">
        <f ca="1">IF('예아!'!M15,"O","X")</f>
        <v>X</v>
      </c>
      <c r="P46" s="637" t="s">
        <v>2836</v>
      </c>
      <c r="Q46" s="637"/>
      <c r="R46" s="637"/>
      <c r="S46" s="637"/>
      <c r="T46" s="637"/>
      <c r="U46" s="637"/>
      <c r="V46" s="637"/>
      <c r="W46" s="464" t="str">
        <f ca="1">IF('예아!'!U15,"O","X")</f>
        <v>X</v>
      </c>
      <c r="X46" s="464" t="str">
        <f ca="1">IF('예아!'!V15,"O","X")</f>
        <v>X</v>
      </c>
      <c r="Y46" s="464" t="str">
        <f ca="1">IF('예아!'!W15,"O","X")</f>
        <v>X</v>
      </c>
      <c r="Z46" s="464" t="str">
        <f ca="1">IF('예아!'!X15,"O","X")</f>
        <v>X</v>
      </c>
      <c r="AA46" s="464" t="str">
        <f ca="1">IF('예아!'!Y15,"O","X")</f>
        <v>X</v>
      </c>
      <c r="AB46" s="464" t="str">
        <f ca="1">IF('예아!'!Z15,"O","X")</f>
        <v>X</v>
      </c>
      <c r="AC46" s="464" t="str">
        <f ca="1">IF('예아!'!AA15,"O","X")</f>
        <v>X</v>
      </c>
      <c r="AD46" s="464" t="str">
        <f ca="1">IF('예아!'!AB15,"O","X")</f>
        <v>X</v>
      </c>
      <c r="AE46" s="460"/>
      <c r="AF46" s="460"/>
      <c r="AG46" s="460"/>
      <c r="AH46" s="460"/>
      <c r="AI46" s="460"/>
      <c r="AJ46" s="460"/>
      <c r="AK46" s="460"/>
      <c r="AL46" s="460"/>
      <c r="AM46" s="461"/>
      <c r="CN46" s="217" t="str">
        <f>CPU!B43</f>
        <v>A8 7600</v>
      </c>
      <c r="CO46" s="213" t="str">
        <f>메모리!B43</f>
        <v>삼성전자 노트북 DDR4 8G PC4-17000</v>
      </c>
      <c r="CP46" s="213">
        <f>CPU쿨러!B43</f>
        <v>0</v>
      </c>
      <c r="CQ46" s="213" t="str">
        <f>메인보드!B44</f>
        <v>ASRock Z170 OC Formula</v>
      </c>
      <c r="CR46" s="213" t="str">
        <f>그래픽카드!B43</f>
        <v>갤럭시 GALAX 지포스 GTX950 OC BLACK D5 2GB</v>
      </c>
      <c r="CS46" s="213" t="str">
        <f>HDD!B43</f>
        <v>Seagate 10TB IronWolf ST10000VN0004</v>
      </c>
      <c r="CT46" s="213" t="str">
        <f>SSD!B43</f>
        <v>Plextor M6 PRO Series [1TB]</v>
      </c>
      <c r="CV46" s="213" t="str">
        <f>파워서플라이!B43</f>
        <v>Antec EDGE650 GOLD LED 풀모듈러</v>
      </c>
      <c r="CW46" s="213" t="str">
        <f>케이스!B43</f>
        <v>CORSAIR CARBIDE SERIES QUIET 400Q</v>
      </c>
      <c r="CX46" s="213" t="str">
        <f>키보드!B43</f>
        <v>i-rocks KR-6260E LED</v>
      </c>
      <c r="CY46" s="213" t="str">
        <f>마우스!B43</f>
        <v>로지텍 M545 무선 마우스</v>
      </c>
      <c r="CZ46" s="213" t="str">
        <f>헤드셋!B43</f>
        <v>스틸시리즈 SIBERIA 100</v>
      </c>
      <c r="DA46" s="213" t="str">
        <f>모니터!B43</f>
        <v xml:space="preserve">LG전자 24MP47HQ </v>
      </c>
    </row>
    <row r="47" spans="4:105" ht="17.399999999999999" customHeight="1" x14ac:dyDescent="0.4">
      <c r="D47" s="636" t="s">
        <v>1052</v>
      </c>
      <c r="E47" s="637"/>
      <c r="F47" s="637"/>
      <c r="G47" s="637"/>
      <c r="H47" s="464" t="str">
        <f ca="1">IF('예아!'!F16,"O","X")</f>
        <v>X</v>
      </c>
      <c r="I47" s="464" t="str">
        <f ca="1">IF('예아!'!G16,"O","X")</f>
        <v>X</v>
      </c>
      <c r="J47" s="464" t="str">
        <f ca="1">IF('예아!'!H16,"O","X")</f>
        <v>X</v>
      </c>
      <c r="K47" s="464" t="str">
        <f ca="1">IF('예아!'!I16,"O","X")</f>
        <v>X</v>
      </c>
      <c r="L47" s="464" t="str">
        <f ca="1">IF('예아!'!J16,"O","X")</f>
        <v>X</v>
      </c>
      <c r="M47" s="464" t="str">
        <f ca="1">IF('예아!'!K16,"O","X")</f>
        <v>X</v>
      </c>
      <c r="N47" s="464" t="str">
        <f ca="1">IF('예아!'!L16,"O","X")</f>
        <v>X</v>
      </c>
      <c r="O47" s="464" t="str">
        <f ca="1">IF('예아!'!M16,"O","X")</f>
        <v>X</v>
      </c>
      <c r="P47" s="637" t="s">
        <v>1079</v>
      </c>
      <c r="Q47" s="637"/>
      <c r="R47" s="637"/>
      <c r="S47" s="637"/>
      <c r="T47" s="637"/>
      <c r="U47" s="637"/>
      <c r="V47" s="637"/>
      <c r="W47" s="464" t="str">
        <f ca="1">IF('예아!'!U16,"O","X")</f>
        <v>X</v>
      </c>
      <c r="X47" s="464" t="str">
        <f ca="1">IF('예아!'!V16,"O","X")</f>
        <v>X</v>
      </c>
      <c r="Y47" s="464" t="str">
        <f ca="1">IF('예아!'!W16,"O","X")</f>
        <v>X</v>
      </c>
      <c r="Z47" s="464" t="str">
        <f ca="1">IF('예아!'!X16,"O","X")</f>
        <v>X</v>
      </c>
      <c r="AA47" s="464" t="str">
        <f ca="1">IF('예아!'!Y16,"O","X")</f>
        <v>X</v>
      </c>
      <c r="AB47" s="464" t="str">
        <f ca="1">IF('예아!'!Z16,"O","X")</f>
        <v>X</v>
      </c>
      <c r="AC47" s="464" t="str">
        <f ca="1">IF('예아!'!AA16,"O","X")</f>
        <v>X</v>
      </c>
      <c r="AD47" s="464" t="str">
        <f ca="1">IF('예아!'!AB16,"O","X")</f>
        <v>X</v>
      </c>
      <c r="AE47" s="460"/>
      <c r="AF47" s="460"/>
      <c r="AG47" s="460"/>
      <c r="AH47" s="460"/>
      <c r="AI47" s="460"/>
      <c r="AJ47" s="460"/>
      <c r="AK47" s="460"/>
      <c r="AL47" s="460"/>
      <c r="AM47" s="461"/>
      <c r="CN47" s="217" t="str">
        <f>CPU!B44</f>
        <v>애슬론 X4 860K</v>
      </c>
      <c r="CO47" s="213" t="str">
        <f>메모리!B44</f>
        <v>삼성전자 노트북 DDR4 16G PC4-17000</v>
      </c>
      <c r="CP47" s="213">
        <f>CPU쿨러!B44</f>
        <v>0</v>
      </c>
      <c r="CQ47" s="213" t="str">
        <f>메인보드!B45</f>
        <v>ASUS Z170-PRO</v>
      </c>
      <c r="CR47" s="213" t="str">
        <f>그래픽카드!B44</f>
        <v>갤럭시 GALAX 지포스 GTX950 OC HONEY D5 2GB</v>
      </c>
      <c r="CS47" s="213" t="str">
        <f>HDD!B44</f>
        <v>Seagate 10TB Barracuda Pro ST10000DM0004</v>
      </c>
      <c r="CT47" s="213" t="str">
        <f>SSD!B44</f>
        <v>Plextor M6S Series [128GB]</v>
      </c>
      <c r="CV47" s="213" t="str">
        <f>파워서플라이!B44</f>
        <v>Enermax MAXPRO EMP600AGT</v>
      </c>
      <c r="CW47" s="213" t="str">
        <f>케이스!B44</f>
        <v>CORSAIR OBSIDIAN 450D</v>
      </c>
      <c r="CX47" s="213" t="str">
        <f>키보드!B44</f>
        <v>스카이디지탈 NKEYBOARD NKEY-P1 게이밍 방수 키보드</v>
      </c>
      <c r="CY47" s="213" t="str">
        <f>마우스!B44</f>
        <v>로지텍 MX Anywhere 2 무선 모바일 마우스</v>
      </c>
      <c r="CZ47" s="213" t="str">
        <f>헤드셋!B44</f>
        <v>스틸시리즈 SIBERIA 350</v>
      </c>
      <c r="DA47" s="213" t="str">
        <f>모니터!B44</f>
        <v xml:space="preserve">LG전자 24M47VQ </v>
      </c>
    </row>
    <row r="48" spans="4:105" ht="17.399999999999999" customHeight="1" x14ac:dyDescent="0.4">
      <c r="D48" s="636" t="s">
        <v>1055</v>
      </c>
      <c r="E48" s="637"/>
      <c r="F48" s="637"/>
      <c r="G48" s="637"/>
      <c r="H48" s="464" t="str">
        <f ca="1">IF('예아!'!F17,"O","X")</f>
        <v>X</v>
      </c>
      <c r="I48" s="464" t="str">
        <f ca="1">IF('예아!'!G17,"O","X")</f>
        <v>X</v>
      </c>
      <c r="J48" s="464" t="str">
        <f ca="1">IF('예아!'!H17,"O","X")</f>
        <v>X</v>
      </c>
      <c r="K48" s="464" t="str">
        <f ca="1">IF('예아!'!I17,"O","X")</f>
        <v>X</v>
      </c>
      <c r="L48" s="464" t="str">
        <f ca="1">IF('예아!'!J17,"O","X")</f>
        <v>X</v>
      </c>
      <c r="M48" s="464" t="str">
        <f ca="1">IF('예아!'!K17,"O","X")</f>
        <v>X</v>
      </c>
      <c r="N48" s="464" t="str">
        <f ca="1">IF('예아!'!L17,"O","X")</f>
        <v>X</v>
      </c>
      <c r="O48" s="464" t="str">
        <f ca="1">IF('예아!'!M17,"O","X")</f>
        <v>X</v>
      </c>
      <c r="P48" s="637" t="s">
        <v>3037</v>
      </c>
      <c r="Q48" s="637"/>
      <c r="R48" s="637"/>
      <c r="S48" s="637"/>
      <c r="T48" s="637"/>
      <c r="U48" s="637"/>
      <c r="V48" s="637"/>
      <c r="W48" s="464" t="str">
        <f ca="1">IF('예아!'!U17,"O","X")</f>
        <v>X</v>
      </c>
      <c r="X48" s="464" t="str">
        <f ca="1">IF('예아!'!V17,"O","X")</f>
        <v>X</v>
      </c>
      <c r="Y48" s="464" t="str">
        <f ca="1">IF('예아!'!W17,"O","X")</f>
        <v>X</v>
      </c>
      <c r="Z48" s="464" t="str">
        <f ca="1">IF('예아!'!X17,"O","X")</f>
        <v>X</v>
      </c>
      <c r="AA48" s="464" t="str">
        <f ca="1">IF('예아!'!Y17,"O","X")</f>
        <v>X</v>
      </c>
      <c r="AB48" s="464" t="str">
        <f ca="1">IF('예아!'!Z17,"O","X")</f>
        <v>X</v>
      </c>
      <c r="AC48" s="464" t="str">
        <f ca="1">IF('예아!'!AA17,"O","X")</f>
        <v>X</v>
      </c>
      <c r="AD48" s="464" t="str">
        <f ca="1">IF('예아!'!AB17,"O","X")</f>
        <v>X</v>
      </c>
      <c r="AE48" s="460"/>
      <c r="AF48" s="460"/>
      <c r="AG48" s="460"/>
      <c r="AH48" s="460"/>
      <c r="AI48" s="460"/>
      <c r="AJ48" s="460"/>
      <c r="AK48" s="460"/>
      <c r="AL48" s="460"/>
      <c r="AM48" s="461"/>
      <c r="CN48" s="217" t="str">
        <f>CPU!B45</f>
        <v>애슬론APU 5350</v>
      </c>
      <c r="CO48" s="213" t="str">
        <f>메모리!B45</f>
        <v>-</v>
      </c>
      <c r="CP48" s="213">
        <f>CPU쿨러!B45</f>
        <v>0</v>
      </c>
      <c r="CQ48" s="213" t="str">
        <f>메인보드!B46</f>
        <v>ASUS SABERTOOTH Z170 S</v>
      </c>
      <c r="CR48" s="213" t="str">
        <f>그래픽카드!B45</f>
        <v>이엠텍 XENON 지포스 GTX950 OC JETSTREAM WHITE EDITION D5 2GB</v>
      </c>
      <c r="CS48" s="213" t="str">
        <f>HDD!B45</f>
        <v>HGST 3TB Deskstar NAS HDN724030ALE640 패키지</v>
      </c>
      <c r="CT48" s="213" t="str">
        <f>SSD!B45</f>
        <v>Plextor M6S Series [256GB]</v>
      </c>
      <c r="CV48" s="213" t="str">
        <f>파워서플라이!B45</f>
        <v>Enermax NAXN Adv ETL650AWT</v>
      </c>
      <c r="CW48" s="213" t="str">
        <f>케이스!B45</f>
        <v>CORSAIR CARBIDE SERIES AIR 540</v>
      </c>
      <c r="CX48" s="213" t="str">
        <f>키보드!B45</f>
        <v>스카이디지탈 NKEYBOARD NKEY-P2 레인보우 LED</v>
      </c>
      <c r="CY48" s="213" t="str">
        <f>마우스!B45</f>
        <v>스틸시리즈 RIVAL 100</v>
      </c>
      <c r="CZ48" s="213" t="str">
        <f>헤드셋!B45</f>
        <v>스틸시리즈 FLUX</v>
      </c>
      <c r="DA48" s="213" t="str">
        <f>모니터!B45</f>
        <v>LG전자 24MT58DF</v>
      </c>
    </row>
    <row r="49" spans="4:105" ht="17.399999999999999" customHeight="1" x14ac:dyDescent="0.4">
      <c r="D49" s="636" t="s">
        <v>1057</v>
      </c>
      <c r="E49" s="637"/>
      <c r="F49" s="637"/>
      <c r="G49" s="637"/>
      <c r="H49" s="464" t="str">
        <f ca="1">IF('예아!'!F18,"O","X")</f>
        <v>X</v>
      </c>
      <c r="I49" s="464" t="str">
        <f ca="1">IF('예아!'!G18,"O","X")</f>
        <v>X</v>
      </c>
      <c r="J49" s="464" t="str">
        <f ca="1">IF('예아!'!H18,"O","X")</f>
        <v>X</v>
      </c>
      <c r="K49" s="464" t="str">
        <f ca="1">IF('예아!'!I18,"O","X")</f>
        <v>X</v>
      </c>
      <c r="L49" s="464" t="str">
        <f ca="1">IF('예아!'!J18,"O","X")</f>
        <v>X</v>
      </c>
      <c r="M49" s="464" t="str">
        <f ca="1">IF('예아!'!K18,"O","X")</f>
        <v>X</v>
      </c>
      <c r="N49" s="464" t="str">
        <f ca="1">IF('예아!'!L18,"O","X")</f>
        <v>X</v>
      </c>
      <c r="O49" s="464" t="str">
        <f ca="1">IF('예아!'!M18,"O","X")</f>
        <v>X</v>
      </c>
      <c r="P49" s="637" t="s">
        <v>3038</v>
      </c>
      <c r="Q49" s="637"/>
      <c r="R49" s="637"/>
      <c r="S49" s="637"/>
      <c r="T49" s="637"/>
      <c r="U49" s="637"/>
      <c r="V49" s="637"/>
      <c r="W49" s="464" t="str">
        <f ca="1">IF('예아!'!U18,"O","X")</f>
        <v>X</v>
      </c>
      <c r="X49" s="464" t="str">
        <f ca="1">IF('예아!'!V18,"O","X")</f>
        <v>X</v>
      </c>
      <c r="Y49" s="464" t="str">
        <f ca="1">IF('예아!'!W18,"O","X")</f>
        <v>X</v>
      </c>
      <c r="Z49" s="464" t="str">
        <f ca="1">IF('예아!'!X18,"O","X")</f>
        <v>X</v>
      </c>
      <c r="AA49" s="464" t="str">
        <f ca="1">IF('예아!'!Y18,"O","X")</f>
        <v>X</v>
      </c>
      <c r="AB49" s="464" t="str">
        <f ca="1">IF('예아!'!Z18,"O","X")</f>
        <v>X</v>
      </c>
      <c r="AC49" s="464" t="str">
        <f ca="1">IF('예아!'!AA18,"O","X")</f>
        <v>X</v>
      </c>
      <c r="AD49" s="464" t="str">
        <f ca="1">IF('예아!'!AB18,"O","X")</f>
        <v>X</v>
      </c>
      <c r="AE49" s="460"/>
      <c r="AF49" s="460"/>
      <c r="AG49" s="460"/>
      <c r="AH49" s="460"/>
      <c r="AI49" s="460"/>
      <c r="AJ49" s="460"/>
      <c r="AK49" s="460"/>
      <c r="AL49" s="460"/>
      <c r="AM49" s="461"/>
      <c r="CN49" s="217" t="str">
        <f>CPU!B46</f>
        <v>애슬론APU 5150</v>
      </c>
      <c r="CO49" s="213" t="str">
        <f>메모리!B46</f>
        <v>&lt; DDR3 &gt;</v>
      </c>
      <c r="CP49" s="213">
        <f>CPU쿨러!B46</f>
        <v>0</v>
      </c>
      <c r="CQ49" s="213" t="str">
        <f>메인보드!B47</f>
        <v>ASUS MAXIMUS VIII HERO/ALPHA</v>
      </c>
      <c r="CR49" s="213" t="str">
        <f>그래픽카드!B46</f>
        <v>이엠텍 XENON 지포스 GTX950 OC Super JETSTREAM D5 2GB</v>
      </c>
      <c r="CS49" s="213" t="str">
        <f>HDD!B46</f>
        <v>HGST 4TB Deskstar HDS724040ALE640 패키지</v>
      </c>
      <c r="CT49" s="213" t="str">
        <f>SSD!B46</f>
        <v>Plextor M6S Series [512GB]</v>
      </c>
      <c r="CV49" s="213" t="str">
        <f>파워서플라이!B46</f>
        <v>FSP HYPER K 600W 80PLUS Standard 230V EU</v>
      </c>
      <c r="CW49" s="213" t="str">
        <f>케이스!B46</f>
        <v>CORSAIR CARBIDE SERIES AIR 540 White</v>
      </c>
      <c r="CX49" s="213" t="str">
        <f>키보드!B46</f>
        <v>스카이디지탈 NKEYBOARD NKEY-P5 레인보우 LED</v>
      </c>
      <c r="CY49" s="213" t="str">
        <f>마우스!B46</f>
        <v>스틸시리즈 RIVAL 300</v>
      </c>
      <c r="CZ49" s="213" t="str">
        <f>헤드셋!B46</f>
        <v>젠하이저 G4ME ONE</v>
      </c>
      <c r="DA49" s="213" t="str">
        <f>모니터!B46</f>
        <v xml:space="preserve">LG전자 24MP77SM </v>
      </c>
    </row>
    <row r="50" spans="4:105" ht="17.399999999999999" customHeight="1" x14ac:dyDescent="0.4">
      <c r="D50" s="636" t="s">
        <v>1095</v>
      </c>
      <c r="E50" s="637"/>
      <c r="F50" s="637"/>
      <c r="G50" s="637"/>
      <c r="H50" s="464" t="str">
        <f ca="1">IF('예아!'!F19,"O","X")</f>
        <v>X</v>
      </c>
      <c r="I50" s="464" t="str">
        <f ca="1">IF('예아!'!G19,"O","X")</f>
        <v>X</v>
      </c>
      <c r="J50" s="464" t="str">
        <f ca="1">IF('예아!'!H19,"O","X")</f>
        <v>X</v>
      </c>
      <c r="K50" s="464" t="str">
        <f ca="1">IF('예아!'!I19,"O","X")</f>
        <v>X</v>
      </c>
      <c r="L50" s="464" t="str">
        <f ca="1">IF('예아!'!J19,"O","X")</f>
        <v>X</v>
      </c>
      <c r="M50" s="464" t="str">
        <f ca="1">IF('예아!'!K19,"O","X")</f>
        <v>X</v>
      </c>
      <c r="N50" s="464" t="str">
        <f ca="1">IF('예아!'!L19,"O","X")</f>
        <v>X</v>
      </c>
      <c r="O50" s="464" t="str">
        <f ca="1">IF('예아!'!M19,"O","X")</f>
        <v>X</v>
      </c>
      <c r="P50" s="637" t="s">
        <v>1085</v>
      </c>
      <c r="Q50" s="637"/>
      <c r="R50" s="637"/>
      <c r="S50" s="637"/>
      <c r="T50" s="637"/>
      <c r="U50" s="637"/>
      <c r="V50" s="637"/>
      <c r="W50" s="464" t="str">
        <f ca="1">IF('예아!'!U19,"O","X")</f>
        <v>X</v>
      </c>
      <c r="X50" s="464" t="str">
        <f ca="1">IF('예아!'!V19,"O","X")</f>
        <v>X</v>
      </c>
      <c r="Y50" s="464" t="str">
        <f ca="1">IF('예아!'!W19,"O","X")</f>
        <v>X</v>
      </c>
      <c r="Z50" s="464" t="str">
        <f ca="1">IF('예아!'!X19,"O","X")</f>
        <v>X</v>
      </c>
      <c r="AA50" s="464" t="str">
        <f ca="1">IF('예아!'!Y19,"O","X")</f>
        <v>X</v>
      </c>
      <c r="AB50" s="464" t="str">
        <f ca="1">IF('예아!'!Z19,"O","X")</f>
        <v>X</v>
      </c>
      <c r="AC50" s="464" t="str">
        <f ca="1">IF('예아!'!AA19,"O","X")</f>
        <v>X</v>
      </c>
      <c r="AD50" s="464" t="str">
        <f ca="1">IF('예아!'!AB19,"O","X")</f>
        <v>X</v>
      </c>
      <c r="AE50" s="460"/>
      <c r="AF50" s="460"/>
      <c r="AG50" s="460"/>
      <c r="AH50" s="460"/>
      <c r="AI50" s="460"/>
      <c r="AJ50" s="460"/>
      <c r="AK50" s="460"/>
      <c r="AL50" s="460"/>
      <c r="AM50" s="461"/>
      <c r="CN50" s="217" t="str">
        <f>CPU!B47</f>
        <v>FX 8370E</v>
      </c>
      <c r="CO50" s="213" t="str">
        <f>메모리!B47</f>
        <v>삼성전자 노트북 DDR3 4G PC3-12800 [1.5V(구형)]</v>
      </c>
      <c r="CP50" s="213">
        <f>CPU쿨러!B47</f>
        <v>0</v>
      </c>
      <c r="CQ50" s="213" t="str">
        <f>메인보드!B48</f>
        <v>ASUS Z170-WS</v>
      </c>
      <c r="CR50" s="213" t="str">
        <f>그래픽카드!B47</f>
        <v>이엠텍 HV 지포스 GTX950 OverClock Edition D5 2GB</v>
      </c>
      <c r="CS50" s="213" t="str">
        <f>HDD!B47</f>
        <v>HGST 4TB Deskstar NAS HDN724040ALE640 패키지</v>
      </c>
      <c r="CT50" s="213" t="str">
        <f>SSD!B47</f>
        <v>Plextor M7V [128GB]</v>
      </c>
      <c r="CV50" s="213" t="str">
        <f>파워서플라이!B47</f>
        <v>FSP HYPER 600W</v>
      </c>
      <c r="CW50" s="213" t="str">
        <f>케이스!B47</f>
        <v>CORSAIR CARBIDE SERIES AIR 540 Silver</v>
      </c>
      <c r="CX50" s="213" t="str">
        <f>키보드!B47</f>
        <v xml:space="preserve">제닉스 STORMX K4 </v>
      </c>
      <c r="CY50" s="213" t="str">
        <f>마우스!B47</f>
        <v>스틸시리즈 RIVAL 700</v>
      </c>
      <c r="CZ50" s="213" t="str">
        <f>헤드셋!B47</f>
        <v>젠하이저 PC310 G4ME</v>
      </c>
      <c r="DA50" s="213" t="str">
        <f>모니터!B47</f>
        <v xml:space="preserve">LG전자 24MT57D </v>
      </c>
    </row>
    <row r="51" spans="4:105" ht="17.399999999999999" customHeight="1" x14ac:dyDescent="0.4">
      <c r="D51" s="636" t="s">
        <v>1051</v>
      </c>
      <c r="E51" s="637"/>
      <c r="F51" s="637"/>
      <c r="G51" s="637"/>
      <c r="H51" s="464" t="str">
        <f ca="1">IF('예아!'!F20,"O","X")</f>
        <v>X</v>
      </c>
      <c r="I51" s="464" t="str">
        <f ca="1">IF('예아!'!G20,"O","X")</f>
        <v>X</v>
      </c>
      <c r="J51" s="464" t="str">
        <f ca="1">IF('예아!'!H20,"O","X")</f>
        <v>X</v>
      </c>
      <c r="K51" s="464" t="str">
        <f ca="1">IF('예아!'!I20,"O","X")</f>
        <v>X</v>
      </c>
      <c r="L51" s="464" t="str">
        <f ca="1">IF('예아!'!J20,"O","X")</f>
        <v>X</v>
      </c>
      <c r="M51" s="464" t="str">
        <f ca="1">IF('예아!'!K20,"O","X")</f>
        <v>X</v>
      </c>
      <c r="N51" s="464" t="str">
        <f ca="1">IF('예아!'!L20,"O","X")</f>
        <v>X</v>
      </c>
      <c r="O51" s="464" t="str">
        <f ca="1">IF('예아!'!M20,"O","X")</f>
        <v>X</v>
      </c>
      <c r="P51" s="637" t="s">
        <v>2994</v>
      </c>
      <c r="Q51" s="637"/>
      <c r="R51" s="637"/>
      <c r="S51" s="637"/>
      <c r="T51" s="637"/>
      <c r="U51" s="637"/>
      <c r="V51" s="637"/>
      <c r="W51" s="464" t="str">
        <f ca="1">IF('예아!'!U20,"O","X")</f>
        <v>X</v>
      </c>
      <c r="X51" s="464" t="str">
        <f ca="1">IF('예아!'!V20,"O","X")</f>
        <v>X</v>
      </c>
      <c r="Y51" s="464" t="str">
        <f ca="1">IF('예아!'!W20,"O","X")</f>
        <v>X</v>
      </c>
      <c r="Z51" s="464" t="str">
        <f ca="1">IF('예아!'!X20,"O","X")</f>
        <v>X</v>
      </c>
      <c r="AA51" s="464" t="str">
        <f ca="1">IF('예아!'!Y20,"O","X")</f>
        <v>X</v>
      </c>
      <c r="AB51" s="464" t="str">
        <f ca="1">IF('예아!'!Z20,"O","X")</f>
        <v>X</v>
      </c>
      <c r="AC51" s="464" t="str">
        <f ca="1">IF('예아!'!AA20,"O","X")</f>
        <v>X</v>
      </c>
      <c r="AD51" s="464" t="str">
        <f ca="1">IF('예아!'!AB20,"O","X")</f>
        <v>X</v>
      </c>
      <c r="AE51" s="460"/>
      <c r="AF51" s="460"/>
      <c r="AG51" s="460"/>
      <c r="AH51" s="460"/>
      <c r="AI51" s="460"/>
      <c r="AJ51" s="460"/>
      <c r="AK51" s="460"/>
      <c r="AL51" s="460"/>
      <c r="AM51" s="461"/>
      <c r="CN51" s="217" t="str">
        <f>CPU!B48</f>
        <v>FX 8370</v>
      </c>
      <c r="CO51" s="213" t="str">
        <f>메모리!B48</f>
        <v>삼성전자 노트북 DDR3 4G PC3-12800 1.35V</v>
      </c>
      <c r="CQ51" s="213" t="str">
        <f>메인보드!B49</f>
        <v>ASUS MAXIMUS VIII FORMULA</v>
      </c>
      <c r="CR51" s="213" t="str">
        <f>그래픽카드!B48</f>
        <v>-</v>
      </c>
      <c r="CS51" s="213" t="str">
        <f>HDD!B48</f>
        <v>HGST 5TB DeskStar NAS HDN726050ALE610 패키지</v>
      </c>
      <c r="CT51" s="213" t="str">
        <f>SSD!B48</f>
        <v>Plextor M7V [256GB]</v>
      </c>
      <c r="CV51" s="213" t="str">
        <f>파워서플라이!B48</f>
        <v>FSP FSP600-50HPN 85+</v>
      </c>
      <c r="CW51" s="213" t="str">
        <f>케이스!B48</f>
        <v>CORSAIR CARBIDE SERIES QUIET 600Q</v>
      </c>
      <c r="CX51" s="213" t="str">
        <f>키보드!B48</f>
        <v>-</v>
      </c>
      <c r="CY51" s="213" t="str">
        <f>마우스!B48</f>
        <v>스틸시리즈 RIVAL 95 PC방</v>
      </c>
      <c r="CZ51" s="213" t="str">
        <f>헤드셋!B48</f>
        <v>젠하이저 G4ME ZERO</v>
      </c>
      <c r="DA51" s="213" t="str">
        <f>모니터!B48</f>
        <v xml:space="preserve">LG전자 24MB35P </v>
      </c>
    </row>
    <row r="52" spans="4:105" ht="17.399999999999999" customHeight="1" x14ac:dyDescent="0.4">
      <c r="D52" s="636" t="s">
        <v>2989</v>
      </c>
      <c r="E52" s="637"/>
      <c r="F52" s="637"/>
      <c r="G52" s="637"/>
      <c r="H52" s="464" t="str">
        <f ca="1">IF('예아!'!F21,"O","X")</f>
        <v>X</v>
      </c>
      <c r="I52" s="464" t="str">
        <f ca="1">IF('예아!'!G21,"O","X")</f>
        <v>X</v>
      </c>
      <c r="J52" s="464" t="str">
        <f ca="1">IF('예아!'!H21,"O","X")</f>
        <v>X</v>
      </c>
      <c r="K52" s="464" t="str">
        <f ca="1">IF('예아!'!I21,"O","X")</f>
        <v>X</v>
      </c>
      <c r="L52" s="464" t="str">
        <f ca="1">IF('예아!'!J21,"O","X")</f>
        <v>X</v>
      </c>
      <c r="M52" s="464" t="str">
        <f ca="1">IF('예아!'!K21,"O","X")</f>
        <v>X</v>
      </c>
      <c r="N52" s="464" t="str">
        <f ca="1">IF('예아!'!L21,"O","X")</f>
        <v>X</v>
      </c>
      <c r="O52" s="464" t="str">
        <f ca="1">IF('예아!'!M21,"O","X")</f>
        <v>X</v>
      </c>
      <c r="P52" s="637" t="s">
        <v>1091</v>
      </c>
      <c r="Q52" s="637"/>
      <c r="R52" s="637"/>
      <c r="S52" s="637"/>
      <c r="T52" s="637"/>
      <c r="U52" s="637"/>
      <c r="V52" s="637"/>
      <c r="W52" s="464" t="str">
        <f ca="1">IF('예아!'!U21,"O","X")</f>
        <v>X</v>
      </c>
      <c r="X52" s="464" t="str">
        <f ca="1">IF('예아!'!V21,"O","X")</f>
        <v>X</v>
      </c>
      <c r="Y52" s="464" t="str">
        <f ca="1">IF('예아!'!W21,"O","X")</f>
        <v>X</v>
      </c>
      <c r="Z52" s="464" t="str">
        <f ca="1">IF('예아!'!X21,"O","X")</f>
        <v>X</v>
      </c>
      <c r="AA52" s="464" t="str">
        <f ca="1">IF('예아!'!Y21,"O","X")</f>
        <v>X</v>
      </c>
      <c r="AB52" s="464" t="str">
        <f ca="1">IF('예아!'!Z21,"O","X")</f>
        <v>X</v>
      </c>
      <c r="AC52" s="464" t="str">
        <f ca="1">IF('예아!'!AA21,"O","X")</f>
        <v>X</v>
      </c>
      <c r="AD52" s="464" t="str">
        <f ca="1">IF('예아!'!AB21,"O","X")</f>
        <v>X</v>
      </c>
      <c r="AE52" s="460"/>
      <c r="AF52" s="460"/>
      <c r="AG52" s="460"/>
      <c r="AH52" s="460"/>
      <c r="AI52" s="460"/>
      <c r="AJ52" s="460"/>
      <c r="AK52" s="460"/>
      <c r="AL52" s="460"/>
      <c r="AM52" s="461"/>
      <c r="CN52" s="217" t="str">
        <f>CPU!B49</f>
        <v>FX 8320E</v>
      </c>
      <c r="CO52" s="213" t="str">
        <f>메모리!B49</f>
        <v>삼성전자 노트북 DDR3 8G PC3-12800 [1.5V(구형)]</v>
      </c>
      <c r="CQ52" s="213" t="str">
        <f>메인보드!B50</f>
        <v>ASUS MAXIMUS VIII EXTREME/ASSEMBLY</v>
      </c>
      <c r="CR52" s="213" t="str">
        <f>그래픽카드!B49</f>
        <v>GIGABYTE 라데온 R7 370 UD2 OC D5 2GB 윈드포스</v>
      </c>
      <c r="CS52" s="213" t="str">
        <f>HDD!B49</f>
        <v>HGST 6TB DeskStar NAS HDN726060ALE610 패키지</v>
      </c>
      <c r="CT52" s="213" t="str">
        <f>SSD!B49</f>
        <v>Plextor M7V [512GB]</v>
      </c>
      <c r="CV52" s="213" t="str">
        <f>파워서플라이!B49</f>
        <v>FSP Hydro 600W 80PLUS BRONZE 230V EU</v>
      </c>
      <c r="CW52" s="213" t="str">
        <f>케이스!B49</f>
        <v xml:space="preserve">리안리 PC-K69X 올블랙 </v>
      </c>
      <c r="CX52" s="213" t="str">
        <f>키보드!B49</f>
        <v>&lt;기계식&gt;</v>
      </c>
      <c r="CY52" s="213" t="str">
        <f>마우스!B49</f>
        <v>스틸시리즈 RIVAL Optical Mouse</v>
      </c>
      <c r="CZ52" s="213" t="str">
        <f>헤드셋!B49</f>
        <v>젠하이저 PC330 G4ME</v>
      </c>
      <c r="DA52" s="213" t="str">
        <f>모니터!B49</f>
        <v>LG전자 24MT47DC</v>
      </c>
    </row>
    <row r="53" spans="4:105" ht="17.399999999999999" customHeight="1" x14ac:dyDescent="0.4">
      <c r="D53" s="636" t="s">
        <v>2995</v>
      </c>
      <c r="E53" s="637"/>
      <c r="F53" s="637"/>
      <c r="G53" s="637"/>
      <c r="H53" s="464" t="str">
        <f ca="1">IF('예아!'!F22,"O","X")</f>
        <v>X</v>
      </c>
      <c r="I53" s="464" t="str">
        <f ca="1">IF('예아!'!G22,"O","X")</f>
        <v>X</v>
      </c>
      <c r="J53" s="464" t="str">
        <f ca="1">IF('예아!'!H22,"O","X")</f>
        <v>X</v>
      </c>
      <c r="K53" s="464" t="str">
        <f ca="1">IF('예아!'!I22,"O","X")</f>
        <v>X</v>
      </c>
      <c r="L53" s="464" t="str">
        <f ca="1">IF('예아!'!J22,"O","X")</f>
        <v>X</v>
      </c>
      <c r="M53" s="464" t="str">
        <f ca="1">IF('예아!'!K22,"O","X")</f>
        <v>X</v>
      </c>
      <c r="N53" s="464" t="str">
        <f ca="1">IF('예아!'!L22,"O","X")</f>
        <v>X</v>
      </c>
      <c r="O53" s="464" t="str">
        <f ca="1">IF('예아!'!M22,"O","X")</f>
        <v>X</v>
      </c>
      <c r="P53" s="637" t="s">
        <v>1089</v>
      </c>
      <c r="Q53" s="637"/>
      <c r="R53" s="637"/>
      <c r="S53" s="637"/>
      <c r="T53" s="637"/>
      <c r="U53" s="637"/>
      <c r="V53" s="637"/>
      <c r="W53" s="464" t="str">
        <f ca="1">IF('예아!'!U22,"O","X")</f>
        <v>X</v>
      </c>
      <c r="X53" s="464" t="str">
        <f ca="1">IF('예아!'!V22,"O","X")</f>
        <v>X</v>
      </c>
      <c r="Y53" s="464" t="str">
        <f ca="1">IF('예아!'!W22,"O","X")</f>
        <v>X</v>
      </c>
      <c r="Z53" s="464" t="str">
        <f ca="1">IF('예아!'!X22,"O","X")</f>
        <v>X</v>
      </c>
      <c r="AA53" s="464" t="str">
        <f ca="1">IF('예아!'!Y22,"O","X")</f>
        <v>X</v>
      </c>
      <c r="AB53" s="464" t="str">
        <f ca="1">IF('예아!'!Z22,"O","X")</f>
        <v>X</v>
      </c>
      <c r="AC53" s="464" t="str">
        <f ca="1">IF('예아!'!AA22,"O","X")</f>
        <v>X</v>
      </c>
      <c r="AD53" s="464" t="str">
        <f ca="1">IF('예아!'!AB22,"O","X")</f>
        <v>X</v>
      </c>
      <c r="AE53" s="460"/>
      <c r="AF53" s="460"/>
      <c r="AG53" s="460"/>
      <c r="AH53" s="460"/>
      <c r="AI53" s="460"/>
      <c r="AJ53" s="460"/>
      <c r="AK53" s="460"/>
      <c r="AL53" s="460"/>
      <c r="AM53" s="461"/>
      <c r="CN53" s="217" t="str">
        <f>CPU!B50</f>
        <v>FX 8300</v>
      </c>
      <c r="CO53" s="213" t="str">
        <f>메모리!B50</f>
        <v>삼성전자 노트북 DDR3 8G PC3-12800 1.35V</v>
      </c>
      <c r="CQ53" s="213" t="str">
        <f>메인보드!B51</f>
        <v>GIGABYTE GA-Z170-HD3P 듀러블에디션</v>
      </c>
      <c r="CR53" s="213" t="str">
        <f>그래픽카드!B50</f>
        <v>MSI 라데온 R7 370 OC 블랙 아머 2X D5 2GB</v>
      </c>
      <c r="CS53" s="213" t="str">
        <f>HDD!B50</f>
        <v>HGST 2TB Ultrastar 7K4000 HUS724020ALA640</v>
      </c>
      <c r="CT53" s="213" t="str">
        <f>SSD!B50</f>
        <v>Plextor M6S Plus [256GB]</v>
      </c>
      <c r="CV53" s="213" t="str">
        <f>파워서플라이!B50</f>
        <v>FSP HYPER M 600W Modular 85+</v>
      </c>
      <c r="CW53" s="213" t="str">
        <f>케이스!B50</f>
        <v>리안리 PC-A56A 실버</v>
      </c>
      <c r="CX53" s="213" t="str">
        <f>키보드!B50</f>
        <v>CORSAIR GAMING K65 RGB</v>
      </c>
      <c r="CY53" s="213" t="str">
        <f>마우스!B50</f>
        <v>스틸시리즈 SENSEI Wireless 레이저 마우스</v>
      </c>
      <c r="CZ53" s="213" t="str">
        <f>헤드셋!B50</f>
        <v>젠하이저 PC151</v>
      </c>
      <c r="DA53" s="213" t="str">
        <f>모니터!B50</f>
        <v>LG전자 24MT48DC</v>
      </c>
    </row>
    <row r="54" spans="4:105" ht="17.399999999999999" customHeight="1" x14ac:dyDescent="0.4">
      <c r="D54" s="636" t="s">
        <v>3057</v>
      </c>
      <c r="E54" s="637"/>
      <c r="F54" s="637"/>
      <c r="G54" s="637"/>
      <c r="H54" s="464" t="str">
        <f ca="1">IF('예아!'!F23,"O","X")</f>
        <v>X</v>
      </c>
      <c r="I54" s="464" t="str">
        <f ca="1">IF('예아!'!G23,"O","X")</f>
        <v>X</v>
      </c>
      <c r="J54" s="464" t="str">
        <f ca="1">IF('예아!'!H23,"O","X")</f>
        <v>X</v>
      </c>
      <c r="K54" s="464" t="str">
        <f ca="1">IF('예아!'!I23,"O","X")</f>
        <v>X</v>
      </c>
      <c r="L54" s="464" t="str">
        <f ca="1">IF('예아!'!J23,"O","X")</f>
        <v>X</v>
      </c>
      <c r="M54" s="464" t="str">
        <f ca="1">IF('예아!'!K23,"O","X")</f>
        <v>X</v>
      </c>
      <c r="N54" s="464" t="str">
        <f ca="1">IF('예아!'!L23,"O","X")</f>
        <v>X</v>
      </c>
      <c r="O54" s="464" t="str">
        <f ca="1">IF('예아!'!M23,"O","X")</f>
        <v>X</v>
      </c>
      <c r="P54" s="637" t="s">
        <v>1087</v>
      </c>
      <c r="Q54" s="637"/>
      <c r="R54" s="637"/>
      <c r="S54" s="637"/>
      <c r="T54" s="637"/>
      <c r="U54" s="637"/>
      <c r="V54" s="637"/>
      <c r="W54" s="464" t="str">
        <f ca="1">IF('예아!'!U23,"O","X")</f>
        <v>X</v>
      </c>
      <c r="X54" s="464" t="str">
        <f ca="1">IF('예아!'!V23,"O","X")</f>
        <v>X</v>
      </c>
      <c r="Y54" s="464" t="str">
        <f ca="1">IF('예아!'!W23,"O","X")</f>
        <v>X</v>
      </c>
      <c r="Z54" s="464" t="str">
        <f ca="1">IF('예아!'!X23,"O","X")</f>
        <v>X</v>
      </c>
      <c r="AA54" s="464" t="str">
        <f ca="1">IF('예아!'!Y23,"O","X")</f>
        <v>X</v>
      </c>
      <c r="AB54" s="464" t="str">
        <f ca="1">IF('예아!'!Z23,"O","X")</f>
        <v>X</v>
      </c>
      <c r="AC54" s="464" t="str">
        <f ca="1">IF('예아!'!AA23,"O","X")</f>
        <v>X</v>
      </c>
      <c r="AD54" s="464" t="str">
        <f ca="1">IF('예아!'!AB23,"O","X")</f>
        <v>X</v>
      </c>
      <c r="AE54" s="460"/>
      <c r="AF54" s="460"/>
      <c r="AG54" s="460"/>
      <c r="AH54" s="460"/>
      <c r="AI54" s="460"/>
      <c r="AJ54" s="460"/>
      <c r="AK54" s="460"/>
      <c r="AL54" s="460"/>
      <c r="AM54" s="461"/>
      <c r="CN54" s="217">
        <f>CPU!B51</f>
        <v>0</v>
      </c>
      <c r="CO54" s="213">
        <f>메모리!B51</f>
        <v>0</v>
      </c>
      <c r="CQ54" s="213" t="str">
        <f>메인보드!B52</f>
        <v>GIGABYTE GA-Z170X-Designare 듀러블에디션</v>
      </c>
      <c r="CR54" s="213" t="str">
        <f>그래픽카드!B51</f>
        <v>-</v>
      </c>
      <c r="CS54" s="213" t="str">
        <f>HDD!B51</f>
        <v>HGST 3TB Ultrastar 7K4000 HUS724030ALA640</v>
      </c>
      <c r="CT54" s="213" t="str">
        <f>SSD!B51</f>
        <v>Plextor M6S Plus [512GB]</v>
      </c>
      <c r="CV54" s="213" t="str">
        <f>파워서플라이!B51</f>
        <v>FSP Hydro G 650W</v>
      </c>
      <c r="CW54" s="213" t="str">
        <f>케이스!B51</f>
        <v>리안리 PC-7N 블랙</v>
      </c>
      <c r="CX54" s="213" t="str">
        <f>키보드!B51</f>
        <v>CORSAIR GAMING K70</v>
      </c>
      <c r="CY54" s="213" t="str">
        <f>마우스!B51</f>
        <v>스틸시리즈 SENSEI 레이저 마우스</v>
      </c>
      <c r="CZ54" s="213" t="str">
        <f>헤드셋!B51</f>
        <v>젠하이저 PC320 G4ME</v>
      </c>
      <c r="DA54" s="213" t="str">
        <f>모니터!B51</f>
        <v>LG전자 24MP58VQ</v>
      </c>
    </row>
    <row r="55" spans="4:105" ht="17.399999999999999" customHeight="1" x14ac:dyDescent="0.4">
      <c r="D55" s="636" t="s">
        <v>2990</v>
      </c>
      <c r="E55" s="637"/>
      <c r="F55" s="637"/>
      <c r="G55" s="637"/>
      <c r="H55" s="464" t="str">
        <f ca="1">IF('예아!'!F24,"O","X")</f>
        <v>X</v>
      </c>
      <c r="I55" s="464" t="str">
        <f ca="1">IF('예아!'!G24,"O","X")</f>
        <v>X</v>
      </c>
      <c r="J55" s="464" t="str">
        <f ca="1">IF('예아!'!H24,"O","X")</f>
        <v>X</v>
      </c>
      <c r="K55" s="464" t="str">
        <f ca="1">IF('예아!'!I24,"O","X")</f>
        <v>X</v>
      </c>
      <c r="L55" s="464" t="str">
        <f ca="1">IF('예아!'!J24,"O","X")</f>
        <v>X</v>
      </c>
      <c r="M55" s="464" t="str">
        <f ca="1">IF('예아!'!K24,"O","X")</f>
        <v>X</v>
      </c>
      <c r="N55" s="464" t="str">
        <f ca="1">IF('예아!'!L24,"O","X")</f>
        <v>X</v>
      </c>
      <c r="O55" s="464" t="str">
        <f ca="1">IF('예아!'!M24,"O","X")</f>
        <v>X</v>
      </c>
      <c r="P55" s="637" t="s">
        <v>1225</v>
      </c>
      <c r="Q55" s="637"/>
      <c r="R55" s="637"/>
      <c r="S55" s="637"/>
      <c r="T55" s="637"/>
      <c r="U55" s="637"/>
      <c r="V55" s="637"/>
      <c r="W55" s="464" t="str">
        <f ca="1">IF('예아!'!U24,"O","X")</f>
        <v>X</v>
      </c>
      <c r="X55" s="464" t="str">
        <f ca="1">IF('예아!'!V24,"O","X")</f>
        <v>X</v>
      </c>
      <c r="Y55" s="464" t="str">
        <f ca="1">IF('예아!'!W24,"O","X")</f>
        <v>X</v>
      </c>
      <c r="Z55" s="464" t="str">
        <f ca="1">IF('예아!'!X24,"O","X")</f>
        <v>X</v>
      </c>
      <c r="AA55" s="464" t="str">
        <f ca="1">IF('예아!'!Y24,"O","X")</f>
        <v>X</v>
      </c>
      <c r="AB55" s="464" t="str">
        <f ca="1">IF('예아!'!Z24,"O","X")</f>
        <v>X</v>
      </c>
      <c r="AC55" s="464" t="str">
        <f ca="1">IF('예아!'!AA24,"O","X")</f>
        <v>X</v>
      </c>
      <c r="AD55" s="464" t="str">
        <f ca="1">IF('예아!'!AB24,"O","X")</f>
        <v>X</v>
      </c>
      <c r="AE55" s="460"/>
      <c r="AF55" s="460"/>
      <c r="AG55" s="460"/>
      <c r="AH55" s="460"/>
      <c r="AI55" s="460"/>
      <c r="AJ55" s="460"/>
      <c r="AK55" s="460"/>
      <c r="AL55" s="460"/>
      <c r="AM55" s="461"/>
      <c r="CN55" s="217">
        <f>CPU!B52</f>
        <v>0</v>
      </c>
      <c r="CO55" s="213">
        <f>메모리!B52</f>
        <v>0</v>
      </c>
      <c r="CQ55" s="213" t="str">
        <f>메인보드!B53</f>
        <v>GIGABYTE GA-Z170X-Ultra Gaming 게이밍에디션</v>
      </c>
      <c r="CR55" s="213" t="str">
        <f>그래픽카드!B52</f>
        <v>SAPPHIRE 라데온 R9 370X OC D5 4GB Vapor-X</v>
      </c>
      <c r="CS55" s="213" t="str">
        <f>HDD!B52</f>
        <v>HGST 4TB Ultrastar 7K4000 HUS724040ALA640</v>
      </c>
      <c r="CT55" s="213" t="str">
        <f>SSD!B52</f>
        <v>Plextor M6S Plus [1TB]</v>
      </c>
      <c r="CV55" s="213" t="str">
        <f>파워서플라이!B52</f>
        <v>FSP AURUM PT-650M</v>
      </c>
      <c r="CW55" s="213" t="str">
        <f>케이스!B52</f>
        <v>리안리 PC-A55A 실버</v>
      </c>
      <c r="CX55" s="213" t="str">
        <f>키보드!B52</f>
        <v>CORSAIR GAMING K70 RGB</v>
      </c>
      <c r="CY55" s="213" t="str">
        <f>마우스!B52</f>
        <v xml:space="preserve">제닉스 E-BLUE AUROZA TYPE-G </v>
      </c>
      <c r="CZ55" s="213">
        <f>헤드셋!B52</f>
        <v>0</v>
      </c>
      <c r="DA55" s="213" t="str">
        <f>모니터!B52</f>
        <v xml:space="preserve">삼성전자 S24D300 </v>
      </c>
    </row>
    <row r="56" spans="4:105" ht="17.399999999999999" customHeight="1" x14ac:dyDescent="0.4">
      <c r="D56" s="636" t="s">
        <v>2991</v>
      </c>
      <c r="E56" s="637"/>
      <c r="F56" s="637"/>
      <c r="G56" s="637"/>
      <c r="H56" s="464" t="str">
        <f ca="1">IF('예아!'!F25,"O","X")</f>
        <v>X</v>
      </c>
      <c r="I56" s="464" t="str">
        <f ca="1">IF('예아!'!G25,"O","X")</f>
        <v>X</v>
      </c>
      <c r="J56" s="464" t="str">
        <f ca="1">IF('예아!'!H25,"O","X")</f>
        <v>X</v>
      </c>
      <c r="K56" s="464" t="str">
        <f ca="1">IF('예아!'!I25,"O","X")</f>
        <v>X</v>
      </c>
      <c r="L56" s="464" t="str">
        <f ca="1">IF('예아!'!J25,"O","X")</f>
        <v>X</v>
      </c>
      <c r="M56" s="464" t="str">
        <f ca="1">IF('예아!'!K25,"O","X")</f>
        <v>X</v>
      </c>
      <c r="N56" s="464" t="str">
        <f ca="1">IF('예아!'!L25,"O","X")</f>
        <v>X</v>
      </c>
      <c r="O56" s="464" t="str">
        <f ca="1">IF('예아!'!M25,"O","X")</f>
        <v>X</v>
      </c>
      <c r="P56" s="637" t="s">
        <v>2837</v>
      </c>
      <c r="Q56" s="637"/>
      <c r="R56" s="637"/>
      <c r="S56" s="637"/>
      <c r="T56" s="637"/>
      <c r="U56" s="637"/>
      <c r="V56" s="637"/>
      <c r="W56" s="464" t="str">
        <f ca="1">IF('예아!'!U25,"O","X")</f>
        <v>X</v>
      </c>
      <c r="X56" s="464" t="str">
        <f ca="1">IF('예아!'!V25,"O","X")</f>
        <v>X</v>
      </c>
      <c r="Y56" s="464" t="str">
        <f ca="1">IF('예아!'!W25,"O","X")</f>
        <v>X</v>
      </c>
      <c r="Z56" s="464" t="str">
        <f ca="1">IF('예아!'!X25,"O","X")</f>
        <v>X</v>
      </c>
      <c r="AA56" s="464" t="str">
        <f ca="1">IF('예아!'!Y25,"O","X")</f>
        <v>X</v>
      </c>
      <c r="AB56" s="464" t="str">
        <f ca="1">IF('예아!'!Z25,"O","X")</f>
        <v>X</v>
      </c>
      <c r="AC56" s="464" t="str">
        <f ca="1">IF('예아!'!AA25,"O","X")</f>
        <v>X</v>
      </c>
      <c r="AD56" s="464" t="str">
        <f ca="1">IF('예아!'!AB25,"O","X")</f>
        <v>X</v>
      </c>
      <c r="AE56" s="460"/>
      <c r="AF56" s="460"/>
      <c r="AG56" s="460"/>
      <c r="AH56" s="460"/>
      <c r="AI56" s="460"/>
      <c r="AJ56" s="460"/>
      <c r="AK56" s="460"/>
      <c r="AL56" s="460"/>
      <c r="AM56" s="461"/>
      <c r="CN56" s="217">
        <f>CPU!B53</f>
        <v>0</v>
      </c>
      <c r="CO56" s="213">
        <f>메모리!B53</f>
        <v>0</v>
      </c>
      <c r="CQ56" s="213" t="str">
        <f>메인보드!B54</f>
        <v>GIGABYTE GA-Z170X-UD3 Ultra 듀러블에디션</v>
      </c>
      <c r="CR56" s="213" t="str">
        <f>그래픽카드!B53</f>
        <v>-</v>
      </c>
      <c r="CS56" s="213" t="str">
        <f>HDD!B53</f>
        <v>HGST 5TB Ultrastar 7K6000 HUS726050ALE614</v>
      </c>
      <c r="CT56" s="213" t="str">
        <f>SSD!B53</f>
        <v>Toshiba Q300 PRO [128GB]</v>
      </c>
      <c r="CV56" s="213" t="str">
        <f>파워서플라이!B53</f>
        <v>SuperFlower SF-600R12A NOVA</v>
      </c>
      <c r="CW56" s="213" t="str">
        <f>케이스!B53</f>
        <v>리안리 PC-8EA 실버</v>
      </c>
      <c r="CX56" s="213" t="str">
        <f>키보드!B53</f>
        <v>CORSAIR GAMING K95 RGB</v>
      </c>
      <c r="CY56" s="213" t="str">
        <f>마우스!B53</f>
        <v xml:space="preserve">제닉스 E-BLUE AUROZA TYPE-IM </v>
      </c>
      <c r="CZ56" s="213">
        <f>헤드셋!B53</f>
        <v>0</v>
      </c>
      <c r="DA56" s="213" t="str">
        <f>모니터!B53</f>
        <v xml:space="preserve">삼성전자 T24D390KD </v>
      </c>
    </row>
    <row r="57" spans="4:105" ht="18" customHeight="1" thickBot="1" x14ac:dyDescent="0.45">
      <c r="D57" s="659" t="s">
        <v>2992</v>
      </c>
      <c r="E57" s="660"/>
      <c r="F57" s="660"/>
      <c r="G57" s="660"/>
      <c r="H57" s="465" t="str">
        <f ca="1">IF('예아!'!F26,"O","X")</f>
        <v>X</v>
      </c>
      <c r="I57" s="465" t="str">
        <f ca="1">IF('예아!'!G26,"O","X")</f>
        <v>X</v>
      </c>
      <c r="J57" s="465" t="str">
        <f ca="1">IF('예아!'!H26,"O","X")</f>
        <v>X</v>
      </c>
      <c r="K57" s="465" t="str">
        <f ca="1">IF('예아!'!I26,"O","X")</f>
        <v>X</v>
      </c>
      <c r="L57" s="465" t="str">
        <f ca="1">IF('예아!'!J26,"O","X")</f>
        <v>X</v>
      </c>
      <c r="M57" s="465" t="str">
        <f ca="1">IF('예아!'!K26,"O","X")</f>
        <v>X</v>
      </c>
      <c r="N57" s="465" t="str">
        <f ca="1">IF('예아!'!L26,"O","X")</f>
        <v>X</v>
      </c>
      <c r="O57" s="465" t="str">
        <f ca="1">IF('예아!'!M26,"O","X")</f>
        <v>X</v>
      </c>
      <c r="P57" s="660" t="s">
        <v>3039</v>
      </c>
      <c r="Q57" s="660"/>
      <c r="R57" s="660"/>
      <c r="S57" s="660"/>
      <c r="T57" s="660"/>
      <c r="U57" s="660"/>
      <c r="V57" s="660"/>
      <c r="W57" s="465" t="str">
        <f ca="1">IF('예아!'!U26,"O","X")</f>
        <v>X</v>
      </c>
      <c r="X57" s="465" t="str">
        <f ca="1">IF('예아!'!V26,"O","X")</f>
        <v>X</v>
      </c>
      <c r="Y57" s="465" t="str">
        <f ca="1">IF('예아!'!W26,"O","X")</f>
        <v>X</v>
      </c>
      <c r="Z57" s="465" t="str">
        <f ca="1">IF('예아!'!X26,"O","X")</f>
        <v>X</v>
      </c>
      <c r="AA57" s="465" t="str">
        <f ca="1">IF('예아!'!Y26,"O","X")</f>
        <v>X</v>
      </c>
      <c r="AB57" s="465" t="str">
        <f ca="1">IF('예아!'!Z26,"O","X")</f>
        <v>X</v>
      </c>
      <c r="AC57" s="465" t="str">
        <f ca="1">IF('예아!'!AA26,"O","X")</f>
        <v>X</v>
      </c>
      <c r="AD57" s="465" t="str">
        <f ca="1">IF('예아!'!AB26,"O","X")</f>
        <v>X</v>
      </c>
      <c r="AE57" s="462"/>
      <c r="AF57" s="462"/>
      <c r="AG57" s="462"/>
      <c r="AH57" s="462"/>
      <c r="AI57" s="462"/>
      <c r="AJ57" s="462"/>
      <c r="AK57" s="462"/>
      <c r="AL57" s="462"/>
      <c r="AM57" s="463"/>
      <c r="CN57" s="217">
        <f>CPU!B54</f>
        <v>0</v>
      </c>
      <c r="CO57" s="213">
        <f>메모리!B54</f>
        <v>0</v>
      </c>
      <c r="CQ57" s="213" t="str">
        <f>메인보드!B55</f>
        <v>GIGABYTE GA-Z170X-UD5 듀러블에디션</v>
      </c>
      <c r="CR57" s="213" t="str">
        <f>그래픽카드!B54</f>
        <v>ASUS ROG STRIX 라데온 RX 460 O4G GAMING 4GB</v>
      </c>
      <c r="CS57" s="213" t="str">
        <f>HDD!B54</f>
        <v>HGST 6TB Ultrastar 7K6000 HUS726060ALE610</v>
      </c>
      <c r="CT57" s="213" t="str">
        <f>SSD!B54</f>
        <v>Toshiba Q300 PRO [256GB]</v>
      </c>
      <c r="CV57" s="213" t="str">
        <f>파워서플라이!B54</f>
        <v>SuperFlower SF-600R14SE Silver Green FX</v>
      </c>
      <c r="CW57" s="213" t="str">
        <f>케이스!B54</f>
        <v>리안리 PC-T80X 올블랙</v>
      </c>
      <c r="CX57" s="213" t="str">
        <f>키보드!B54</f>
        <v>CORSAIR K70 LUX</v>
      </c>
      <c r="CY57" s="213" t="str">
        <f>마우스!B54</f>
        <v>제닉스 E-BLUE COBRA M622</v>
      </c>
      <c r="CZ57" s="213">
        <f>헤드셋!B54</f>
        <v>0</v>
      </c>
      <c r="DA57" s="213" t="str">
        <f>모니터!B54</f>
        <v>삼성전자 S24F350</v>
      </c>
    </row>
    <row r="58" spans="4:105" x14ac:dyDescent="0.4"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CN58" s="217">
        <f>CPU!B55</f>
        <v>0</v>
      </c>
      <c r="CO58" s="213">
        <f>메모리!B55</f>
        <v>0</v>
      </c>
      <c r="CQ58" s="213" t="str">
        <f>메인보드!B56</f>
        <v>GIGABYTE GA-Z170X-Gaming G1 게이밍에디션</v>
      </c>
      <c r="CR58" s="213" t="str">
        <f>그래픽카드!B55</f>
        <v>GIGABYTE 라데온 RX 460 UDV D5 2GB 윈드포스</v>
      </c>
      <c r="CS58" s="213" t="str">
        <f>HDD!B55</f>
        <v>HGST 6TB Ultrastar He8 HUH728060ALE600</v>
      </c>
      <c r="CT58" s="213" t="str">
        <f>SSD!B55</f>
        <v>Toshiba Q300 PRO [512GB]</v>
      </c>
      <c r="CV58" s="213" t="str">
        <f>파워서플라이!B55</f>
        <v>SuperFlower SF-600P14XE Golden Green HX</v>
      </c>
      <c r="CW58" s="213" t="str">
        <f>케이스!B55</f>
        <v>리안리 PC-A51WX 올블랙</v>
      </c>
      <c r="CX58" s="213" t="str">
        <f>키보드!B55</f>
        <v>CORSAIR K70 RAPIDFIRE Mechanical Gaming Keyboard</v>
      </c>
      <c r="CY58" s="213" t="str">
        <f>마우스!B55</f>
        <v>제닉스 STORMX M1</v>
      </c>
      <c r="CZ58" s="213">
        <f>헤드셋!B55</f>
        <v>0</v>
      </c>
      <c r="DA58" s="213" t="str">
        <f>모니터!B55</f>
        <v>삼성전자 C24F390F</v>
      </c>
    </row>
    <row r="59" spans="4:105" x14ac:dyDescent="0.4"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CN59" s="217">
        <f>CPU!B56</f>
        <v>0</v>
      </c>
      <c r="CO59" s="213">
        <f>메모리!B56</f>
        <v>0</v>
      </c>
      <c r="CQ59" s="213" t="str">
        <f>메인보드!B57</f>
        <v>MSI Z170A SLI PLUS</v>
      </c>
      <c r="CR59" s="213" t="str">
        <f>그래픽카드!B56</f>
        <v>GIGABYTE 라데온 RX 460 UDV D5 4GB 윈드포스</v>
      </c>
      <c r="CS59" s="213" t="str">
        <f>HDD!B56</f>
        <v>HGST 8TB Ultrastar He8 HUH728080ALE600</v>
      </c>
      <c r="CT59" s="213" t="str">
        <f>SSD!B56</f>
        <v>Toshiba Q300 PRO [1TB]</v>
      </c>
      <c r="CV59" s="213" t="str">
        <f>파워서플라이!B56</f>
        <v>SuperFlower SF-650F14MT LEADEX SILVER</v>
      </c>
      <c r="CW59" s="213" t="str">
        <f>케이스!B56</f>
        <v>리안리 Cowry PC-U6</v>
      </c>
      <c r="CX59" s="213" t="str">
        <f>키보드!B56</f>
        <v>CORSAIR K70 RAPIDFIRE RGB Mechanical Gaming Keyboard</v>
      </c>
      <c r="CY59" s="213">
        <f>마우스!B56</f>
        <v>0</v>
      </c>
      <c r="CZ59" s="213">
        <f>헤드셋!B56</f>
        <v>0</v>
      </c>
      <c r="DA59" s="213" t="str">
        <f>모니터!B56</f>
        <v xml:space="preserve">삼성전자 S24D340HS </v>
      </c>
    </row>
    <row r="60" spans="4:105" x14ac:dyDescent="0.4">
      <c r="CN60" s="217">
        <f>CPU!B57</f>
        <v>0</v>
      </c>
      <c r="CO60" s="213">
        <f>메모리!B57</f>
        <v>0</v>
      </c>
      <c r="CQ60" s="213" t="str">
        <f>메인보드!B58</f>
        <v>MSI Z170 KRAIT GAMING</v>
      </c>
      <c r="CR60" s="213" t="str">
        <f>그래픽카드!B57</f>
        <v>HIS 라데온 RX 460 iCooler OC D5 2GB</v>
      </c>
      <c r="CS60" s="213" t="str">
        <f>HDD!B57</f>
        <v>HGST 10TB Ultrastar He10 HUH721010ALE600</v>
      </c>
      <c r="CT60" s="213" t="str">
        <f>SSD!B57</f>
        <v>Toshiba Q300 [120GB]</v>
      </c>
      <c r="CV60" s="213" t="str">
        <f>파워서플라이!B57</f>
        <v>SuperFlower SF-650F14MT LEADEX SILVER (WHITE)</v>
      </c>
      <c r="CW60" s="213" t="str">
        <f>케이스!B57</f>
        <v>리안리 PC-O8</v>
      </c>
      <c r="CX60" s="213" t="str">
        <f>키보드!B57</f>
        <v>CORSAIR STRAFE</v>
      </c>
      <c r="CY60" s="213">
        <f>마우스!B57</f>
        <v>0</v>
      </c>
      <c r="CZ60" s="213">
        <f>헤드셋!B57</f>
        <v>0</v>
      </c>
      <c r="DA60" s="213" t="str">
        <f>모니터!B57</f>
        <v>삼성전자 T24E310</v>
      </c>
    </row>
    <row r="61" spans="4:105" x14ac:dyDescent="0.4">
      <c r="CN61" s="58"/>
      <c r="CO61" s="213">
        <f>메모리!B58</f>
        <v>0</v>
      </c>
      <c r="CQ61" s="213" t="str">
        <f>메인보드!B59</f>
        <v>MSI Z170A 크레이트 게이밍 3X</v>
      </c>
      <c r="CR61" s="213" t="str">
        <f>그래픽카드!B58</f>
        <v>SAPPHIRE 라데온 RX 460 OC D5 2GB</v>
      </c>
      <c r="CS61" s="213">
        <f>HDD!B58</f>
        <v>0</v>
      </c>
      <c r="CT61" s="213" t="str">
        <f>SSD!B58</f>
        <v>Toshiba Q300 [240GB]</v>
      </c>
      <c r="CV61" s="213" t="str">
        <f>파워서플라이!B58</f>
        <v xml:space="preserve">SuperFlower SF-650F14MG II LEADEX GOLD </v>
      </c>
      <c r="CW61" s="213" t="str">
        <f>케이스!B58</f>
        <v>리안리 PC-O7S 올블랙</v>
      </c>
      <c r="CX61" s="213" t="str">
        <f>키보드!B58</f>
        <v>CORSAIR STRAFE RGB</v>
      </c>
      <c r="CY61" s="213">
        <f>마우스!B58</f>
        <v>0</v>
      </c>
      <c r="CZ61" s="213">
        <f>헤드셋!B58</f>
        <v>0</v>
      </c>
      <c r="DA61" s="213" t="str">
        <f>모니터!B58</f>
        <v xml:space="preserve">삼성전자 T24E395 </v>
      </c>
    </row>
    <row r="62" spans="4:105" x14ac:dyDescent="0.4">
      <c r="CN62" s="58"/>
      <c r="CO62" s="213">
        <f>메모리!B59</f>
        <v>0</v>
      </c>
      <c r="CQ62" s="213" t="str">
        <f>메인보드!B60</f>
        <v>MSI Z170A GAMING M5</v>
      </c>
      <c r="CR62" s="213" t="str">
        <f>그래픽카드!B59</f>
        <v>SAPPHIRE 라데온 RX 460 OC D5 4GB Dual-X NITRO</v>
      </c>
      <c r="CS62" s="213">
        <f>HDD!B59</f>
        <v>0</v>
      </c>
      <c r="CT62" s="213" t="str">
        <f>SSD!B59</f>
        <v>Toshiba Q300 [480GB]</v>
      </c>
      <c r="CV62" s="213" t="str">
        <f>파워서플라이!B59</f>
        <v>XFX TS 650W BRONZE</v>
      </c>
      <c r="CW62" s="213" t="str">
        <f>케이스!B59</f>
        <v>-</v>
      </c>
      <c r="CX62" s="213" t="str">
        <f>키보드!B59</f>
        <v>CORSAIR STRAFE SILENT RGB</v>
      </c>
      <c r="CY62" s="213">
        <f>마우스!B59</f>
        <v>0</v>
      </c>
      <c r="CZ62" s="213">
        <f>헤드셋!B59</f>
        <v>0</v>
      </c>
      <c r="DA62" s="213" t="str">
        <f>모니터!B59</f>
        <v xml:space="preserve">삼성전자 S24E390 </v>
      </c>
    </row>
    <row r="63" spans="4:105" x14ac:dyDescent="0.4">
      <c r="CN63" s="58"/>
      <c r="CQ63" s="213" t="str">
        <f>메인보드!B61</f>
        <v>MSI Z170A XPOWER 게이밍 티타늄 에디션</v>
      </c>
      <c r="CR63" s="213" t="str">
        <f>그래픽카드!B60</f>
        <v xml:space="preserve">XFX 라데온 RX 460 BLACK Wolf OC D5 2GB </v>
      </c>
      <c r="CS63" s="213">
        <f>HDD!B60</f>
        <v>0</v>
      </c>
      <c r="CT63" s="213" t="str">
        <f>SSD!B60</f>
        <v>Toshiba Q300 [960GB]</v>
      </c>
      <c r="CV63" s="213" t="str">
        <f>파워서플라이!B60</f>
        <v>XFX TS 650W GOLD</v>
      </c>
      <c r="CW63" s="213" t="str">
        <f>케이스!B60</f>
        <v>&lt;미니 ITX(리틀밸리)&gt;</v>
      </c>
      <c r="CX63" s="213" t="str">
        <f>키보드!B60</f>
        <v>CORSAIR VENGEANCE K70</v>
      </c>
      <c r="CY63" s="213">
        <f>마우스!B60</f>
        <v>0</v>
      </c>
      <c r="CZ63" s="213">
        <f>헤드셋!B60</f>
        <v>0</v>
      </c>
      <c r="DA63" s="213" t="str">
        <f>모니터!B60</f>
        <v xml:space="preserve">알파스캔 AOC 2477 IPS MHL+DP 무결점 </v>
      </c>
    </row>
    <row r="64" spans="4:105" x14ac:dyDescent="0.4">
      <c r="CN64" s="58"/>
      <c r="CQ64" s="213" t="str">
        <f>메인보드!B62</f>
        <v>-</v>
      </c>
      <c r="CR64" s="213" t="str">
        <f>그래픽카드!B61</f>
        <v>XFX 라데온 RX 460 BLACK Wolf OC D5 4GB</v>
      </c>
      <c r="CS64" s="213">
        <f>HDD!B61</f>
        <v>0</v>
      </c>
      <c r="CT64" s="213" t="str">
        <f>SSD!B61</f>
        <v>인텔 540s [120GB]</v>
      </c>
      <c r="CV64" s="213" t="str">
        <f>파워서플라이!B61</f>
        <v>XFX XTR 650W GOLD</v>
      </c>
      <c r="CW64" s="213" t="str">
        <f>케이스!B61</f>
        <v>3RSYS TRUE100 쿨엔조이 스페셜 에디션 USB3.0 레드</v>
      </c>
      <c r="CX64" s="213" t="str">
        <f>키보드!B61</f>
        <v>MAXTILL TRON G10K Mechanical Keyboard</v>
      </c>
      <c r="CY64" s="213">
        <f>마우스!B61</f>
        <v>0</v>
      </c>
      <c r="CZ64" s="213">
        <f>헤드셋!B61</f>
        <v>0</v>
      </c>
      <c r="DA64" s="213" t="str">
        <f>모니터!B61</f>
        <v>알파스캔 AOC 2481 IPS 레이저 플리커프리 무결점</v>
      </c>
    </row>
    <row r="65" spans="92:105" x14ac:dyDescent="0.4">
      <c r="CN65" s="58"/>
      <c r="CQ65" s="213" t="str">
        <f>메인보드!B63</f>
        <v>&lt;&lt; HASWELL &gt;&gt;</v>
      </c>
      <c r="CR65" s="213" t="str">
        <f>그래픽카드!B62</f>
        <v>-</v>
      </c>
      <c r="CS65" s="213">
        <f>HDD!B62</f>
        <v>0</v>
      </c>
      <c r="CT65" s="213" t="str">
        <f>SSD!B62</f>
        <v>인텔 540s [240GB]</v>
      </c>
      <c r="CV65" s="213" t="str">
        <f>파워서플라이!B62</f>
        <v>마이크로닉스 Cyclone II 600W +12V Single Rail 83+</v>
      </c>
      <c r="CW65" s="213" t="str">
        <f>케이스!B62</f>
        <v>ABKO Alu-400i USB 3.0</v>
      </c>
      <c r="CX65" s="213" t="str">
        <f>키보드!B62</f>
        <v>MAXTILL TRON G750 Mechanical Keyboard</v>
      </c>
      <c r="CY65" s="213">
        <f>마우스!B62</f>
        <v>0</v>
      </c>
      <c r="CZ65" s="213">
        <f>헤드셋!B62</f>
        <v>0</v>
      </c>
      <c r="DA65" s="213" t="str">
        <f>모니터!B62</f>
        <v>알파스캔 2400 ADS MHL 무결점</v>
      </c>
    </row>
    <row r="66" spans="92:105" x14ac:dyDescent="0.4">
      <c r="CN66" s="58"/>
      <c r="CQ66" s="213" t="str">
        <f>메인보드!B64</f>
        <v>&lt;H81&gt;</v>
      </c>
      <c r="CR66" s="213" t="str">
        <f>그래픽카드!B63</f>
        <v>ASUS ROG STRIX 라데온 RX 470 O4G GAMING 4GB</v>
      </c>
      <c r="CS66" s="213">
        <f>HDD!B63</f>
        <v>0</v>
      </c>
      <c r="CT66" s="213" t="str">
        <f>SSD!B63</f>
        <v>인텔 540s [480GB]</v>
      </c>
      <c r="CV66" s="213" t="str">
        <f>파워서플라이!B63</f>
        <v>마이크로닉스 Classic II 600W +12V Single Rail 85+</v>
      </c>
      <c r="CW66" s="213" t="str">
        <f>케이스!B63</f>
        <v>BRAVOTEC C2 Silver</v>
      </c>
      <c r="CX66" s="213" t="str">
        <f>키보드!B63</f>
        <v>Razer Blackwidow Chroma US</v>
      </c>
      <c r="CY66" s="213">
        <f>마우스!B63</f>
        <v>0</v>
      </c>
      <c r="CZ66" s="213">
        <f>헤드셋!B63</f>
        <v>0</v>
      </c>
      <c r="DA66" s="213" t="str">
        <f>모니터!B63</f>
        <v>알파스캔 24NB77PR IPS 시력보호 무결점</v>
      </c>
    </row>
    <row r="67" spans="92:105" x14ac:dyDescent="0.4">
      <c r="CN67" s="58"/>
      <c r="CQ67" s="213" t="str">
        <f>메인보드!B65</f>
        <v>ASRock H81M-VG4 R2.0</v>
      </c>
      <c r="CR67" s="213" t="str">
        <f>그래픽카드!B64</f>
        <v>GIGABYTE 라데온 RX 470 G1.Gaming D5 4GB</v>
      </c>
      <c r="CS67" s="213">
        <f>HDD!B64</f>
        <v>0</v>
      </c>
      <c r="CT67" s="213" t="str">
        <f>SSD!B64</f>
        <v>인텔 540s [1TB]</v>
      </c>
      <c r="CV67" s="213" t="str">
        <f>파워서플라이!B64</f>
        <v>마이크로닉스 ZERO POWER 600W</v>
      </c>
      <c r="CW67" s="213" t="str">
        <f>케이스!B64</f>
        <v>BRAVOTEC VR1 Silver 강화유리</v>
      </c>
      <c r="CX67" s="213" t="str">
        <f>키보드!B64</f>
        <v>Razer Blackwidow Expert 2013 US</v>
      </c>
      <c r="CY67" s="213">
        <f>마우스!B64</f>
        <v>0</v>
      </c>
      <c r="CZ67" s="213">
        <f>헤드셋!B64</f>
        <v>0</v>
      </c>
      <c r="DA67" s="213" t="str">
        <f>모니터!B64</f>
        <v>알파스캔 프레스티지 2415 LED 무결점</v>
      </c>
    </row>
    <row r="68" spans="92:105" x14ac:dyDescent="0.4">
      <c r="CN68" s="58"/>
      <c r="CQ68" s="213" t="str">
        <f>메인보드!B66</f>
        <v>ASRock H81M-DG4</v>
      </c>
      <c r="CR68" s="213" t="str">
        <f>그래픽카드!B65</f>
        <v>HIS 라데온 RX 470 IceQ X2 Turbo D5 4GB</v>
      </c>
      <c r="CS68" s="213">
        <f>HDD!B65</f>
        <v>0</v>
      </c>
      <c r="CT68" s="213" t="str">
        <f>SSD!B65</f>
        <v>인텔 535 Series [120GB]</v>
      </c>
      <c r="CV68" s="213" t="str">
        <f>파워서플라이!B65</f>
        <v>마이크로닉스 New Performance 600W 80Plus Bronze Change-up</v>
      </c>
      <c r="CW68" s="213" t="str">
        <f>케이스!B65</f>
        <v>BRAVOTEC UMX1 PLUS Silver 강화유리</v>
      </c>
      <c r="CX68" s="213" t="str">
        <f>키보드!B65</f>
        <v>Razer Blackwidow Tournament Chroma US</v>
      </c>
      <c r="CY68" s="213">
        <f>마우스!B65</f>
        <v>0</v>
      </c>
      <c r="CZ68" s="213">
        <f>헤드셋!B65</f>
        <v>0</v>
      </c>
      <c r="DA68" s="213" t="str">
        <f>모니터!B65</f>
        <v>알파스캔 AOC 2470 광시야각 플리커프리 무결점</v>
      </c>
    </row>
    <row r="69" spans="92:105" x14ac:dyDescent="0.4">
      <c r="CN69" s="58"/>
      <c r="CQ69" s="213" t="str">
        <f>메인보드!B67</f>
        <v>ASUS H81M-P</v>
      </c>
      <c r="CR69" s="213" t="str">
        <f>그래픽카드!B66</f>
        <v>MSI 라데온 RX 470 게이밍 X 4GB 트윈프로져6</v>
      </c>
      <c r="CS69" s="213">
        <f>HDD!B66</f>
        <v>0</v>
      </c>
      <c r="CT69" s="213" t="str">
        <f>SSD!B66</f>
        <v>인텔 535 Series [240GB]</v>
      </c>
      <c r="CV69" s="213" t="str">
        <f>파워서플라이!B66</f>
        <v>마이크로닉스 CASLON 600W After Cooling 87+ FDB</v>
      </c>
      <c r="CW69" s="213" t="str">
        <f>케이스!B66</f>
        <v>CORSAIR GRAPHITE 380T BLACK</v>
      </c>
      <c r="CX69" s="213" t="str">
        <f>키보드!B66</f>
        <v>Razer Blackwidow Ultimate 2016 KR</v>
      </c>
      <c r="CY69" s="213">
        <f>마우스!B66</f>
        <v>0</v>
      </c>
      <c r="CZ69" s="213">
        <f>헤드셋!B66</f>
        <v>0</v>
      </c>
      <c r="DA69" s="213" t="str">
        <f>모니터!B66</f>
        <v xml:space="preserve">알파스캔 프레스티지 N2413 ADS MHL 무결점 </v>
      </c>
    </row>
    <row r="70" spans="92:105" x14ac:dyDescent="0.4">
      <c r="CN70" s="58"/>
      <c r="CQ70" s="213" t="str">
        <f>메인보드!B68</f>
        <v>ASUS H81M-D PLUS</v>
      </c>
      <c r="CR70" s="213" t="str">
        <f>그래픽카드!B67</f>
        <v>MSI 라데온 RX 470 게이밍 X 8GB 트윈프로져6</v>
      </c>
      <c r="CS70" s="213">
        <f>HDD!B67</f>
        <v>0</v>
      </c>
      <c r="CT70" s="213" t="str">
        <f>SSD!B67</f>
        <v>인텔 535 Series [480GB]</v>
      </c>
      <c r="CV70" s="213" t="str">
        <f>파워서플라이!B67</f>
        <v>마이크로닉스 New Performance 600W 80Plus Bronze 프리볼트</v>
      </c>
      <c r="CW70" s="213" t="str">
        <f>케이스!B67</f>
        <v>리안리 PC-Q27B 블랙</v>
      </c>
      <c r="CX70" s="213" t="str">
        <f>키보드!B67</f>
        <v>Razer Blackwidow Ultimate Stealth 2016 US</v>
      </c>
      <c r="CY70" s="213">
        <f>마우스!B67</f>
        <v>0</v>
      </c>
      <c r="CZ70" s="213">
        <f>헤드셋!B67</f>
        <v>0</v>
      </c>
      <c r="DA70" s="213" t="str">
        <f>모니터!B67</f>
        <v>-</v>
      </c>
    </row>
    <row r="71" spans="92:105" x14ac:dyDescent="0.4">
      <c r="CN71" s="58"/>
      <c r="CQ71" s="213" t="str">
        <f>메인보드!B69</f>
        <v>ASUS H81I-PLUS</v>
      </c>
      <c r="CR71" s="213" t="str">
        <f>그래픽카드!B68</f>
        <v>SAPPHIRE 라데온 RX 470 OC D5 4GB</v>
      </c>
      <c r="CT71" s="213" t="str">
        <f>SSD!B68</f>
        <v>인텔 730 Series [240GB]</v>
      </c>
      <c r="CV71" s="213" t="str">
        <f>파워서플라이!B68</f>
        <v>마이크로닉스 ASTRO GD 650W 80PLUS GOLD</v>
      </c>
      <c r="CW71" s="213" t="str">
        <f>케이스!B68</f>
        <v>리안리 PC-Q33B 블랙</v>
      </c>
      <c r="CX71" s="213" t="str">
        <f>키보드!B68</f>
        <v>Razer Blackwidow X Chroma US</v>
      </c>
      <c r="CY71" s="213">
        <f>마우스!B68</f>
        <v>0</v>
      </c>
      <c r="CZ71" s="213">
        <f>헤드셋!B68</f>
        <v>0</v>
      </c>
      <c r="DA71" s="213" t="str">
        <f>모니터!B68</f>
        <v>&lt;25인치&gt;</v>
      </c>
    </row>
    <row r="72" spans="92:105" x14ac:dyDescent="0.4">
      <c r="CN72" s="58"/>
      <c r="CQ72" s="213" t="str">
        <f>메인보드!B70</f>
        <v>MSI H81M-P33</v>
      </c>
      <c r="CR72" s="213" t="str">
        <f>그래픽카드!B69</f>
        <v>SAPPHIRE 라데온 RX 470 OC D5 4GB Dual-X NITRO</v>
      </c>
      <c r="CT72" s="213" t="str">
        <f>SSD!B69</f>
        <v>인텔 730 Series [480GB]</v>
      </c>
      <c r="CV72" s="213" t="str">
        <f>파워서플라이!B69</f>
        <v>시소닉 HYDANCE HY-600CT Active PFC 80PLUS BRONZE</v>
      </c>
      <c r="CW72" s="213" t="str">
        <f>케이스!B69</f>
        <v>리안리 PC-Q19B 블랙</v>
      </c>
      <c r="CX72" s="213" t="str">
        <f>키보드!B69</f>
        <v>Razer Blackwidow X Tournament Chroma US</v>
      </c>
      <c r="CY72" s="213">
        <f>마우스!B69</f>
        <v>0</v>
      </c>
      <c r="CZ72" s="213">
        <f>헤드셋!B69</f>
        <v>0</v>
      </c>
      <c r="DA72" s="213" t="str">
        <f>모니터!B69</f>
        <v>DELL UltraSharp U2515H</v>
      </c>
    </row>
    <row r="73" spans="92:105" x14ac:dyDescent="0.4">
      <c r="CN73" s="58"/>
      <c r="CQ73" s="213" t="str">
        <f>메인보드!B71</f>
        <v>MSI H81M-E34</v>
      </c>
      <c r="CR73" s="213" t="str">
        <f>그래픽카드!B70</f>
        <v>XFX 라데온 RX 470 BLACK Wolf OC D5 4GB</v>
      </c>
      <c r="CT73" s="213" t="str">
        <f>SSD!B70</f>
        <v>삼성전자 850 PRO [128GB]</v>
      </c>
      <c r="CV73" s="213" t="str">
        <f>파워서플라이!B70</f>
        <v>시소닉 S12II-620 80PLUS 브론즈</v>
      </c>
      <c r="CW73" s="213" t="str">
        <f>케이스!B70</f>
        <v>리안리 PC-Q36WRX 블랙&amp;레드</v>
      </c>
      <c r="CX73" s="213" t="str">
        <f>키보드!B70</f>
        <v>ROCCAT RYOS MK</v>
      </c>
      <c r="CY73" s="213">
        <f>마우스!B70</f>
        <v>0</v>
      </c>
      <c r="CZ73" s="213">
        <f>헤드셋!B70</f>
        <v>0</v>
      </c>
      <c r="DA73" s="213" t="str">
        <f>모니터!B70</f>
        <v>DELL UltraSharp UP2516D</v>
      </c>
    </row>
    <row r="74" spans="92:105" x14ac:dyDescent="0.4">
      <c r="CN74" s="58"/>
      <c r="CQ74" s="213" t="str">
        <f>메인보드!B72</f>
        <v>-</v>
      </c>
      <c r="CR74" s="213" t="str">
        <f>그래픽카드!B71</f>
        <v>XFX 라데온 RX 470 BLACK Wolf Super OC D5 4GB</v>
      </c>
      <c r="CT74" s="213" t="str">
        <f>SSD!B71</f>
        <v>삼성전자 850 PRO [256GB]</v>
      </c>
      <c r="CV74" s="213" t="str">
        <f>파워서플라이!B71</f>
        <v>시소닉 M12II-620 EVO 80PLUS 브론즈</v>
      </c>
      <c r="CW74" s="213" t="str">
        <f>케이스!B71</f>
        <v>-</v>
      </c>
      <c r="CX74" s="213" t="str">
        <f>키보드!B71</f>
        <v>ROCCAT RYOS MK PRO</v>
      </c>
      <c r="CY74" s="213">
        <f>마우스!B71</f>
        <v>0</v>
      </c>
      <c r="CZ74" s="213">
        <f>헤드셋!B71</f>
        <v>0</v>
      </c>
      <c r="DA74" s="213" t="str">
        <f>모니터!B71</f>
        <v>알파스캔 AOC 2579 IPS MHL 16:9 무결점</v>
      </c>
    </row>
    <row r="75" spans="92:105" x14ac:dyDescent="0.4">
      <c r="CN75" s="58"/>
      <c r="CQ75" s="213" t="str">
        <f>메인보드!B73</f>
        <v>&lt;B85&gt;</v>
      </c>
      <c r="CR75" s="213" t="str">
        <f>그래픽카드!B72</f>
        <v>-</v>
      </c>
      <c r="CT75" s="213" t="str">
        <f>SSD!B72</f>
        <v>삼성전자 850 PRO [512GB]</v>
      </c>
      <c r="CV75" s="213" t="str">
        <f>파워서플라이!B72</f>
        <v>시소닉 X-650 80PLUS GOLD (3세대)</v>
      </c>
      <c r="CW75" s="213" t="str">
        <f>케이스!B72</f>
        <v>&lt;미니타워(LP)&gt;</v>
      </c>
      <c r="CX75" s="213" t="str">
        <f>키보드!B72</f>
        <v>덱키보드 CBL-108 덱헤슘 기계식 키보드</v>
      </c>
      <c r="CY75" s="213">
        <f>마우스!B72</f>
        <v>0</v>
      </c>
      <c r="CZ75" s="213">
        <f>헤드셋!B72</f>
        <v>0</v>
      </c>
      <c r="DA75" s="213" t="str">
        <f>모니터!B72</f>
        <v>-</v>
      </c>
    </row>
    <row r="76" spans="92:105" x14ac:dyDescent="0.4">
      <c r="CN76" s="58"/>
      <c r="CQ76" s="213" t="str">
        <f>메인보드!B74</f>
        <v>ASRock B85M-DGS</v>
      </c>
      <c r="CR76" s="213" t="str">
        <f>그래픽카드!B73</f>
        <v>&lt;퍼포먼스&gt;</v>
      </c>
      <c r="CT76" s="213" t="str">
        <f>SSD!B73</f>
        <v>삼성전자 850 PRO [1TB]</v>
      </c>
      <c r="CV76" s="213" t="str">
        <f>파워서플라이!B73</f>
        <v>시소닉 P-660 80PLUS PLATINUM (2세대)</v>
      </c>
      <c r="CW76" s="213" t="str">
        <f>케이스!B73</f>
        <v>3RSYS V300</v>
      </c>
      <c r="CX76" s="213" t="str">
        <f>키보드!B73</f>
        <v>덱키보드 CBL-108N 덱헤슘 라이트 기계식 키보드</v>
      </c>
      <c r="CY76" s="213">
        <f>마우스!B73</f>
        <v>0</v>
      </c>
      <c r="CZ76" s="213">
        <f>헤드셋!B73</f>
        <v>0</v>
      </c>
      <c r="DA76" s="213" t="str">
        <f>모니터!B73</f>
        <v>&lt;27인치&gt;</v>
      </c>
    </row>
    <row r="77" spans="92:105" x14ac:dyDescent="0.4">
      <c r="CN77" s="58"/>
      <c r="CQ77" s="213" t="str">
        <f>메인보드!B75</f>
        <v>ASRock B85M-HDS</v>
      </c>
      <c r="CR77" s="213" t="str">
        <f>그래픽카드!B74</f>
        <v>ASUS 지포스 GTX970 DC Mini OC D5 4GB</v>
      </c>
      <c r="CT77" s="213" t="str">
        <f>SSD!B74</f>
        <v>삼성전자 850 PRO [2TB]</v>
      </c>
      <c r="CV77" s="213" t="str">
        <f>파워서플라이!B74</f>
        <v>-</v>
      </c>
      <c r="CW77" s="213" t="str">
        <f>케이스!B74</f>
        <v>-</v>
      </c>
      <c r="CX77" s="213" t="str">
        <f>키보드!B74</f>
        <v>덱키보드 CBL-108P 덱헤슘 프로 기계식 키보드</v>
      </c>
      <c r="CY77" s="213">
        <f>마우스!B74</f>
        <v>0</v>
      </c>
      <c r="CZ77" s="213">
        <f>헤드셋!B74</f>
        <v>0</v>
      </c>
      <c r="DA77" s="213" t="str">
        <f>모니터!B74</f>
        <v>BenQ EW2750ZL 아이케어 무결점</v>
      </c>
    </row>
    <row r="78" spans="92:105" x14ac:dyDescent="0.4">
      <c r="CN78" s="58"/>
      <c r="CQ78" s="213" t="str">
        <f>메인보드!B76</f>
        <v>ASRock B85M PRO4</v>
      </c>
      <c r="CR78" s="213" t="str">
        <f>그래픽카드!B75</f>
        <v>ASUS STRIX 지포스 GTX970 DC2 OC D5 4GB</v>
      </c>
      <c r="CT78" s="213" t="str">
        <f>SSD!B75</f>
        <v>삼성전자 750 EVO [120GB]</v>
      </c>
      <c r="CV78" s="213" t="str">
        <f>파워서플라이!B75</f>
        <v>&lt;700~799W&gt;</v>
      </c>
      <c r="CW78" s="213" t="str">
        <f>케이스!B75</f>
        <v>&lt;미니타워&gt;</v>
      </c>
      <c r="CX78" s="213" t="str">
        <f>키보드!B75</f>
        <v>덱키보드 CBL-87 덱프랑슘 기계식 키보드</v>
      </c>
      <c r="CY78" s="213">
        <f>마우스!B75</f>
        <v>0</v>
      </c>
      <c r="CZ78" s="213">
        <f>헤드셋!B75</f>
        <v>0</v>
      </c>
      <c r="DA78" s="213" t="str">
        <f>모니터!B75</f>
        <v xml:space="preserve">BenQ GW2760HS 아이케어 무결점 </v>
      </c>
    </row>
    <row r="79" spans="92:105" x14ac:dyDescent="0.4">
      <c r="CN79" s="58"/>
      <c r="CQ79" s="213" t="str">
        <f>메인보드!B77</f>
        <v>ASUS B85M-G</v>
      </c>
      <c r="CR79" s="213" t="str">
        <f>그래픽카드!B76</f>
        <v>GIGABYTE 지포스 GTX970 Xtreme D5 4GB</v>
      </c>
      <c r="CT79" s="213" t="str">
        <f>SSD!B76</f>
        <v>삼성전자 750 EVO [250GB]</v>
      </c>
      <c r="CV79" s="213" t="str">
        <f>파워서플라이!B76</f>
        <v>Antec TP-750C 80PLUS GOLD</v>
      </c>
      <c r="CW79" s="213" t="str">
        <f>케이스!B76</f>
        <v>3RSYS R-BOX 400</v>
      </c>
      <c r="CX79" s="213" t="str">
        <f>키보드!B76</f>
        <v>덱키보드 CBL-87N 덱프랑슘 라이트 기계식 키보드</v>
      </c>
      <c r="CY79" s="213">
        <f>마우스!B76</f>
        <v>0</v>
      </c>
      <c r="CZ79" s="213">
        <f>헤드셋!B76</f>
        <v>0</v>
      </c>
      <c r="DA79" s="213" t="str">
        <f>모니터!B76</f>
        <v xml:space="preserve">BenQ GW2765HT 아이케어 무결점 </v>
      </c>
    </row>
    <row r="80" spans="92:105" x14ac:dyDescent="0.4">
      <c r="CN80" s="58"/>
      <c r="CQ80" s="213" t="str">
        <f>메인보드!B78</f>
        <v>ASUS B85-PLUS</v>
      </c>
      <c r="CR80" s="213" t="str">
        <f>그래픽카드!B77</f>
        <v>inno3D 지포스 GTX970 OC D5 4GB</v>
      </c>
      <c r="CT80" s="213" t="str">
        <f>SSD!B77</f>
        <v>삼성전자 750 EVO [500GB]</v>
      </c>
      <c r="CV80" s="213" t="str">
        <f>파워서플라이!B77</f>
        <v>Antec EDGE750 GOLD LED 풀모듈러</v>
      </c>
      <c r="CW80" s="213" t="str">
        <f>케이스!B77</f>
        <v>3RSYS E340</v>
      </c>
      <c r="CX80" s="213" t="str">
        <f>키보드!B77</f>
        <v>덱키보드 CBL-87P 덱프랑슘 프로 기계식 키보드</v>
      </c>
      <c r="CY80" s="213">
        <f>마우스!B77</f>
        <v>0</v>
      </c>
      <c r="CZ80" s="213">
        <f>헤드셋!B77</f>
        <v>0</v>
      </c>
      <c r="DA80" s="213" t="str">
        <f>모니터!B77</f>
        <v>BenQ EW2775ZH 아이케어 무결점</v>
      </c>
    </row>
    <row r="81" spans="92:105" x14ac:dyDescent="0.4">
      <c r="CN81" s="58"/>
      <c r="CQ81" s="213" t="str">
        <f>메인보드!B79</f>
        <v>MSI B85M-E45</v>
      </c>
      <c r="CR81" s="213" t="str">
        <f>그래픽카드!B78</f>
        <v>갤럭시 GALAX 지포스 GTX970 GAMER OC D5 4GB BLACK LABEL</v>
      </c>
      <c r="CT81" s="213" t="str">
        <f>SSD!B78</f>
        <v>삼성전자 850 EVO Series [128GB]</v>
      </c>
      <c r="CV81" s="213" t="str">
        <f>파워서플라이!B78</f>
        <v>Enermax MAXPRO EMP700AGT</v>
      </c>
      <c r="CW81" s="213" t="str">
        <f>케이스!B78</f>
        <v>3RSYS R380</v>
      </c>
      <c r="CX81" s="213" t="str">
        <f>키보드!B78</f>
        <v>레오폴드 FC900R LED</v>
      </c>
      <c r="CY81" s="213">
        <f>마우스!B78</f>
        <v>0</v>
      </c>
      <c r="CZ81" s="213">
        <f>헤드셋!B78</f>
        <v>0</v>
      </c>
      <c r="DA81" s="213" t="str">
        <f>모니터!B78</f>
        <v xml:space="preserve">BenQ XL2720Z 아이케어 무결점 </v>
      </c>
    </row>
    <row r="82" spans="92:105" x14ac:dyDescent="0.4">
      <c r="CN82" s="58"/>
      <c r="CQ82" s="213" t="str">
        <f>메인보드!B80</f>
        <v>GIGABYTE GA-B85M-DS3H-A</v>
      </c>
      <c r="CR82" s="213" t="str">
        <f>그래픽카드!B79</f>
        <v>갤럭시 GALAX 지포스 GTX970 EX OC D5 4GB BLACK LABEL</v>
      </c>
      <c r="CT82" s="213" t="str">
        <f>SSD!B79</f>
        <v>삼성전자 850 EVO Series [250GB]</v>
      </c>
      <c r="CV82" s="213" t="str">
        <f>파워서플라이!B79</f>
        <v>Enermax TRIATHLOR FC ETA700AWT-M</v>
      </c>
      <c r="CW82" s="213" t="str">
        <f>케이스!B79</f>
        <v>3RSYS R-BOX 300 USB3.0</v>
      </c>
      <c r="CX82" s="213" t="str">
        <f>키보드!B79</f>
        <v>스카이디지탈 NKEYBOARD NKEY-C1 LED</v>
      </c>
      <c r="CY82" s="213">
        <f>마우스!B79</f>
        <v>0</v>
      </c>
      <c r="CZ82" s="213">
        <f>헤드셋!B79</f>
        <v>0</v>
      </c>
      <c r="DA82" s="213" t="str">
        <f>모니터!B79</f>
        <v xml:space="preserve">BenQ XL2730Z 아이케어 무결점 </v>
      </c>
    </row>
    <row r="83" spans="92:105" x14ac:dyDescent="0.4">
      <c r="CN83" s="58"/>
      <c r="CQ83" s="213" t="str">
        <f>메인보드!B81</f>
        <v xml:space="preserve">GIGABYTE GA-B85-HD3-A </v>
      </c>
      <c r="CR83" s="213" t="str">
        <f>그래픽카드!B80</f>
        <v>갤럭시 GALAX 지포스 GTX970 EXOC D5 4GB BLACK LABEL Face Lift</v>
      </c>
      <c r="CT83" s="213" t="str">
        <f>SSD!B80</f>
        <v>삼성전자 850 EVO Series [500GB]</v>
      </c>
      <c r="CV83" s="213" t="str">
        <f>파워서플라이!B80</f>
        <v>FSP HYPER 700W</v>
      </c>
      <c r="CW83" s="213" t="str">
        <f>케이스!B80</f>
        <v>3RSYS E310 USB3.0 블랙</v>
      </c>
      <c r="CX83" s="213" t="str">
        <f>키보드!B80</f>
        <v>스카이디지탈 NKEYBOARD NKEY-F1 LED 게이밍키보드</v>
      </c>
      <c r="CY83" s="213">
        <f>마우스!B80</f>
        <v>0</v>
      </c>
      <c r="CZ83" s="213">
        <f>헤드셋!B80</f>
        <v>0</v>
      </c>
      <c r="DA83" s="213" t="str">
        <f>모니터!B80</f>
        <v>DELL S2715H</v>
      </c>
    </row>
    <row r="84" spans="92:105" x14ac:dyDescent="0.4">
      <c r="CN84" s="58"/>
      <c r="CQ84" s="213" t="str">
        <f>메인보드!B82</f>
        <v>-</v>
      </c>
      <c r="CR84" s="213" t="str">
        <f>그래픽카드!B81</f>
        <v>갤럭시 GALAX 지포스 GTX970 Hall Of Fame D5 4GB</v>
      </c>
      <c r="CT84" s="213" t="str">
        <f>SSD!B81</f>
        <v>삼성전자 850 EVO Series [1TB]</v>
      </c>
      <c r="CV84" s="213" t="str">
        <f>파워서플라이!B81</f>
        <v>FSP HYPER M 700W Modular 85+</v>
      </c>
      <c r="CW84" s="213" t="str">
        <f>케이스!B81</f>
        <v>3RSYS L400</v>
      </c>
      <c r="CX84" s="213" t="str">
        <f>키보드!B81</f>
        <v>스카이디지탈 NKEYBOARD NKEY-K1 RGB 게이밍키보드</v>
      </c>
      <c r="CY84" s="213">
        <f>마우스!B81</f>
        <v>0</v>
      </c>
      <c r="CZ84" s="213">
        <f>헤드셋!B81</f>
        <v>0</v>
      </c>
      <c r="DA84" s="213" t="str">
        <f>모니터!B81</f>
        <v>DELL UltraSharp U2715H</v>
      </c>
    </row>
    <row r="85" spans="92:105" x14ac:dyDescent="0.4">
      <c r="CN85" s="58"/>
      <c r="CQ85" s="213" t="str">
        <f>메인보드!B83</f>
        <v>&lt;H97&gt;</v>
      </c>
      <c r="CR85" s="213" t="str">
        <f>그래픽카드!B82</f>
        <v>이엠텍 HV 지포스 GTX970 D5 4GB GAMESOUL</v>
      </c>
      <c r="CT85" s="213" t="str">
        <f>SSD!B82</f>
        <v>삼성전자 850 EVO Series [2TB]</v>
      </c>
      <c r="CV85" s="213" t="str">
        <f>파워서플라이!B82</f>
        <v>FSP FSP700-50HPN 85+</v>
      </c>
      <c r="CW85" s="213" t="str">
        <f>케이스!B82</f>
        <v>3RSYS TRUE200 USB3.0 Black</v>
      </c>
      <c r="CX85" s="213" t="str">
        <f>키보드!B82</f>
        <v>스카이디지탈 NKEYBOARD NKEY-K2 LED</v>
      </c>
      <c r="CY85" s="213">
        <f>마우스!B82</f>
        <v>0</v>
      </c>
      <c r="CZ85" s="213">
        <f>헤드셋!B82</f>
        <v>0</v>
      </c>
      <c r="DA85" s="213" t="str">
        <f>모니터!B82</f>
        <v>DELL UltraSharp UP2715K</v>
      </c>
    </row>
    <row r="86" spans="92:105" x14ac:dyDescent="0.4">
      <c r="CN86" s="58"/>
      <c r="CQ86" s="213" t="str">
        <f>메인보드!B84</f>
        <v>ASRock H97 Performance</v>
      </c>
      <c r="CR86" s="213" t="str">
        <f>그래픽카드!B83</f>
        <v>-</v>
      </c>
      <c r="CT86" s="213" t="str">
        <f>SSD!B83</f>
        <v>-</v>
      </c>
      <c r="CV86" s="213" t="str">
        <f>파워서플라이!B83</f>
        <v>FSP Hydro G 750W</v>
      </c>
      <c r="CW86" s="213" t="str">
        <f>케이스!B83</f>
        <v>3RSYS TRUE250 USB3.0 Black</v>
      </c>
      <c r="CX86" s="213" t="str">
        <f>키보드!B83</f>
        <v>스카이디지탈 NKEYBOARD NKEY-K2 레인보우LED 기계식 게이밍 키보드</v>
      </c>
      <c r="CY86" s="213"/>
      <c r="CZ86" s="213">
        <f>헤드셋!B83</f>
        <v>0</v>
      </c>
      <c r="DA86" s="213" t="str">
        <f>모니터!B83</f>
        <v>DELL UP2716D</v>
      </c>
    </row>
    <row r="87" spans="92:105" x14ac:dyDescent="0.4">
      <c r="CN87" s="58"/>
      <c r="CQ87" s="213" t="str">
        <f>메인보드!B85</f>
        <v>MSI H97M-G43</v>
      </c>
      <c r="CR87" s="213" t="str">
        <f>그래픽카드!B84</f>
        <v>ASUS DUAL 지포스 GTX1060 O3G D5 3GB</v>
      </c>
      <c r="CT87" s="213" t="str">
        <f>SSD!B84</f>
        <v>&lt;PCI-e(NVMe)&gt;</v>
      </c>
      <c r="CV87" s="213" t="str">
        <f>파워서플라이!B84</f>
        <v>SuperFlower SF-700R12A NOVA</v>
      </c>
      <c r="CW87" s="213" t="str">
        <f>케이스!B84</f>
        <v>ABKO NCORE 알리</v>
      </c>
      <c r="CX87" s="213" t="str">
        <f>키보드!B84</f>
        <v>스카이디지탈 NKEYBOARD NKEY-K5 RGB</v>
      </c>
      <c r="CY87" s="213"/>
      <c r="CZ87" s="213">
        <f>헤드셋!B84</f>
        <v>0</v>
      </c>
      <c r="DA87" s="213" t="str">
        <f>모니터!B84</f>
        <v>DELL SE2716H</v>
      </c>
    </row>
    <row r="88" spans="92:105" x14ac:dyDescent="0.4">
      <c r="CN88" s="58"/>
      <c r="CQ88" s="213" t="str">
        <f>메인보드!B86</f>
        <v>-</v>
      </c>
      <c r="CR88" s="213" t="str">
        <f>그래픽카드!B85</f>
        <v>Colorful 지포스 GTX1060 iCafe D5 3GB</v>
      </c>
      <c r="CT88" s="213" t="str">
        <f>SSD!B85</f>
        <v>ZOTAC SONIX PCIe [480GB]</v>
      </c>
      <c r="CV88" s="213" t="str">
        <f>파워서플라이!B85</f>
        <v>SuperFlower SF-750F14MG LEADEX GOLD</v>
      </c>
      <c r="CW88" s="213" t="str">
        <f>케이스!B85</f>
        <v>ABKO NCORE 알리 USB3.0</v>
      </c>
      <c r="CX88" s="213" t="str">
        <f>키보드!B85</f>
        <v>스카이디지탈 NKEYBOARD NKEY-R3 RGB</v>
      </c>
      <c r="CY88" s="213"/>
      <c r="CZ88" s="213">
        <f>헤드셋!B85</f>
        <v>0</v>
      </c>
      <c r="DA88" s="213" t="str">
        <f>모니터!B85</f>
        <v>LG전자 27MP47HQ</v>
      </c>
    </row>
    <row r="89" spans="92:105" x14ac:dyDescent="0.4">
      <c r="CN89" s="58"/>
      <c r="CQ89" s="213" t="str">
        <f>메인보드!B87</f>
        <v>&lt;Z97&gt;</v>
      </c>
      <c r="CR89" s="213" t="str">
        <f>그래픽카드!B86</f>
        <v>Colorful 지포스 GTX1060 REVENGE D5 3GB</v>
      </c>
      <c r="CT89" s="213" t="str">
        <f>SSD!B86</f>
        <v>인텔 750 Series [400GB]</v>
      </c>
      <c r="CV89" s="213" t="str">
        <f>파워서플라이!B86</f>
        <v>SuperFlower SF-750F14MG II LEADEX GOLD </v>
      </c>
      <c r="CW89" s="213" t="str">
        <f>케이스!B86</f>
        <v>ABKO NCORE NBOX S1</v>
      </c>
      <c r="CX89" s="213" t="str">
        <f>키보드!B86</f>
        <v>스카이디지탈 NKEYBOARD NKEY-R3 레인보우LED 기계식 게이밍 키보드</v>
      </c>
      <c r="CY89" s="213"/>
      <c r="CZ89" s="213">
        <f>헤드셋!B86</f>
        <v>0</v>
      </c>
      <c r="DA89" s="213" t="str">
        <f>모니터!B86</f>
        <v>LG전자 27MT58DF</v>
      </c>
    </row>
    <row r="90" spans="92:105" x14ac:dyDescent="0.4">
      <c r="CN90" s="58"/>
      <c r="CQ90" s="213" t="str">
        <f>메인보드!B88</f>
        <v>ASUS Z97-A</v>
      </c>
      <c r="CR90" s="213" t="str">
        <f>그래픽카드!B87</f>
        <v>Colorful 지포스 GTX1060 iGame U-TOP D5 3GB OC</v>
      </c>
      <c r="CT90" s="213" t="str">
        <f>SSD!B87</f>
        <v>인텔 750 Series [800GB]</v>
      </c>
      <c r="CV90" s="213" t="str">
        <f>파워서플라이!B87</f>
        <v>XFX TS 750W GOLD</v>
      </c>
      <c r="CW90" s="213" t="str">
        <f>케이스!B87</f>
        <v>ABKO NCORE NBOX 탱고 USB3.0</v>
      </c>
      <c r="CX90" s="213" t="str">
        <f>키보드!B87</f>
        <v>스카이디지탈 NKEYBOARD NKEY-T1 더블샷 레인보우 LED</v>
      </c>
      <c r="CY90" s="213"/>
      <c r="CZ90" s="213">
        <f>헤드셋!B87</f>
        <v>0</v>
      </c>
      <c r="DA90" s="213" t="str">
        <f>모니터!B87</f>
        <v xml:space="preserve">LG전자 27MP77SM </v>
      </c>
    </row>
    <row r="91" spans="92:105" x14ac:dyDescent="0.4">
      <c r="CN91" s="58"/>
      <c r="CQ91" s="213" t="str">
        <f>메인보드!B89</f>
        <v>GA-Z97X-UD3H 듀러블 에디션</v>
      </c>
      <c r="CR91" s="213" t="str">
        <f>그래픽카드!B88</f>
        <v>GIGABYTE 지포스 GTX1060 UDV D5 3GB 미니미</v>
      </c>
      <c r="CT91" s="213" t="str">
        <f>SSD!B88</f>
        <v>인텔 750 Series [1.2TB]</v>
      </c>
      <c r="CV91" s="213" t="str">
        <f>파워서플라이!B88</f>
        <v>XFX XTR 750W GOLD</v>
      </c>
      <c r="CW91" s="213" t="str">
        <f>케이스!B88</f>
        <v>ABKO NCORE 폴로 USB3.0</v>
      </c>
      <c r="CX91" s="213" t="str">
        <f>키보드!B88</f>
        <v>스카이디지탈 NKEYBOARD 메카닉 LED</v>
      </c>
      <c r="CY91" s="213"/>
      <c r="CZ91" s="213">
        <f>헤드셋!B88</f>
        <v>0</v>
      </c>
      <c r="DA91" s="213" t="str">
        <f>모니터!B88</f>
        <v>LG전자 27MT57D</v>
      </c>
    </row>
    <row r="92" spans="92:105" x14ac:dyDescent="0.4">
      <c r="CN92" s="58"/>
      <c r="CQ92" s="213" t="str">
        <f>메인보드!B90</f>
        <v>GIGABYTE GA-Z97X-SOC Force OC에디션</v>
      </c>
      <c r="CR92" s="213" t="str">
        <f>그래픽카드!B89</f>
        <v>GIGABYTE 지포스 GTX1060 UDV D5 3GB 윈드포스</v>
      </c>
      <c r="CT92" s="213">
        <f>SSD!B89</f>
        <v>0</v>
      </c>
      <c r="CV92" s="213" t="str">
        <f>파워서플라이!B89</f>
        <v>마이크로닉스 Classic II 700W +12V Single Rail 85+</v>
      </c>
      <c r="CW92" s="213" t="str">
        <f>케이스!B89</f>
        <v>ABKO NCORE 프리미어 USB3.0</v>
      </c>
      <c r="CX92" s="213" t="str">
        <f>키보드!B89</f>
        <v>제닉스 SCORPIUS M10TSFL</v>
      </c>
      <c r="CY92" s="213"/>
      <c r="CZ92" s="213">
        <f>헤드셋!B89</f>
        <v>0</v>
      </c>
      <c r="DA92" s="213" t="str">
        <f>모니터!B89</f>
        <v xml:space="preserve">LG전자 27MT77W </v>
      </c>
    </row>
    <row r="93" spans="92:105" x14ac:dyDescent="0.4">
      <c r="CN93" s="58"/>
      <c r="CQ93" s="213" t="str">
        <f>메인보드!B91</f>
        <v>-</v>
      </c>
      <c r="CR93" s="213" t="str">
        <f>그래픽카드!B90</f>
        <v>GIGABYTE 지포스 GTX1060 G1.Gaming D5 3GB</v>
      </c>
      <c r="CT93" s="213">
        <f>SSD!B90</f>
        <v>0</v>
      </c>
      <c r="CV93" s="213" t="str">
        <f>파워서플라이!B90</f>
        <v>마이크로닉스 New Performance 700W 80Plus Bronze Change-up</v>
      </c>
      <c r="CW93" s="213" t="str">
        <f>케이스!B90</f>
        <v>ABKO NCORE 간츠 USB3.0</v>
      </c>
      <c r="CX93" s="213" t="str">
        <f>키보드!B90</f>
        <v>제닉스 STORMX K6</v>
      </c>
      <c r="CY93" s="213"/>
      <c r="CZ93" s="213">
        <f>헤드셋!B90</f>
        <v>0</v>
      </c>
      <c r="DA93" s="213" t="str">
        <f>모니터!B90</f>
        <v>LG전자 27UD88</v>
      </c>
    </row>
    <row r="94" spans="92:105" x14ac:dyDescent="0.4">
      <c r="CN94" s="58"/>
      <c r="CQ94" s="213" t="str">
        <f>메인보드!B92</f>
        <v>&lt;X99&gt;</v>
      </c>
      <c r="CR94" s="213" t="str">
        <f>그래픽카드!B91</f>
        <v>MSI 지포스 GTX1060 게이밍 X D5 3GB 트윈프로져6</v>
      </c>
      <c r="CT94" s="213">
        <f>SSD!B91</f>
        <v>0</v>
      </c>
      <c r="CV94" s="213" t="str">
        <f>파워서플라이!B91</f>
        <v>마이크로닉스 CASLON 700W After Cooling 87+ FDB</v>
      </c>
      <c r="CW94" s="213" t="str">
        <f>케이스!B91</f>
        <v>ABKO NCORE 골리앗 USB3.0</v>
      </c>
      <c r="CX94" s="213" t="str">
        <f>키보드!B91</f>
        <v>제닉스 STORMX K7</v>
      </c>
      <c r="CY94" s="213"/>
      <c r="CZ94" s="213">
        <f>헤드셋!B91</f>
        <v>0</v>
      </c>
      <c r="DA94" s="213" t="str">
        <f>모니터!B91</f>
        <v>LG전자 27UD68P</v>
      </c>
    </row>
    <row r="95" spans="92:105" x14ac:dyDescent="0.4">
      <c r="CN95" s="58"/>
      <c r="CQ95" s="213" t="str">
        <f>메인보드!B93</f>
        <v>ASRock X99 Taichi</v>
      </c>
      <c r="CR95" s="213" t="str">
        <f>그래픽카드!B92</f>
        <v>ZOTAC 지포스 GTX1060 MINi D5 3GB</v>
      </c>
      <c r="CT95" s="213">
        <f>SSD!B92</f>
        <v>0</v>
      </c>
      <c r="CV95" s="213" t="str">
        <f>파워서플라이!B92</f>
        <v>마이크로닉스 New Performance 700W 80Plus Bronze 프리볼트</v>
      </c>
      <c r="CW95" s="213" t="str">
        <f>케이스!B92</f>
        <v>ABKO NCORE SC260 자네트 3.0 블랙</v>
      </c>
      <c r="CX95" s="213" t="str">
        <f>키보드!B92</f>
        <v>제닉스 STORMX TITAN MARK V 기계식키보드</v>
      </c>
      <c r="CY95" s="213"/>
      <c r="CZ95" s="213">
        <f>헤드셋!B92</f>
        <v>0</v>
      </c>
      <c r="DA95" s="213" t="str">
        <f>모니터!B92</f>
        <v>LG전자 27MP38VQ</v>
      </c>
    </row>
    <row r="96" spans="92:105" x14ac:dyDescent="0.4">
      <c r="CN96" s="58"/>
      <c r="CQ96" s="213" t="str">
        <f>메인보드!B94</f>
        <v>ASRock X99 Gaming i7</v>
      </c>
      <c r="CR96" s="213" t="str">
        <f>그래픽카드!B93</f>
        <v>갤럭시 GALAX 지포스 GTX1060 OC D5 3GB</v>
      </c>
      <c r="CT96" s="213">
        <f>SSD!B93</f>
        <v>0</v>
      </c>
      <c r="CV96" s="213" t="str">
        <f>파워서플라이!B93</f>
        <v>마이크로닉스 ASTRO GD 750W 80PLUS GOLD</v>
      </c>
      <c r="CW96" s="213" t="str">
        <f>케이스!B93</f>
        <v>ABKO NCORE 마운틴 AM100 USB3.0 강화유리</v>
      </c>
      <c r="CX96" s="213" t="str">
        <f>키보드!B93</f>
        <v>제닉스 STORMX TITAN MARK VI 기계식키보드</v>
      </c>
      <c r="CY96" s="213"/>
      <c r="CZ96" s="213">
        <f>헤드셋!B93</f>
        <v>0</v>
      </c>
      <c r="DA96" s="213" t="str">
        <f>모니터!B93</f>
        <v xml:space="preserve">LG전자 27MP37VQ </v>
      </c>
    </row>
    <row r="97" spans="92:105" x14ac:dyDescent="0.4">
      <c r="CN97" s="58"/>
      <c r="CQ97" s="213" t="str">
        <f>메인보드!B95</f>
        <v>ASUS X99-A II</v>
      </c>
      <c r="CR97" s="213" t="str">
        <f>그래픽카드!B94</f>
        <v>갤럭시 GALAX 지포스 GTX1060 EXOC D5 3GB G天命</v>
      </c>
      <c r="CT97" s="213">
        <f>SSD!B94</f>
        <v>0</v>
      </c>
      <c r="CV97" s="213" t="str">
        <f>파워서플라이!B94</f>
        <v>시소닉 X-750 80PLUS GOLD (3세대)</v>
      </c>
      <c r="CW97" s="213" t="str">
        <f>케이스!B94</f>
        <v>BRAVOTEC 디파이 B40 BLACK</v>
      </c>
      <c r="CX97" s="213" t="str">
        <f>키보드!B94</f>
        <v>제닉스 STORMX TITAN MARK VII</v>
      </c>
      <c r="CY97" s="213"/>
      <c r="CZ97" s="213">
        <f>헤드셋!B94</f>
        <v>0</v>
      </c>
      <c r="DA97" s="213" t="str">
        <f>모니터!B94</f>
        <v>LG전자 27MB85R </v>
      </c>
    </row>
    <row r="98" spans="92:105" x14ac:dyDescent="0.4">
      <c r="CN98" s="58"/>
      <c r="CQ98" s="213" t="str">
        <f>메인보드!B96</f>
        <v>ASUS X99-DELUXE II</v>
      </c>
      <c r="CR98" s="213" t="str">
        <f>그래픽카드!B95</f>
        <v>갤럭시 GALAX 지포스 GTX1060 EXOC 개간지 D5 3GB</v>
      </c>
      <c r="CT98" s="213">
        <f>SSD!B95</f>
        <v>0</v>
      </c>
      <c r="CV98" s="213" t="str">
        <f>파워서플라이!B95</f>
        <v>-</v>
      </c>
      <c r="CW98" s="213" t="str">
        <f>케이스!B95</f>
        <v>BRAVOTEC 디파이 B45 블랙 화이트</v>
      </c>
      <c r="CX98" s="213" t="str">
        <f>키보드!B95</f>
        <v>제닉스 STORMX TITAN MARK X</v>
      </c>
      <c r="CY98" s="213"/>
      <c r="CZ98" s="213">
        <f>헤드셋!B95</f>
        <v>0</v>
      </c>
      <c r="DA98" s="213" t="str">
        <f>모니터!B95</f>
        <v xml:space="preserve">LG전자 27MP65HQ </v>
      </c>
    </row>
    <row r="99" spans="92:105" x14ac:dyDescent="0.4">
      <c r="CN99" s="58"/>
      <c r="CQ99" s="213" t="str">
        <f>메인보드!B97</f>
        <v>ASUS RAMPAGE V EDITION 10</v>
      </c>
      <c r="CR99" s="213" t="str">
        <f>그래픽카드!B96</f>
        <v>이엠텍 XENON 지포스 GTX1060 STORM X Dual D5 3GB</v>
      </c>
      <c r="CT99" s="213">
        <f>SSD!B96</f>
        <v>0</v>
      </c>
      <c r="CV99" s="213" t="str">
        <f>파워서플라이!B96</f>
        <v>&lt;800~899W&gt;</v>
      </c>
      <c r="CW99" s="213" t="str">
        <f>케이스!B96</f>
        <v>BRAVOTEC 디파이 R50 Black</v>
      </c>
      <c r="CX99" s="213" t="str">
        <f>키보드!B96</f>
        <v>제닉스 TESORO DURANDAL ULTIMATE SE</v>
      </c>
      <c r="CY99" s="213"/>
      <c r="CZ99" s="213">
        <f>헤드셋!B96</f>
        <v>0</v>
      </c>
      <c r="DA99" s="213" t="str">
        <f>모니터!B96</f>
        <v xml:space="preserve">LG전자 27MB85Z </v>
      </c>
    </row>
    <row r="100" spans="92:105" x14ac:dyDescent="0.4">
      <c r="CN100" s="58"/>
      <c r="CQ100" s="213" t="str">
        <f>메인보드!B98</f>
        <v xml:space="preserve">MSI X99A SLI KRAIT EDITION </v>
      </c>
      <c r="CR100" s="213" t="str">
        <f>그래픽카드!B97</f>
        <v>이엠텍 HV 지포스 GTX1060 OC D5 3GB</v>
      </c>
      <c r="CT100" s="213">
        <f>SSD!B97</f>
        <v>0</v>
      </c>
      <c r="CV100" s="213" t="str">
        <f>파워서플라이!B97</f>
        <v>Antec HCG-850M LED 모듈러 80PLUS 브론즈</v>
      </c>
      <c r="CW100" s="213" t="str">
        <f>케이스!B97</f>
        <v>BRAVOTEC RM3 Black 강화유리</v>
      </c>
      <c r="CX100" s="213" t="str">
        <f>키보드!B97</f>
        <v>제닉스 TESORO EXCALIBUR V2</v>
      </c>
      <c r="CY100" s="213"/>
      <c r="CZ100" s="213">
        <f>헤드셋!B97</f>
        <v>0</v>
      </c>
      <c r="DA100" s="213" t="str">
        <f>모니터!B97</f>
        <v>삼성전자 C27F390F</v>
      </c>
    </row>
    <row r="101" spans="92:105" x14ac:dyDescent="0.4">
      <c r="CN101" s="58"/>
      <c r="CQ101" s="213" t="str">
        <f>메인보드!B99</f>
        <v>MSI X99A 토마호크</v>
      </c>
      <c r="CR101" s="213" t="str">
        <f>그래픽카드!B98</f>
        <v>이엠텍 HV 지포스 GTX1060 GAMER Edition D5 3GB</v>
      </c>
      <c r="CT101" s="213">
        <f>SSD!B98</f>
        <v>0</v>
      </c>
      <c r="CV101" s="213" t="str">
        <f>파워서플라이!B98</f>
        <v>FSP Hydro G 850W</v>
      </c>
      <c r="CW101" s="213" t="str">
        <f>케이스!B98</f>
        <v>BRAVOTEC U3 Black USB 3.0</v>
      </c>
      <c r="CX101" s="213" t="str">
        <f>키보드!B98</f>
        <v>제닉스 TESORO GRAM</v>
      </c>
      <c r="CY101" s="213"/>
      <c r="DA101" s="213" t="str">
        <f>모니터!B98</f>
        <v>삼성전자 T27D390</v>
      </c>
    </row>
    <row r="102" spans="92:105" x14ac:dyDescent="0.4">
      <c r="CN102" s="58"/>
      <c r="CQ102" s="213" t="str">
        <f>메인보드!B100</f>
        <v>MSI X99A SLI PLUS/M6e M.2 256GB</v>
      </c>
      <c r="CR102" s="213" t="str">
        <f>그래픽카드!B99</f>
        <v>-</v>
      </c>
      <c r="CT102" s="213">
        <f>SSD!B99</f>
        <v>0</v>
      </c>
      <c r="CV102" s="213" t="str">
        <f>파워서플라이!B99</f>
        <v>FSP AURUM PRO AU-850PRO</v>
      </c>
      <c r="CW102" s="213" t="str">
        <f>케이스!B99</f>
        <v>BRAVOTEC UMX3 Black 강화유리</v>
      </c>
      <c r="CX102" s="213" t="str">
        <f>키보드!B99</f>
        <v>한성컴퓨터 GF1 BossMonster KLv.72</v>
      </c>
      <c r="CY102" s="213"/>
      <c r="DA102" s="213" t="str">
        <f>모니터!B99</f>
        <v>삼성전자 S27F350</v>
      </c>
    </row>
    <row r="103" spans="92:105" x14ac:dyDescent="0.4">
      <c r="CN103" s="58"/>
      <c r="CQ103" s="213" t="str">
        <f>메인보드!B101</f>
        <v xml:space="preserve">MSI X99A 게이밍 프로 카본 </v>
      </c>
      <c r="CR103" s="213" t="str">
        <f>그래픽카드!B100</f>
        <v>ASUS DUAL 지포스 GTX1060 O6G</v>
      </c>
      <c r="CT103" s="213">
        <f>SSD!B100</f>
        <v>0</v>
      </c>
      <c r="CV103" s="213" t="str">
        <f>파워서플라이!B100</f>
        <v>FSP AURUM PT850W</v>
      </c>
      <c r="CW103" s="213" t="str">
        <f>케이스!B100</f>
        <v>CORSAIR CARBIDE SERIES 88R</v>
      </c>
      <c r="CX103" s="213" t="str">
        <f>키보드!B100</f>
        <v>한성컴퓨터 GTune MAF35 응답하라 1992</v>
      </c>
      <c r="CY103" s="213"/>
      <c r="DA103" s="213" t="str">
        <f>모니터!B100</f>
        <v>삼성전자 C27F581F</v>
      </c>
    </row>
    <row r="104" spans="92:105" x14ac:dyDescent="0.4">
      <c r="CN104" s="58"/>
      <c r="CQ104" s="213" t="str">
        <f>메인보드!B102</f>
        <v>MSI X99A XPOWER 게이밍 티타늄</v>
      </c>
      <c r="CR104" s="213" t="str">
        <f>그래픽카드!B101</f>
        <v>ASUS ROG STRIX 지포스 GTX1060 O6G GAMING D5 6GB</v>
      </c>
      <c r="CT104" s="213">
        <f>SSD!B101</f>
        <v>0</v>
      </c>
      <c r="CV104" s="213" t="str">
        <f>파워서플라이!B101</f>
        <v>SuperFlower SF-850F14MP LEADEX PLATINUM</v>
      </c>
      <c r="CW104" s="213" t="str">
        <f>케이스!B101</f>
        <v>CORSAIR OBSIDIAN 250D</v>
      </c>
      <c r="CX104" s="213" t="str">
        <f>키보드!B101</f>
        <v>한성컴퓨터 GTune MCF7</v>
      </c>
      <c r="CY104" s="213"/>
      <c r="DA104" s="213" t="str">
        <f>모니터!B101</f>
        <v>삼성전자 C27F591F</v>
      </c>
    </row>
    <row r="105" spans="92:105" x14ac:dyDescent="0.4">
      <c r="CN105" s="58"/>
      <c r="CQ105" s="213" t="str">
        <f>메인보드!B103</f>
        <v xml:space="preserve">MSI X99A GODLIKE 게이밍 카본 </v>
      </c>
      <c r="CR105" s="213" t="str">
        <f>그래픽카드!B102</f>
        <v>Colorful 지포스 GTX1060 iCafe D5 6GB</v>
      </c>
      <c r="CT105" s="213"/>
      <c r="CV105" s="213" t="str">
        <f>파워서플라이!B102</f>
        <v>XFX TS 850W BRONZE</v>
      </c>
      <c r="CW105" s="213" t="str">
        <f>케이스!B102</f>
        <v>CORSAIR AIR 240 Black</v>
      </c>
      <c r="CX105" s="213" t="str">
        <f>키보드!B102</f>
        <v>한성컴퓨터 GTune MKF10 XRGB</v>
      </c>
      <c r="CY105" s="213"/>
      <c r="DA105" s="213" t="str">
        <f>모니터!B102</f>
        <v xml:space="preserve">삼성전자 S27E310 블랙 </v>
      </c>
    </row>
    <row r="106" spans="92:105" x14ac:dyDescent="0.4">
      <c r="CN106" s="58"/>
      <c r="CQ106" s="213" t="str">
        <f>메인보드!B104</f>
        <v>GIGABYTE GA-X99P-SLI 듀러블에디션 썬더볼트</v>
      </c>
      <c r="CR106" s="213" t="str">
        <f>그래픽카드!B103</f>
        <v>Colorful 지포스 GTX1060 iGame U OC D5 6GB</v>
      </c>
      <c r="CT106" s="213"/>
      <c r="CV106" s="213" t="str">
        <f>파워서플라이!B103</f>
        <v>XFX PRO 850W GOLD</v>
      </c>
      <c r="CW106" s="213" t="str">
        <f>케이스!B103</f>
        <v>CORSAIR OBSIDIAN 350D</v>
      </c>
      <c r="CX106" s="213" t="str">
        <f>키보드!B103</f>
        <v>한성컴퓨터 GTune MKF14 Pure VIKI</v>
      </c>
      <c r="CY106" s="213"/>
      <c r="DA106" s="213" t="str">
        <f>모니터!B103</f>
        <v>삼성전자 S27E500C</v>
      </c>
    </row>
    <row r="107" spans="92:105" x14ac:dyDescent="0.4">
      <c r="CN107" s="58"/>
      <c r="CQ107" s="213" t="str">
        <f>메인보드!B105</f>
        <v>GIGABYTE GA-X99-Ultra Gaming 게이밍에디션</v>
      </c>
      <c r="CR107" s="213" t="str">
        <f>그래픽카드!B104</f>
        <v>Colorful 지포스 GTX1060 iGame U-TOP D5 6GB</v>
      </c>
      <c r="CT107" s="213"/>
      <c r="CV107" s="213" t="str">
        <f>파워서플라이!B104</f>
        <v>마이크로닉스 Performance II HV 850W Bronze</v>
      </c>
      <c r="CW107" s="213" t="str">
        <f>케이스!B104</f>
        <v>리안리 PC-TU100 블랙</v>
      </c>
      <c r="CX107" s="213" t="str">
        <f>키보드!B104</f>
        <v>한성컴퓨터 GTune MKF14S XRGB</v>
      </c>
      <c r="CY107" s="213"/>
      <c r="DA107" s="213" t="str">
        <f>모니터!B104</f>
        <v xml:space="preserve">삼성전자 S27D850T </v>
      </c>
    </row>
    <row r="108" spans="92:105" x14ac:dyDescent="0.4">
      <c r="CN108" s="58"/>
      <c r="CQ108" s="213" t="str">
        <f>메인보드!B106</f>
        <v>GIGABYTE GA-X99-Phoenix SLI 게이밍에디션</v>
      </c>
      <c r="CR108" s="213" t="str">
        <f>그래픽카드!B105</f>
        <v>Colorful 지포스 GTX1060 iGame X-TOP D5 6GB SUPER OC</v>
      </c>
      <c r="CT108" s="213"/>
      <c r="CV108" s="213" t="str">
        <f>파워서플라이!B105</f>
        <v>시소닉 X-850 80PLUS GOLD (3세대)</v>
      </c>
      <c r="CW108" s="213" t="str">
        <f>케이스!B105</f>
        <v>리안리 PC-A41B 블랙</v>
      </c>
      <c r="CX108" s="213" t="str">
        <f>키보드!B105</f>
        <v>한성컴퓨터 GTune MKF14S XRGB Color Edition</v>
      </c>
      <c r="CY108" s="213"/>
      <c r="DA108" s="213" t="str">
        <f>모니터!B105</f>
        <v xml:space="preserve">삼성전자 S27E370 </v>
      </c>
    </row>
    <row r="109" spans="92:105" x14ac:dyDescent="0.4">
      <c r="CN109" s="58"/>
      <c r="CQ109" s="213" t="str">
        <f>메인보드!B107</f>
        <v>GIGABYTE GA-X99-Designare EX 듀러블에디션</v>
      </c>
      <c r="CR109" s="213" t="str">
        <f>그래픽카드!B106</f>
        <v>GIGABYTE 지포스 GTX1060 UDV D5 6GB 미니미</v>
      </c>
      <c r="CT109" s="213"/>
      <c r="CV109" s="213" t="str">
        <f>파워서플라이!B106</f>
        <v>-</v>
      </c>
      <c r="CW109" s="213" t="str">
        <f>케이스!B106</f>
        <v>리안리 PC-V358A 실버</v>
      </c>
      <c r="CX109" s="213" t="str">
        <f>키보드!B106</f>
        <v>한성컴퓨터 GTune MKF17 Waterproof</v>
      </c>
      <c r="CY109" s="213"/>
      <c r="DA109" s="213" t="str">
        <f>모니터!B106</f>
        <v>삼성전자 T27D590CD</v>
      </c>
    </row>
    <row r="110" spans="92:105" x14ac:dyDescent="0.4">
      <c r="CN110" s="58"/>
      <c r="CQ110" s="213" t="str">
        <f>메인보드!B108</f>
        <v>-</v>
      </c>
      <c r="CR110" s="213" t="str">
        <f>그래픽카드!B107</f>
        <v>GIGABYTE 지포스 GTX1060 UDV D5 6GB 윈드포스</v>
      </c>
      <c r="CT110" s="213"/>
      <c r="CV110" s="213" t="str">
        <f>파워서플라이!B107</f>
        <v>&lt;1000W이상&gt;</v>
      </c>
      <c r="CW110" s="213" t="str">
        <f>케이스!B107</f>
        <v>리안리 PC-V359WX 올블랙</v>
      </c>
      <c r="CX110" s="213" t="str">
        <f>키보드!B107</f>
        <v>한성컴퓨터 GTune MKF20</v>
      </c>
      <c r="CY110" s="213"/>
      <c r="DA110" s="213" t="str">
        <f>모니터!B107</f>
        <v>알파스캔 프레스티지 2714 ADS MHL 무결점</v>
      </c>
    </row>
    <row r="111" spans="92:105" x14ac:dyDescent="0.4">
      <c r="CN111" s="58"/>
      <c r="CQ111" s="213" t="str">
        <f>메인보드!B109</f>
        <v>&lt;&lt;&lt; AMD &gt;&gt;&gt;</v>
      </c>
      <c r="CR111" s="213" t="str">
        <f>그래픽카드!B108</f>
        <v xml:space="preserve">GIGABYTE 지포스 GTX1060 G1.Gaming D5 6GB </v>
      </c>
      <c r="CT111" s="213"/>
      <c r="CV111" s="213" t="str">
        <f>파워서플라이!B108</f>
        <v>Antec HCP-1000 Platinum</v>
      </c>
      <c r="CW111" s="213" t="str">
        <f>케이스!B108</f>
        <v>-</v>
      </c>
      <c r="CX111" s="213" t="str">
        <f>키보드!B108</f>
        <v>한성컴퓨터 GTune MKF20S</v>
      </c>
      <c r="DA111" s="213" t="str">
        <f>모니터!B108</f>
        <v>알파스캔 프레스티지 2724 IPS LED 무결점</v>
      </c>
    </row>
    <row r="112" spans="92:105" x14ac:dyDescent="0.4">
      <c r="CN112" s="58"/>
      <c r="CQ112" s="213" t="str">
        <f>메인보드!B110</f>
        <v>&lt;&lt; APU &gt;&gt;</v>
      </c>
      <c r="CR112" s="213" t="str">
        <f>그래픽카드!B109</f>
        <v>GIGABYTE 지포스 GTX1060 Xtreme D5 6GB</v>
      </c>
      <c r="CT112" s="213"/>
      <c r="CV112" s="213" t="str">
        <f>파워서플라이!B109</f>
        <v>Antec HCP-1300 PLATINUM</v>
      </c>
      <c r="CW112" s="213" t="str">
        <f>케이스!B109</f>
        <v>&lt;빅타워&gt;</v>
      </c>
      <c r="CX112" s="213" t="str">
        <f>키보드!B109</f>
        <v>한성컴퓨터 GTune MKF20S Rainbow</v>
      </c>
      <c r="DA112" s="213" t="str">
        <f>모니터!B109</f>
        <v>알파스캔 27NB77PR IPS 시력보호 무결점</v>
      </c>
    </row>
    <row r="113" spans="92:105" x14ac:dyDescent="0.4">
      <c r="CN113" s="58"/>
      <c r="CQ113" s="213" t="str">
        <f>메인보드!B111</f>
        <v>&lt;A88X&gt;</v>
      </c>
      <c r="CR113" s="213" t="str">
        <f>그래픽카드!B110</f>
        <v>inno3D 지포스 GTX1060 Twin D5 6GB</v>
      </c>
      <c r="CT113" s="213"/>
      <c r="CV113" s="213" t="str">
        <f>파워서플라이!B110</f>
        <v>CORSAIR RM1000x 80PLUS GOLD</v>
      </c>
      <c r="CW113" s="213" t="str">
        <f>케이스!B110</f>
        <v>3RSYS T200 발키리 NT PWM</v>
      </c>
      <c r="CX113" s="213" t="str">
        <f>키보드!B110</f>
        <v>한성컴퓨터 GTune MKF40S2</v>
      </c>
      <c r="DA113" s="213" t="str">
        <f>모니터!B110</f>
        <v>알파스캔 AOC 2769 IPS MHL+DP 무결점</v>
      </c>
    </row>
    <row r="114" spans="92:105" x14ac:dyDescent="0.4">
      <c r="CN114" s="58"/>
      <c r="CQ114" s="213" t="str">
        <f>메인보드!B112</f>
        <v>ASRock FM2A88M-HD+R3.0</v>
      </c>
      <c r="CR114" s="213" t="str">
        <f>그래픽카드!B111</f>
        <v>inno3D 지포스 GTX1060 X2 D5 6GB</v>
      </c>
      <c r="CT114" s="213"/>
      <c r="CV114" s="213" t="str">
        <f>파워서플라이!B111</f>
        <v>CORSAIR RM1000i 80PLUS GOLD</v>
      </c>
      <c r="CW114" s="213" t="str">
        <f>케이스!B111</f>
        <v>3RSYS L5000</v>
      </c>
      <c r="CX114" s="213" t="str">
        <f>키보드!B111</f>
        <v>한성컴퓨터 GTune MKL16 XRGB</v>
      </c>
      <c r="DA114" s="213" t="str">
        <f>모니터!B111</f>
        <v>알파스캔 AOC 2777 IPS MHL+DP 무결점</v>
      </c>
    </row>
    <row r="115" spans="92:105" x14ac:dyDescent="0.4">
      <c r="CN115" s="58"/>
      <c r="CQ115" s="213" t="str">
        <f>메인보드!B113</f>
        <v>ASRock FM2A88M Pro3+</v>
      </c>
      <c r="CR115" s="213" t="str">
        <f>그래픽카드!B112</f>
        <v>inno3D iChiLL 지포스 GTX1060 D5 6GB X3</v>
      </c>
      <c r="CT115" s="213"/>
      <c r="CV115" s="213" t="str">
        <f>파워서플라이!B112</f>
        <v>CORSAIR HX1000i 80PLUS PLATINUM</v>
      </c>
      <c r="CW115" s="213" t="str">
        <f>케이스!B112</f>
        <v>BRAVOTEC 스텔스 TX 블랙 파노라마 윈도우</v>
      </c>
      <c r="CX115" s="213" t="str">
        <f>키보드!B112</f>
        <v>한성컴퓨터 GTune MKL31 Rainbow</v>
      </c>
      <c r="DA115" s="213" t="str">
        <f>모니터!B112</f>
        <v xml:space="preserve">알파스캔 AOC 2778 시력보호 무결점 </v>
      </c>
    </row>
    <row r="116" spans="92:105" x14ac:dyDescent="0.4">
      <c r="CN116" s="58"/>
      <c r="CQ116" s="213" t="str">
        <f>메인보드!B114</f>
        <v>GIGABYTE GA-F2A88XM-HD3P</v>
      </c>
      <c r="CR116" s="213" t="str">
        <f>그래픽카드!B113</f>
        <v>MANLI 지포스 GTX1060 Black Frame D5 6GB OC</v>
      </c>
      <c r="CT116" s="213"/>
      <c r="CV116" s="213" t="str">
        <f>파워서플라이!B113</f>
        <v>CORSAIR HX1200i 80PLUS PLATINUM</v>
      </c>
      <c r="CW116" s="213" t="str">
        <f>케이스!B113</f>
        <v>BRAVOTEC 스텔스 EX270 파노라마 윈도우 블랙</v>
      </c>
      <c r="CX116" s="213" t="str">
        <f>키보드!B113</f>
        <v>한성컴퓨터 GTune MKL51 Greenlight</v>
      </c>
      <c r="DA116" s="213" t="str">
        <f>모니터!B113</f>
        <v>알파스캔 AOC 2779 광시야각 플리커프리 무결점</v>
      </c>
    </row>
    <row r="117" spans="92:105" x14ac:dyDescent="0.4">
      <c r="CN117" s="58"/>
      <c r="CQ117" s="213" t="str">
        <f>메인보드!B115</f>
        <v>GIGABYTE GA-F2A88XM-D3H</v>
      </c>
      <c r="CR117" s="213" t="str">
        <f>그래픽카드!B114</f>
        <v>MSI 지포스 GTX1060 아머 OC D5 6GB</v>
      </c>
      <c r="CT117" s="213"/>
      <c r="CV117" s="213" t="str">
        <f>파워서플라이!B114</f>
        <v>CORSAIR PROFESSIONAL SERIES AX1200i PLATINUM</v>
      </c>
      <c r="CW117" s="213" t="str">
        <f>케이스!B114</f>
        <v>BRAVOTEC 스텔스 DX 블랙 파노라마 윈도우</v>
      </c>
      <c r="CX117" s="213" t="str">
        <f>키보드!B114</f>
        <v>한성컴퓨터 GTune MKL51S</v>
      </c>
      <c r="DA117" s="213" t="str">
        <f>모니터!B114</f>
        <v>알파스캔 AOC 2781 IPS 레이저 플리커프리 무결점</v>
      </c>
    </row>
    <row r="118" spans="92:105" x14ac:dyDescent="0.4">
      <c r="CN118" s="58"/>
      <c r="CQ118" s="213" t="str">
        <f>메인보드!B116</f>
        <v>GIGABYTE GA-F2A88XN-WIFI</v>
      </c>
      <c r="CR118" s="213" t="str">
        <f>그래픽카드!B115</f>
        <v>MSI 지포스 GTX1060 게이밍 X D5 6GB 트윈프로져6</v>
      </c>
      <c r="CV118" s="213" t="str">
        <f>파워서플라이!B115</f>
        <v xml:space="preserve">CORSAIR PROFESSIONAL SERIES AX1500i 80PLUS TITANIUM </v>
      </c>
      <c r="CW118" s="213" t="str">
        <f>케이스!B115</f>
        <v>BRAVOTEC 스텔스 FX470 파노라마 윈도우 블랙</v>
      </c>
      <c r="CX118" s="213" t="str">
        <f>키보드!B115</f>
        <v>한성컴퓨터 XK1 BossMonster KLv.75</v>
      </c>
      <c r="DA118" s="213" t="str">
        <f>모니터!B115</f>
        <v>-</v>
      </c>
    </row>
    <row r="119" spans="92:105" x14ac:dyDescent="0.4">
      <c r="CN119" s="58"/>
      <c r="CQ119" s="213" t="str">
        <f>메인보드!B117</f>
        <v>-</v>
      </c>
      <c r="CR119" s="213" t="str">
        <f>그래픽카드!B116</f>
        <v>ZOTAC 지포스 GTX1060 MINi D5 6GB</v>
      </c>
      <c r="CV119" s="213" t="str">
        <f>파워서플라이!B116</f>
        <v>FSP AURUM PRO AU-1000PRO</v>
      </c>
      <c r="CW119" s="213" t="str">
        <f>케이스!B116</f>
        <v>BRAVOTEC 트레저 X6 630T 타이탄 글래스 블랙</v>
      </c>
      <c r="CX119" s="213" t="str">
        <f>키보드!B116</f>
        <v>한성컴퓨터 XK1 BossMonster KLv.77</v>
      </c>
      <c r="DA119" s="213" t="str">
        <f>모니터!B116</f>
        <v>&lt;28인치&gt;</v>
      </c>
    </row>
    <row r="120" spans="92:105" x14ac:dyDescent="0.4">
      <c r="CN120" s="58"/>
      <c r="CQ120" s="213" t="str">
        <f>메인보드!B118</f>
        <v>&lt;AM1&gt;</v>
      </c>
      <c r="CR120" s="213" t="str">
        <f>그래픽카드!B117</f>
        <v>ZOTAC 지포스 GTX1060 AMP! EDITION D5 6GB</v>
      </c>
      <c r="CV120" s="213" t="str">
        <f>파워서플라이!B117</f>
        <v>FSP AURUM PT1000W</v>
      </c>
      <c r="CW120" s="213" t="str">
        <f>케이스!B117</f>
        <v>CORSAIR CARBIDE SERIES CLEAR 600C</v>
      </c>
      <c r="CX120" s="213" t="str">
        <f>키보드!B117</f>
        <v>한성컴퓨터 XK1L BossMonster KLv.74</v>
      </c>
      <c r="DA120" s="213" t="str">
        <f>모니터!B117</f>
        <v>삼성전자 T28D310KD</v>
      </c>
    </row>
    <row r="121" spans="92:105" x14ac:dyDescent="0.4">
      <c r="CN121" s="58"/>
      <c r="CQ121" s="213" t="str">
        <f>메인보드!B119</f>
        <v>MSI AM1I</v>
      </c>
      <c r="CR121" s="213" t="str">
        <f>그래픽카드!B118</f>
        <v>갤럭시 GALAX 지포스 GTX1060 OC D5 6GB</v>
      </c>
      <c r="CV121" s="213" t="str">
        <f>파워서플라이!B118</f>
        <v>FSP AURUM PRO AU-1200PRO</v>
      </c>
      <c r="CW121" s="213" t="str">
        <f>케이스!B118</f>
        <v>CORSAIR OBSIDIAN 750D</v>
      </c>
      <c r="CX121" s="213" t="str">
        <f>키보드!B118</f>
        <v>한성컴퓨터 XK1L BossMonster KLv.76</v>
      </c>
      <c r="DA121" s="213" t="str">
        <f>모니터!B118</f>
        <v>삼성전자 T28E310</v>
      </c>
    </row>
    <row r="122" spans="92:105" x14ac:dyDescent="0.4">
      <c r="CN122" s="58"/>
      <c r="CQ122" s="213" t="str">
        <f>메인보드!B120</f>
        <v>-</v>
      </c>
      <c r="CR122" s="213" t="str">
        <f>그래픽카드!B119</f>
        <v>갤럭시 GALAX 지포스 GTX1060 EXOC D5 6GB G天命</v>
      </c>
      <c r="CV122" s="213" t="str">
        <f>파워서플라이!B119</f>
        <v>FSP AURUM PT1200W</v>
      </c>
      <c r="CW122" s="213" t="str">
        <f>케이스!B119</f>
        <v>CORSAIR OBSIDIAN 750D Airflow</v>
      </c>
      <c r="CX122" s="213" t="str">
        <f>키보드!B119</f>
        <v>-</v>
      </c>
      <c r="DA122" s="213" t="str">
        <f>모니터!B119</f>
        <v>삼성전자 U28E590D</v>
      </c>
    </row>
    <row r="123" spans="92:105" x14ac:dyDescent="0.4">
      <c r="CN123" s="58"/>
      <c r="CQ123" s="213" t="str">
        <f>메인보드!B121</f>
        <v>&lt;&lt; FX &gt;&gt;</v>
      </c>
      <c r="CR123" s="213" t="str">
        <f>그래픽카드!B120</f>
        <v>갤럭시 GALAX 지포스 GTX1060 EXOC 개간지 D5 6GB</v>
      </c>
      <c r="CV123" s="213" t="str">
        <f>파워서플라이!B120</f>
        <v>SuperFlower SF-1000F14MG LEADEX GOLD</v>
      </c>
      <c r="CW123" s="213" t="str">
        <f>케이스!B120</f>
        <v>CORSAIR GRAPHITE SERIES 780T BLACK</v>
      </c>
      <c r="CX123" s="213" t="str">
        <f>키보드!B120</f>
        <v>&lt;무접점 방식&gt;</v>
      </c>
      <c r="DA123" s="213" t="str">
        <f>모니터!B120</f>
        <v>알파스캔 AOC UHD 2868 MHL+DP</v>
      </c>
    </row>
    <row r="124" spans="92:105" x14ac:dyDescent="0.4">
      <c r="CN124" s="58"/>
      <c r="CQ124" s="213" t="str">
        <f>메인보드!B122</f>
        <v>&lt;970&gt;</v>
      </c>
      <c r="CR124" s="213" t="str">
        <f>그래픽카드!B121</f>
        <v>이엠텍 HV 지포스 GTX1060 GAMER Edition D5 6GB</v>
      </c>
      <c r="CV124" s="213" t="str">
        <f>파워서플라이!B121</f>
        <v xml:space="preserve">SuperFlower SF-1000F14MP LEADEX PLATINUM </v>
      </c>
      <c r="CW124" s="213" t="str">
        <f>케이스!B121</f>
        <v>CORSAIR OBSIDIAN 900D</v>
      </c>
      <c r="CX124" s="213" t="str">
        <f>키보드!B121</f>
        <v>한성컴퓨터 GTune CHF4 SnowWhite XRGB 50G</v>
      </c>
      <c r="DA124" s="213" t="str">
        <f>모니터!B121</f>
        <v>-</v>
      </c>
    </row>
    <row r="125" spans="92:105" x14ac:dyDescent="0.4">
      <c r="CN125" s="58"/>
      <c r="CQ125" s="213" t="str">
        <f>메인보드!B123</f>
        <v>ASRock 970 PRO3 R2.0</v>
      </c>
      <c r="CR125" s="213" t="str">
        <f>그래픽카드!B122</f>
        <v>이엠텍 XENON 지포스 GTX1060 JETSTREAM D5 6GB</v>
      </c>
      <c r="CV125" s="213" t="str">
        <f>파워서플라이!B122</f>
        <v xml:space="preserve">SuperFlower SF-1300F14MG LEADEX GOLD </v>
      </c>
      <c r="CW125" s="213" t="str">
        <f>케이스!B122</f>
        <v>리안리 PC-A76X 올블랙</v>
      </c>
      <c r="CX125" s="213" t="str">
        <f>키보드!B122</f>
        <v xml:space="preserve">한성컴퓨터 GTune CHF4 XRGB 62G </v>
      </c>
      <c r="DA125" s="213" t="str">
        <f>모니터!B122</f>
        <v>&lt;29인치&gt;</v>
      </c>
    </row>
    <row r="126" spans="92:105" x14ac:dyDescent="0.4">
      <c r="CN126" s="58"/>
      <c r="CQ126" s="213" t="str">
        <f>메인보드!B124</f>
        <v>ASRock 970A-G/3.1</v>
      </c>
      <c r="CR126" s="213" t="str">
        <f>그래픽카드!B123</f>
        <v>이엠텍 XENON 지포스 GTX1060 Super JETSTREAM D5 6GB</v>
      </c>
      <c r="CV126" s="213" t="str">
        <f>파워서플라이!B123</f>
        <v>SuperFlower SF-1600F14HT LEADEX TITANIUM</v>
      </c>
      <c r="CW126" s="213" t="str">
        <f>케이스!B123</f>
        <v>리안리 PC-D600WA 실버</v>
      </c>
      <c r="CX126" s="213" t="str">
        <f>키보드!B123</f>
        <v>한성컴퓨터 GTune CHF7 OfficeMaster 45G</v>
      </c>
      <c r="DA126" s="213" t="str">
        <f>모니터!B123</f>
        <v xml:space="preserve">LG전자 울트라와이드 29UC97C </v>
      </c>
    </row>
    <row r="127" spans="92:105" x14ac:dyDescent="0.4">
      <c r="CN127" s="58"/>
      <c r="CQ127" s="213" t="str">
        <f>메인보드!B125</f>
        <v>ASUS M5A97 LE R2.0</v>
      </c>
      <c r="CR127" s="213" t="str">
        <f>그래픽카드!B124</f>
        <v>-</v>
      </c>
      <c r="CV127" s="213" t="str">
        <f>파워서플라이!B124</f>
        <v>SuperFlower SF-2000F14HP LEADEX PLATINUM</v>
      </c>
      <c r="CW127" s="213" t="str">
        <f>케이스!B124</f>
        <v>리안리 PC-A79B 블랙</v>
      </c>
      <c r="CX127" s="213" t="str">
        <f>키보드!B124</f>
        <v xml:space="preserve">한성컴퓨터 GTune CHF7 OfficeMaster 55G </v>
      </c>
      <c r="DA127" s="213" t="str">
        <f>모니터!B124</f>
        <v xml:space="preserve">LG전자 울트라와이드 29UM57 </v>
      </c>
    </row>
    <row r="128" spans="92:105" x14ac:dyDescent="0.4">
      <c r="CN128" s="58"/>
      <c r="CQ128" s="213" t="str">
        <f>메인보드!B126</f>
        <v>ASUS M5A97 R2.0</v>
      </c>
      <c r="CR128" s="213" t="str">
        <f>그래픽카드!B125</f>
        <v>GIGABYTE 라데온 R9 390 SOC D5 8GB G1게이밍</v>
      </c>
      <c r="CV128" s="213" t="str">
        <f>파워서플라이!B125</f>
        <v>XFX PRO 1000W PLATINUM 80 PLUS</v>
      </c>
      <c r="CW128" s="213" t="str">
        <f>케이스!B125</f>
        <v xml:space="preserve">리안리 PC-D8000 블랙 </v>
      </c>
      <c r="CX128" s="213" t="str">
        <f>키보드!B125</f>
        <v xml:space="preserve">한성컴퓨터 GTune CHL5 XRGB 55G </v>
      </c>
      <c r="DA128" s="213" t="str">
        <f>모니터!B125</f>
        <v>LG전자 울트라와이드 29UM58</v>
      </c>
    </row>
    <row r="129" spans="92:105" x14ac:dyDescent="0.4">
      <c r="CN129" s="58"/>
      <c r="CQ129" s="213" t="str">
        <f>메인보드!B127</f>
        <v>MSI 970A-G43</v>
      </c>
      <c r="CR129" s="213" t="str">
        <f>그래픽카드!B126</f>
        <v>-</v>
      </c>
      <c r="CV129" s="213" t="str">
        <f>파워서플라이!B126</f>
        <v>XFX PRO 1050W GOLD 80 PLUS</v>
      </c>
      <c r="CW129" s="213" t="str">
        <f>케이스!B126</f>
        <v>리안리 PC-V1000LWX 올블랙</v>
      </c>
      <c r="CX129" s="213" t="str">
        <f>키보드!B126</f>
        <v>한성컴퓨터 GTune CHL8 HappyTypist 50g</v>
      </c>
      <c r="DA129" s="213" t="str">
        <f>모니터!B126</f>
        <v xml:space="preserve">삼성전자 S29E790C </v>
      </c>
    </row>
    <row r="130" spans="92:105" x14ac:dyDescent="0.4">
      <c r="CN130" s="58"/>
      <c r="CQ130" s="213" t="str">
        <f>메인보드!B128</f>
        <v>GIGABYTE GA-970A DS3P 듀러블에디션</v>
      </c>
      <c r="CR130" s="213" t="str">
        <f>그래픽카드!B127</f>
        <v>MSI 라데온 R9 390X OC D5 8GB 트윈 프로져 5 게이밍</v>
      </c>
      <c r="CV130" s="213" t="str">
        <f>파워서플라이!B127</f>
        <v>XFX PRO 1250W GOLD 80 PLUS</v>
      </c>
      <c r="CW130" s="213" t="str">
        <f>케이스!B127</f>
        <v>리안리 PC-V2130B 블랙</v>
      </c>
      <c r="CX130" s="213">
        <f>키보드!B127</f>
        <v>0</v>
      </c>
      <c r="DA130" s="213" t="str">
        <f>모니터!B127</f>
        <v>-</v>
      </c>
    </row>
    <row r="131" spans="92:105" x14ac:dyDescent="0.4">
      <c r="CN131" s="58"/>
      <c r="CQ131" s="213" t="str">
        <f>메인보드!B129</f>
        <v>GIGABYTE GA-970A-D3P 듀러블에디션</v>
      </c>
      <c r="CR131" s="213" t="str">
        <f>그래픽카드!B128</f>
        <v>-</v>
      </c>
      <c r="CV131" s="213" t="str">
        <f>파워서플라이!B128</f>
        <v>시소닉 P-1050 80PLUS PLATINUM SnowSilent</v>
      </c>
      <c r="CW131" s="213" t="str">
        <f>케이스!B128</f>
        <v>리안리 PC-X2000FN</v>
      </c>
      <c r="CX131" s="213">
        <f>키보드!B128</f>
        <v>0</v>
      </c>
      <c r="DA131" s="213" t="str">
        <f>모니터!B128</f>
        <v>&lt;31인치&gt;</v>
      </c>
    </row>
    <row r="132" spans="92:105" x14ac:dyDescent="0.4">
      <c r="CN132" s="58"/>
      <c r="CQ132" s="213" t="str">
        <f>메인보드!B130</f>
        <v>-</v>
      </c>
      <c r="CR132" s="213" t="str">
        <f>그래픽카드!B129</f>
        <v>ASUS ROG STRIX 라데온 RX 480 O8G GAMING 8GB</v>
      </c>
      <c r="CV132" s="213" t="str">
        <f>파워서플라이!B129</f>
        <v>시소닉 P-1050 80PLUS PLATINUM</v>
      </c>
      <c r="CW132" s="213" t="str">
        <f>케이스!B129</f>
        <v>리안리 PC-D666WRX 레드&amp;블랙 투톤</v>
      </c>
      <c r="CX132" s="213">
        <f>키보드!B129</f>
        <v>0</v>
      </c>
      <c r="DA132" s="213" t="str">
        <f>모니터!B129</f>
        <v xml:space="preserve">LG전자 31MU97 </v>
      </c>
    </row>
    <row r="133" spans="92:105" x14ac:dyDescent="0.4">
      <c r="CN133" s="58"/>
      <c r="CQ133" s="213" t="str">
        <f>메인보드!B131</f>
        <v>&lt;990FX&gt;</v>
      </c>
      <c r="CR133" s="213" t="str">
        <f>그래픽카드!B130</f>
        <v>GIGABYTE 라데온 RX 480 G1.Gaming D5 4GB</v>
      </c>
      <c r="CV133" s="213" t="str">
        <f>파워서플라이!B130</f>
        <v>시소닉 P-1200 80PLUS PLATINUM</v>
      </c>
      <c r="CW133" s="213" t="str">
        <f>케이스!B130</f>
        <v>리안리 Computer Desk DK-03X</v>
      </c>
      <c r="CX133" s="213">
        <f>키보드!B130</f>
        <v>0</v>
      </c>
      <c r="DA133" s="213" t="str">
        <f>모니터!B130</f>
        <v>-</v>
      </c>
    </row>
    <row r="134" spans="92:105" x14ac:dyDescent="0.4">
      <c r="CN134" s="58"/>
      <c r="CQ134" s="213" t="str">
        <f>메인보드!B132</f>
        <v>GIGABYTE GA-990FX-GAMING 게이밍에디션</v>
      </c>
      <c r="CR134" s="213" t="str">
        <f>그래픽카드!B131</f>
        <v>GIGABYTE 라데온 RX 480 D5 8GB</v>
      </c>
      <c r="CV134" s="213" t="str">
        <f>파워서플라이!B131</f>
        <v>시소닉 X-1250 80PLUS GOLD (2세대)</v>
      </c>
      <c r="CW134" s="213">
        <f>케이스!B131</f>
        <v>0</v>
      </c>
      <c r="CX134" s="213">
        <f>키보드!B131</f>
        <v>0</v>
      </c>
      <c r="DA134" s="213" t="str">
        <f>모니터!B131</f>
        <v>&lt;32인치&gt;</v>
      </c>
    </row>
    <row r="135" spans="92:105" x14ac:dyDescent="0.4">
      <c r="CN135" s="58"/>
      <c r="CQ135" s="213">
        <f>메인보드!B133</f>
        <v>0</v>
      </c>
      <c r="CR135" s="213" t="str">
        <f>그래픽카드!B132</f>
        <v>GIGABYTE 라데온 RX 480 G1.Gaming D5 8GB</v>
      </c>
      <c r="CV135" s="213">
        <f>파워서플라이!B132</f>
        <v>0</v>
      </c>
      <c r="CW135" s="213">
        <f>케이스!B132</f>
        <v>0</v>
      </c>
      <c r="CX135" s="213">
        <f>키보드!B132</f>
        <v>0</v>
      </c>
      <c r="DA135" s="213" t="str">
        <f>모니터!B132</f>
        <v xml:space="preserve">BenQ BL3200PT 아이케어 무결점 </v>
      </c>
    </row>
    <row r="136" spans="92:105" x14ac:dyDescent="0.4">
      <c r="CN136" s="58"/>
      <c r="CQ136" s="213">
        <f>메인보드!B134</f>
        <v>0</v>
      </c>
      <c r="CR136" s="213" t="str">
        <f>그래픽카드!B133</f>
        <v>MSI 라데온 RX 480 게이밍 X D5 4GB 트윈프로져6</v>
      </c>
      <c r="CV136" s="213">
        <f>파워서플라이!B133</f>
        <v>0</v>
      </c>
      <c r="CW136" s="213">
        <f>케이스!B133</f>
        <v>0</v>
      </c>
      <c r="CX136" s="213">
        <f>키보드!B133</f>
        <v>0</v>
      </c>
      <c r="DA136" s="213" t="str">
        <f>모니터!B133</f>
        <v xml:space="preserve">BenQ BL3201PT 아이케어 무결점 </v>
      </c>
    </row>
    <row r="137" spans="92:105" x14ac:dyDescent="0.4">
      <c r="CN137" s="58"/>
      <c r="CQ137" s="213">
        <f>메인보드!B135</f>
        <v>0</v>
      </c>
      <c r="CR137" s="213" t="str">
        <f>그래픽카드!B134</f>
        <v>MSI 라데온 RX 480 게이밍 X D5 8GB 트윈프로져6</v>
      </c>
      <c r="CV137" s="213">
        <f>파워서플라이!B134</f>
        <v>0</v>
      </c>
      <c r="CW137" s="213">
        <f>케이스!B134</f>
        <v>0</v>
      </c>
      <c r="CX137" s="213">
        <f>키보드!B134</f>
        <v>0</v>
      </c>
      <c r="DA137" s="213" t="str">
        <f>모니터!B134</f>
        <v>DELL UltraSharp UP3216Q</v>
      </c>
    </row>
    <row r="138" spans="92:105" x14ac:dyDescent="0.4">
      <c r="CN138" s="58"/>
      <c r="CQ138" s="213">
        <f>메인보드!B136</f>
        <v>0</v>
      </c>
      <c r="CR138" s="213" t="str">
        <f>그래픽카드!B135</f>
        <v>PowerColor 라데온 RX 480 D5 8GB 붉은악마</v>
      </c>
      <c r="CV138" s="213">
        <f>파워서플라이!B135</f>
        <v>0</v>
      </c>
      <c r="CW138" s="213">
        <f>케이스!B135</f>
        <v>0</v>
      </c>
      <c r="CX138" s="213">
        <f>키보드!B135</f>
        <v>0</v>
      </c>
      <c r="DA138" s="213" t="str">
        <f>모니터!B135</f>
        <v xml:space="preserve">LG전자 32MB25HM </v>
      </c>
    </row>
    <row r="139" spans="92:105" x14ac:dyDescent="0.4">
      <c r="CN139" s="58"/>
      <c r="CQ139" s="213">
        <f>메인보드!B137</f>
        <v>0</v>
      </c>
      <c r="CR139" s="213" t="str">
        <f>그래픽카드!B136</f>
        <v>SAPPHIRE 라데온 RX 480 D5 8GB Dual-X NITRO+</v>
      </c>
      <c r="CV139" s="213">
        <f>파워서플라이!B136</f>
        <v>0</v>
      </c>
      <c r="CW139" s="213">
        <f>케이스!B136</f>
        <v>0</v>
      </c>
      <c r="CX139" s="213">
        <f>키보드!B136</f>
        <v>0</v>
      </c>
      <c r="DA139" s="213" t="str">
        <f>모니터!B136</f>
        <v>LG전자 32MB27HM</v>
      </c>
    </row>
    <row r="140" spans="92:105" x14ac:dyDescent="0.4">
      <c r="CN140" s="58"/>
      <c r="CQ140" s="213">
        <f>메인보드!B138</f>
        <v>0</v>
      </c>
      <c r="CR140" s="213" t="str">
        <f>그래픽카드!B137</f>
        <v>SAPPHIRE 라데온 RX 480 OC D5 8GB Dual-X NITRO+</v>
      </c>
      <c r="CV140" s="213">
        <f>파워서플라이!B137</f>
        <v>0</v>
      </c>
      <c r="CW140" s="213">
        <f>케이스!B137</f>
        <v>0</v>
      </c>
      <c r="CX140" s="213">
        <f>키보드!B137</f>
        <v>0</v>
      </c>
      <c r="DA140" s="213" t="str">
        <f>모니터!B137</f>
        <v>LG전자 32MN58HM</v>
      </c>
    </row>
    <row r="141" spans="92:105" x14ac:dyDescent="0.4">
      <c r="CN141" s="58"/>
      <c r="CQ141" s="213">
        <f>메인보드!B139</f>
        <v>0</v>
      </c>
      <c r="CR141" s="213" t="str">
        <f>그래픽카드!B138</f>
        <v>XFX 라데온 RX 480 BLACK Edition Super OC D5 8GB</v>
      </c>
      <c r="CV141" s="213">
        <f>파워서플라이!B138</f>
        <v>0</v>
      </c>
      <c r="CW141" s="213">
        <f>케이스!B138</f>
        <v>0</v>
      </c>
      <c r="CX141" s="213">
        <f>키보드!B138</f>
        <v>0</v>
      </c>
      <c r="DA141" s="213" t="str">
        <f>모니터!B138</f>
        <v>LG전자 32MP58HQ</v>
      </c>
    </row>
    <row r="142" spans="92:105" x14ac:dyDescent="0.4">
      <c r="CN142" s="58"/>
      <c r="CQ142" s="213">
        <f>메인보드!B140</f>
        <v>0</v>
      </c>
      <c r="CR142" s="213" t="str">
        <f>그래픽카드!B139</f>
        <v>XFX 라데온 RX 480 BLACK Wolf OC D5 8GB</v>
      </c>
      <c r="CV142" s="213">
        <f>파워서플라이!B139</f>
        <v>0</v>
      </c>
      <c r="CW142" s="213">
        <f>케이스!B139</f>
        <v>0</v>
      </c>
      <c r="CX142" s="213">
        <f>키보드!B139</f>
        <v>0</v>
      </c>
      <c r="DA142" s="213" t="str">
        <f>모니터!B139</f>
        <v xml:space="preserve">LG전자 32MP58HQW </v>
      </c>
    </row>
    <row r="143" spans="92:105" x14ac:dyDescent="0.4">
      <c r="CN143" s="58"/>
      <c r="CQ143" s="213">
        <f>메인보드!B141</f>
        <v>0</v>
      </c>
      <c r="CR143" s="213" t="str">
        <f>그래픽카드!B140</f>
        <v>XFX 라데온 RX 480 BLACK Wolf Super OC D5 8GB</v>
      </c>
      <c r="CV143" s="213">
        <f>파워서플라이!B140</f>
        <v>0</v>
      </c>
      <c r="CW143" s="213">
        <f>케이스!B140</f>
        <v>0</v>
      </c>
      <c r="CX143" s="213">
        <f>키보드!B140</f>
        <v>0</v>
      </c>
      <c r="DA143" s="213" t="str">
        <f>모니터!B140</f>
        <v>삼성전자 C32F391F</v>
      </c>
    </row>
    <row r="144" spans="92:105" x14ac:dyDescent="0.4">
      <c r="CN144" s="58"/>
      <c r="CQ144" s="213">
        <f>메인보드!B142</f>
        <v>0</v>
      </c>
      <c r="CR144" s="213" t="str">
        <f>그래픽카드!B141</f>
        <v>-</v>
      </c>
      <c r="CV144" s="213">
        <f>파워서플라이!B141</f>
        <v>0</v>
      </c>
      <c r="CW144" s="213">
        <f>케이스!B141</f>
        <v>0</v>
      </c>
      <c r="CX144" s="213">
        <f>키보드!B141</f>
        <v>0</v>
      </c>
      <c r="DA144" s="213" t="str">
        <f>모니터!B141</f>
        <v xml:space="preserve">삼성전자 S32D230H </v>
      </c>
    </row>
    <row r="145" spans="92:105" x14ac:dyDescent="0.4">
      <c r="CN145" s="58"/>
      <c r="CQ145" s="213">
        <f>메인보드!B143</f>
        <v>0</v>
      </c>
      <c r="CR145" s="213" t="str">
        <f>그래픽카드!B142</f>
        <v>&lt;하이엔드&gt;</v>
      </c>
      <c r="CV145" s="213">
        <f>파워서플라이!B142</f>
        <v>0</v>
      </c>
      <c r="CW145" s="213">
        <f>케이스!B142</f>
        <v>0</v>
      </c>
      <c r="CX145" s="213">
        <f>키보드!B142</f>
        <v>0</v>
      </c>
      <c r="DA145" s="213" t="str">
        <f>모니터!B142</f>
        <v xml:space="preserve">삼성전자 S32D850T </v>
      </c>
    </row>
    <row r="146" spans="92:105" x14ac:dyDescent="0.4">
      <c r="CN146" s="58"/>
      <c r="CQ146" s="213">
        <f>메인보드!B144</f>
        <v>0</v>
      </c>
      <c r="CR146" s="213" t="str">
        <f>그래픽카드!B143</f>
        <v>ASUS STRIX 지포스 GTX980 Ti DC3 OC D5 6GB GAMING</v>
      </c>
      <c r="CV146" s="213">
        <f>파워서플라이!B143</f>
        <v>0</v>
      </c>
      <c r="CW146" s="213">
        <f>케이스!B143</f>
        <v>0</v>
      </c>
      <c r="CX146" s="213">
        <f>키보드!B143</f>
        <v>0</v>
      </c>
      <c r="DA146" s="213" t="str">
        <f>모니터!B143</f>
        <v>삼성전자 S32E511C</v>
      </c>
    </row>
    <row r="147" spans="92:105" x14ac:dyDescent="0.4">
      <c r="CN147" s="58"/>
      <c r="CQ147" s="213">
        <f>메인보드!B145</f>
        <v>0</v>
      </c>
      <c r="CR147" s="213" t="str">
        <f>그래픽카드!B144</f>
        <v>GIGABYTE 지포스 GTX980 Ti Xtreme D5 6GB 워터포스</v>
      </c>
      <c r="CV147" s="213">
        <f>파워서플라이!B144</f>
        <v>0</v>
      </c>
      <c r="CW147" s="213">
        <f>케이스!B144</f>
        <v>0</v>
      </c>
      <c r="CX147" s="213">
        <f>키보드!B144</f>
        <v>0</v>
      </c>
      <c r="DA147" s="213" t="str">
        <f>모니터!B144</f>
        <v xml:space="preserve">삼성전자 S32E590C </v>
      </c>
    </row>
    <row r="148" spans="92:105" x14ac:dyDescent="0.4">
      <c r="CN148" s="58"/>
      <c r="CQ148" s="213">
        <f>메인보드!B146</f>
        <v>0</v>
      </c>
      <c r="CR148" s="213" t="str">
        <f>그래픽카드!B145</f>
        <v>inno3D iChiLL 지포스 GTX980 Ti D5 6GB X3 Ultra</v>
      </c>
      <c r="CV148" s="213">
        <f>파워서플라이!B145</f>
        <v>0</v>
      </c>
      <c r="CX148" s="213">
        <f>키보드!B145</f>
        <v>0</v>
      </c>
      <c r="DA148" s="213" t="str">
        <f>모니터!B145</f>
        <v>삼성전자 S32F351F</v>
      </c>
    </row>
    <row r="149" spans="92:105" x14ac:dyDescent="0.4">
      <c r="CN149" s="58"/>
      <c r="CQ149" s="213">
        <f>메인보드!B147</f>
        <v>0</v>
      </c>
      <c r="CR149" s="213" t="str">
        <f>그래픽카드!B146</f>
        <v>MANLI 지포스 GTX980 Ti Ultimate D5 6GB</v>
      </c>
      <c r="CV149" s="213">
        <f>파워서플라이!B146</f>
        <v>0</v>
      </c>
      <c r="CX149" s="213">
        <f>키보드!B146</f>
        <v>0</v>
      </c>
      <c r="DA149" s="213" t="str">
        <f>모니터!B146</f>
        <v>삼성전자 U32D970 </v>
      </c>
    </row>
    <row r="150" spans="92:105" x14ac:dyDescent="0.4">
      <c r="CN150" s="58"/>
      <c r="CQ150" s="213">
        <f>메인보드!B148</f>
        <v>0</v>
      </c>
      <c r="CR150" s="213" t="str">
        <f>그래픽카드!B147</f>
        <v>MSI 지포스 GTX980 Ti OC D5 6GB 트윈 프로져 5 게이밍</v>
      </c>
      <c r="CV150" s="213">
        <f>파워서플라이!B147</f>
        <v>0</v>
      </c>
      <c r="CX150" s="213">
        <f>키보드!B147</f>
        <v>0</v>
      </c>
      <c r="DA150" s="213" t="str">
        <f>모니터!B147</f>
        <v>-</v>
      </c>
    </row>
    <row r="151" spans="92:105" x14ac:dyDescent="0.4">
      <c r="CN151" s="58"/>
      <c r="CQ151" s="213">
        <f>메인보드!B149</f>
        <v>0</v>
      </c>
      <c r="CR151" s="213" t="str">
        <f>그래픽카드!B148</f>
        <v>ZOTAC 지포스 GTX980 Ti AMP! Omega Edition D5 6GB</v>
      </c>
      <c r="CV151" s="213">
        <f>파워서플라이!B148</f>
        <v>0</v>
      </c>
      <c r="CX151" s="213">
        <f>키보드!B148</f>
        <v>0</v>
      </c>
      <c r="DA151" s="213" t="str">
        <f>모니터!B148</f>
        <v>&lt;34인치&gt;</v>
      </c>
    </row>
    <row r="152" spans="92:105" x14ac:dyDescent="0.4">
      <c r="CN152" s="58"/>
      <c r="CQ152" s="213">
        <f>메인보드!B150</f>
        <v>0</v>
      </c>
      <c r="CR152" s="213" t="str">
        <f>그래픽카드!B149</f>
        <v>갤럭시 GALAX 지포스 GTX980 Ti Hall Of Fame D5 6GB</v>
      </c>
      <c r="CV152" s="213">
        <f>파워서플라이!B149</f>
        <v>0</v>
      </c>
      <c r="CX152" s="213"/>
      <c r="DA152" s="213" t="str">
        <f>모니터!B149</f>
        <v>DELL U3415W New</v>
      </c>
    </row>
    <row r="153" spans="92:105" x14ac:dyDescent="0.4">
      <c r="CN153" s="58"/>
      <c r="CQ153" s="213">
        <f>메인보드!B151</f>
        <v>0</v>
      </c>
      <c r="CR153" s="213" t="str">
        <f>그래픽카드!B150</f>
        <v>이엠텍 XENON 지포스 GTX980 Ti Super JETSTREAM D5 6GB</v>
      </c>
      <c r="CV153" s="213">
        <f>파워서플라이!B150</f>
        <v>0</v>
      </c>
      <c r="CX153" s="213"/>
      <c r="DA153" s="213" t="str">
        <f>모니터!B150</f>
        <v>LG전자 울트라와이드 34UC97</v>
      </c>
    </row>
    <row r="154" spans="92:105" x14ac:dyDescent="0.4">
      <c r="CN154" s="58"/>
      <c r="CQ154" s="213">
        <f>메인보드!B152</f>
        <v>0</v>
      </c>
      <c r="CR154" s="213" t="str">
        <f>그래픽카드!B151</f>
        <v>-</v>
      </c>
      <c r="CV154" s="213">
        <f>파워서플라이!B151</f>
        <v>0</v>
      </c>
      <c r="CX154" s="213"/>
      <c r="DA154" s="213" t="str">
        <f>모니터!B151</f>
        <v>LG전자 울트라와이드 34UC98</v>
      </c>
    </row>
    <row r="155" spans="92:105" x14ac:dyDescent="0.4">
      <c r="CN155" s="58"/>
      <c r="CQ155" s="213">
        <f>메인보드!B153</f>
        <v>0</v>
      </c>
      <c r="CR155" s="213" t="str">
        <f>그래픽카드!B152</f>
        <v>ASUS DUAL 지포스 GTX1070 O8G D5 8GB</v>
      </c>
      <c r="CV155" s="213">
        <f>파워서플라이!B152</f>
        <v>0</v>
      </c>
      <c r="CX155" s="213"/>
      <c r="DA155" s="213" t="str">
        <f>모니터!B152</f>
        <v>LG전자 울트라와이드 34UM58</v>
      </c>
    </row>
    <row r="156" spans="92:105" x14ac:dyDescent="0.4">
      <c r="CN156" s="58"/>
      <c r="CQ156" s="213">
        <f>메인보드!B154</f>
        <v>0</v>
      </c>
      <c r="CR156" s="213" t="str">
        <f>그래픽카드!B153</f>
        <v>ASUS ROG STRIX 지포스 GTX1070 O8G GAMING D5 8GB</v>
      </c>
      <c r="CX156" s="213"/>
      <c r="DA156" s="213" t="str">
        <f>모니터!B153</f>
        <v xml:space="preserve">삼성전자 S34E790C </v>
      </c>
    </row>
    <row r="157" spans="92:105" x14ac:dyDescent="0.4">
      <c r="CN157" s="58"/>
      <c r="CQ157" s="213">
        <f>메인보드!B155</f>
        <v>0</v>
      </c>
      <c r="CR157" s="213" t="str">
        <f>그래픽카드!B154</f>
        <v>Colorful 지포스 GTX1070 iGame U-TOP D5 8GB</v>
      </c>
      <c r="CX157" s="213"/>
      <c r="DA157" s="213" t="str">
        <f>모니터!B154</f>
        <v>-</v>
      </c>
    </row>
    <row r="158" spans="92:105" x14ac:dyDescent="0.4">
      <c r="CN158" s="58"/>
      <c r="CQ158" s="213">
        <f>메인보드!B156</f>
        <v>0</v>
      </c>
      <c r="CR158" s="213" t="str">
        <f>그래픽카드!B155</f>
        <v>Colorful 지포스 GTX1070 iGame X-TOP D5 8GB</v>
      </c>
      <c r="CX158" s="213"/>
      <c r="DA158" s="213" t="str">
        <f>모니터!B155</f>
        <v>&lt;40인치 이상&gt;</v>
      </c>
    </row>
    <row r="159" spans="92:105" x14ac:dyDescent="0.4">
      <c r="CN159" s="58"/>
      <c r="CQ159" s="213">
        <f>메인보드!B157</f>
        <v>0</v>
      </c>
      <c r="CR159" s="213" t="str">
        <f>그래픽카드!B156</f>
        <v>GIGABYTE 지포스 GTX1070 UDV D5 8GB 윈드포스</v>
      </c>
      <c r="CX159" s="213"/>
      <c r="DA159" s="213" t="str">
        <f>모니터!B156</f>
        <v>LG전자 40MB27HM</v>
      </c>
    </row>
    <row r="160" spans="92:105" x14ac:dyDescent="0.4">
      <c r="CN160" s="58"/>
      <c r="CQ160" s="213">
        <f>메인보드!B158</f>
        <v>0</v>
      </c>
      <c r="CR160" s="213" t="str">
        <f>그래픽카드!B157</f>
        <v>GIGABYTE 지포스 GTX1070 UDV D5 8GB 미니미</v>
      </c>
      <c r="CX160" s="213"/>
      <c r="DA160" s="213">
        <f>모니터!B157</f>
        <v>0</v>
      </c>
    </row>
    <row r="161" spans="92:105" x14ac:dyDescent="0.4">
      <c r="CN161" s="58"/>
      <c r="CR161" s="213" t="str">
        <f>그래픽카드!B158</f>
        <v>GIGABYTE 지포스 GTX1070 Xtreme D5 8GB</v>
      </c>
      <c r="CX161" s="213"/>
      <c r="DA161" s="213">
        <f>모니터!B158</f>
        <v>0</v>
      </c>
    </row>
    <row r="162" spans="92:105" x14ac:dyDescent="0.4">
      <c r="CN162" s="58"/>
      <c r="CR162" s="213" t="str">
        <f>그래픽카드!B159</f>
        <v>inno3D 지포스 GTX1070 D5 8GB X2 트윈쿨러</v>
      </c>
      <c r="CX162" s="213"/>
      <c r="DA162" s="213">
        <f>모니터!B159</f>
        <v>0</v>
      </c>
    </row>
    <row r="163" spans="92:105" x14ac:dyDescent="0.4">
      <c r="CN163" s="58"/>
      <c r="CR163" s="213" t="str">
        <f>그래픽카드!B160</f>
        <v>inno3D iChiLL 지포스 GTX1070 D5 8GB X3</v>
      </c>
      <c r="CX163" s="213"/>
      <c r="DA163" s="213">
        <f>모니터!B160</f>
        <v>0</v>
      </c>
    </row>
    <row r="164" spans="92:105" x14ac:dyDescent="0.4">
      <c r="CN164" s="58"/>
      <c r="CR164" s="213" t="str">
        <f>그래픽카드!B161</f>
        <v>inno3D iChiLL 지포스 GTX1070 D5 8GB X4</v>
      </c>
      <c r="CX164" s="213"/>
      <c r="DA164" s="213">
        <f>모니터!B161</f>
        <v>0</v>
      </c>
    </row>
    <row r="165" spans="92:105" x14ac:dyDescent="0.4">
      <c r="CN165" s="58"/>
      <c r="CR165" s="213" t="str">
        <f>그래픽카드!B162</f>
        <v>MANLI 지포스 GTX1070 Twin Edition D5 8GB</v>
      </c>
      <c r="CX165" s="213"/>
      <c r="DA165" s="213">
        <f>모니터!B162</f>
        <v>0</v>
      </c>
    </row>
    <row r="166" spans="92:105" x14ac:dyDescent="0.4">
      <c r="CN166" s="58"/>
      <c r="CR166" s="213" t="str">
        <f>그래픽카드!B163</f>
        <v>MSI 지포스 GTX1070 아머 OC D5 8GB</v>
      </c>
      <c r="CX166" s="213"/>
      <c r="DA166" s="213">
        <f>모니터!B163</f>
        <v>0</v>
      </c>
    </row>
    <row r="167" spans="92:105" x14ac:dyDescent="0.4">
      <c r="CN167" s="58"/>
      <c r="CR167" s="213" t="str">
        <f>그래픽카드!B164</f>
        <v>MSI 지포스 GTX1070 게이밍 X D5 8GB 트윈프로져6</v>
      </c>
      <c r="CX167" s="213"/>
      <c r="DA167" s="213">
        <f>모니터!B164</f>
        <v>0</v>
      </c>
    </row>
    <row r="168" spans="92:105" x14ac:dyDescent="0.4">
      <c r="CN168" s="58"/>
      <c r="CR168" s="213" t="str">
        <f>그래픽카드!B165</f>
        <v>MSI 지포스 GTX1070 게이밍 Z D5 8GB 트윈프로져6</v>
      </c>
      <c r="CX168" s="213"/>
      <c r="DA168" s="213">
        <f>모니터!B165</f>
        <v>0</v>
      </c>
    </row>
    <row r="169" spans="92:105" x14ac:dyDescent="0.4">
      <c r="CN169" s="58"/>
      <c r="CR169" s="213" t="str">
        <f>그래픽카드!B166</f>
        <v>MSI 지포스 GTX1070 시호크X D5 8GB</v>
      </c>
      <c r="CX169" s="213"/>
      <c r="DA169" s="213">
        <f>모니터!B166</f>
        <v>0</v>
      </c>
    </row>
    <row r="170" spans="92:105" x14ac:dyDescent="0.4">
      <c r="CN170" s="58"/>
      <c r="CR170" s="213" t="str">
        <f>그래픽카드!B167</f>
        <v>ZOTAC 지포스 GTX1070 MINi D5 8GB</v>
      </c>
      <c r="CX170" s="213"/>
      <c r="DA170" s="213">
        <f>모니터!B167</f>
        <v>0</v>
      </c>
    </row>
    <row r="171" spans="92:105" x14ac:dyDescent="0.4">
      <c r="CN171" s="58"/>
      <c r="CR171" s="213" t="str">
        <f>그래픽카드!B168</f>
        <v>ZOTAC 지포스 GTX1070 AMP! EDITION D5 8GB</v>
      </c>
      <c r="CX171" s="213"/>
      <c r="DA171" s="213">
        <f>모니터!B168</f>
        <v>0</v>
      </c>
    </row>
    <row r="172" spans="92:105" x14ac:dyDescent="0.4">
      <c r="CN172" s="58"/>
      <c r="CR172" s="213" t="str">
        <f>그래픽카드!B169</f>
        <v>ZOTAC 지포스 GTX1070 AMP! EXTREME D5 8GB</v>
      </c>
      <c r="CX172" s="213"/>
      <c r="DA172" s="213">
        <f>모니터!B169</f>
        <v>0</v>
      </c>
    </row>
    <row r="173" spans="92:105" x14ac:dyDescent="0.4">
      <c r="CN173" s="58"/>
      <c r="CR173" s="213" t="str">
        <f>그래픽카드!B170</f>
        <v>갤럭시 GALAX 지포스 GTX1070 EXOC D5 8GB G美</v>
      </c>
      <c r="CX173" s="213"/>
      <c r="DA173" s="213">
        <f>모니터!B170</f>
        <v>0</v>
      </c>
    </row>
    <row r="174" spans="92:105" x14ac:dyDescent="0.4">
      <c r="CN174" s="58"/>
      <c r="CR174" s="213" t="str">
        <f>그래픽카드!B171</f>
        <v>갤럭시 GALAX 지포스 GTX1070 EXOC 개간지 D5 8GB</v>
      </c>
      <c r="CX174" s="213"/>
      <c r="DA174" s="213"/>
    </row>
    <row r="175" spans="92:105" x14ac:dyDescent="0.4">
      <c r="CN175" s="58"/>
      <c r="CR175" s="213" t="str">
        <f>그래픽카드!B172</f>
        <v>갤럭시 GALAX 지포스 GTX1070 Hall Of Fame D5 8GB</v>
      </c>
      <c r="CX175" s="213"/>
      <c r="DA175" s="213"/>
    </row>
    <row r="176" spans="92:105" x14ac:dyDescent="0.4">
      <c r="CN176" s="58"/>
      <c r="CR176" s="213" t="str">
        <f>그래픽카드!B173</f>
        <v>이엠텍 XENON 지포스 GTX1070 JETSTREAM D5 8GB</v>
      </c>
      <c r="CX176" s="213"/>
      <c r="DA176" s="213"/>
    </row>
    <row r="177" spans="92:105" x14ac:dyDescent="0.4">
      <c r="CN177" s="58"/>
      <c r="CR177" s="213" t="str">
        <f>그래픽카드!B174</f>
        <v>이엠텍 HV 지포스 GTX1070 GAMER Edition D5 8GB</v>
      </c>
      <c r="CX177" s="213"/>
      <c r="DA177" s="213"/>
    </row>
    <row r="178" spans="92:105" x14ac:dyDescent="0.4">
      <c r="CN178" s="58"/>
      <c r="CR178" s="213" t="str">
        <f>그래픽카드!B175</f>
        <v>이엠텍 XENON 지포스 GTX1070 Super JETSTREAM D5 8GB</v>
      </c>
      <c r="CX178" s="213"/>
      <c r="DA178" s="213"/>
    </row>
    <row r="179" spans="92:105" x14ac:dyDescent="0.4">
      <c r="CN179" s="58"/>
      <c r="CR179" s="213" t="str">
        <f>그래픽카드!B176</f>
        <v>-</v>
      </c>
      <c r="CX179" s="213"/>
      <c r="DA179" s="213"/>
    </row>
    <row r="180" spans="92:105" x14ac:dyDescent="0.4">
      <c r="CN180" s="58"/>
      <c r="CR180" s="213" t="str">
        <f>그래픽카드!B177</f>
        <v>ASUS ROG STRIX 지포스 GTX1080 A8G GAMING D5X 8GB</v>
      </c>
      <c r="CX180" s="213"/>
      <c r="DA180" s="213"/>
    </row>
    <row r="181" spans="92:105" x14ac:dyDescent="0.4">
      <c r="CN181" s="58"/>
      <c r="CR181" s="213" t="str">
        <f>그래픽카드!B178</f>
        <v>Colorful 지포스 GTX1080 iGame U-TOP D5X 8GB</v>
      </c>
      <c r="CX181" s="213"/>
      <c r="DA181" s="213"/>
    </row>
    <row r="182" spans="92:105" x14ac:dyDescent="0.4">
      <c r="CN182" s="58"/>
      <c r="CR182" s="213" t="str">
        <f>그래픽카드!B179</f>
        <v>GIGABYTE 지포스 GTX1080 UDV D5X 8GB 윈드포스</v>
      </c>
      <c r="CX182" s="213"/>
      <c r="DA182" s="213"/>
    </row>
    <row r="183" spans="92:105" x14ac:dyDescent="0.4">
      <c r="CN183" s="58"/>
      <c r="CR183" s="213" t="str">
        <f>그래픽카드!B180</f>
        <v>GIGABYTE 지포스 GTX1080 G1.Gaming D5X 8GB</v>
      </c>
      <c r="CX183" s="213"/>
      <c r="DA183" s="213"/>
    </row>
    <row r="184" spans="92:105" x14ac:dyDescent="0.4">
      <c r="CN184" s="58"/>
      <c r="CR184" s="213" t="str">
        <f>그래픽카드!B181</f>
        <v>GIGABYTE 지포스 GTX1080 Xtreme D5X 8GB 프리미엄팩</v>
      </c>
      <c r="CX184" s="213"/>
      <c r="DA184" s="213"/>
    </row>
    <row r="185" spans="92:105" x14ac:dyDescent="0.4">
      <c r="CN185" s="58"/>
      <c r="CR185" s="213" t="str">
        <f>그래픽카드!B182</f>
        <v>inno3D 지포스 GTX1080 D5X 8GB X2 트윈쿨러</v>
      </c>
      <c r="CX185" s="213"/>
      <c r="DA185" s="213"/>
    </row>
    <row r="186" spans="92:105" x14ac:dyDescent="0.4">
      <c r="CN186" s="58"/>
      <c r="CR186" s="213" t="str">
        <f>그래픽카드!B183</f>
        <v>inno3D iChiLL 지포스 GTX1080 D5X 8GB X3</v>
      </c>
      <c r="CX186" s="213"/>
      <c r="DA186" s="213"/>
    </row>
    <row r="187" spans="92:105" x14ac:dyDescent="0.4">
      <c r="CN187" s="58"/>
      <c r="CR187" s="213" t="str">
        <f>그래픽카드!B184</f>
        <v>inno3D iChiLL 지포스 GTX1080 D5X 8GB X4</v>
      </c>
      <c r="CX187" s="213"/>
      <c r="DA187" s="213"/>
    </row>
    <row r="188" spans="92:105" x14ac:dyDescent="0.4">
      <c r="CN188" s="58"/>
      <c r="CR188" s="213" t="str">
        <f>그래픽카드!B185</f>
        <v>MANLI 지포스 GTX1080 Twin Edition D5X 8GB</v>
      </c>
      <c r="CX188" s="213"/>
      <c r="DA188" s="213"/>
    </row>
    <row r="189" spans="92:105" x14ac:dyDescent="0.4">
      <c r="CN189" s="58"/>
      <c r="CR189" s="213" t="str">
        <f>그래픽카드!B186</f>
        <v>MSI 지포스 GTX1080 아머 OC D5X 8GB</v>
      </c>
      <c r="CX189" s="213"/>
      <c r="DA189" s="213"/>
    </row>
    <row r="190" spans="92:105" x14ac:dyDescent="0.4">
      <c r="CN190" s="58"/>
      <c r="CR190" s="213" t="str">
        <f>그래픽카드!B187</f>
        <v>MSI 지포스 GTX1080 게이밍 X D5X 8GB 트윈프로져6</v>
      </c>
      <c r="CX190" s="213"/>
      <c r="DA190" s="213"/>
    </row>
    <row r="191" spans="92:105" x14ac:dyDescent="0.4">
      <c r="CN191" s="58"/>
      <c r="CR191" s="213" t="str">
        <f>그래픽카드!B188</f>
        <v>ZOTAC 지포스 GTX1080 AMP! EDITION D5X 8GB</v>
      </c>
      <c r="CX191" s="213"/>
      <c r="DA191" s="213"/>
    </row>
    <row r="192" spans="92:105" x14ac:dyDescent="0.4">
      <c r="CN192" s="58"/>
      <c r="CR192" s="213" t="str">
        <f>그래픽카드!B189</f>
        <v>ZOTAC 지포스 GTX1080 AMP! EXTREME D5X 8GB</v>
      </c>
      <c r="CX192" s="213"/>
      <c r="DA192" s="213"/>
    </row>
    <row r="193" spans="92:105" x14ac:dyDescent="0.4">
      <c r="CN193" s="58"/>
      <c r="CR193" s="213" t="str">
        <f>그래픽카드!B190</f>
        <v>갤럭시 GALAX 지포스 GTX1080 EXOC D5X 8GB G美</v>
      </c>
      <c r="CX193" s="213"/>
      <c r="DA193" s="213"/>
    </row>
    <row r="194" spans="92:105" x14ac:dyDescent="0.4">
      <c r="CN194" s="58"/>
      <c r="CR194" s="213" t="str">
        <f>그래픽카드!B191</f>
        <v>갤럭시 GALAX 지포스 GTX1080 EXOC 개간지 D5X 8GB</v>
      </c>
      <c r="CX194" s="213"/>
      <c r="DA194" s="213"/>
    </row>
    <row r="195" spans="92:105" x14ac:dyDescent="0.4">
      <c r="CN195" s="58"/>
      <c r="CR195" s="213" t="str">
        <f>그래픽카드!B192</f>
        <v>갤럭시 GALAX 지포스 GTX1080 Hall Of Fame D5X 8GB</v>
      </c>
      <c r="CX195" s="213"/>
      <c r="DA195" s="213"/>
    </row>
    <row r="196" spans="92:105" x14ac:dyDescent="0.4">
      <c r="CN196" s="58"/>
      <c r="CR196" s="213" t="str">
        <f>그래픽카드!B193</f>
        <v>이엠텍 XENON 지포스 GTX1080 JETSTREAM D5X 8GB</v>
      </c>
      <c r="CX196" s="213"/>
      <c r="DA196" s="213"/>
    </row>
    <row r="197" spans="92:105" x14ac:dyDescent="0.4">
      <c r="CN197" s="58"/>
      <c r="CR197" s="213" t="str">
        <f>그래픽카드!B194</f>
        <v>이엠텍 XENON 지포스 GTX1080 Super JETSTREAM D5X 8GB</v>
      </c>
      <c r="CX197" s="213"/>
      <c r="DA197" s="213"/>
    </row>
    <row r="198" spans="92:105" x14ac:dyDescent="0.4">
      <c r="CN198" s="58"/>
      <c r="CR198" s="213" t="str">
        <f>그래픽카드!B195</f>
        <v>-</v>
      </c>
      <c r="CX198" s="213"/>
      <c r="DA198" s="213"/>
    </row>
    <row r="199" spans="92:105" x14ac:dyDescent="0.4">
      <c r="CN199" s="58"/>
      <c r="CR199" s="213" t="str">
        <f>그래픽카드!B196</f>
        <v>GIGABYTE 라데온 R9 FURY X HBM 4GB</v>
      </c>
      <c r="CX199" s="213"/>
      <c r="DA199" s="213"/>
    </row>
    <row r="200" spans="92:105" x14ac:dyDescent="0.4">
      <c r="CN200" s="58"/>
      <c r="CR200" s="213" t="str">
        <f>그래픽카드!B197</f>
        <v xml:space="preserve">SAPPHIRE 라데온 R9 FURY X HBM 4GB </v>
      </c>
      <c r="CX200" s="213"/>
      <c r="DA200" s="213"/>
    </row>
    <row r="201" spans="92:105" x14ac:dyDescent="0.4">
      <c r="CN201" s="58"/>
      <c r="CR201" s="213" t="str">
        <f>그래픽카드!B198</f>
        <v>-</v>
      </c>
      <c r="DA201" s="213"/>
    </row>
    <row r="202" spans="92:105" x14ac:dyDescent="0.4">
      <c r="CN202" s="58"/>
      <c r="CR202" s="213" t="str">
        <f>그래픽카드!B199</f>
        <v xml:space="preserve">SAPPHIRE 라데온 Pro Duo HBM 8GB </v>
      </c>
      <c r="DA202" s="213"/>
    </row>
    <row r="203" spans="92:105" x14ac:dyDescent="0.4">
      <c r="CN203" s="58"/>
      <c r="CR203" s="213" t="str">
        <f>그래픽카드!B200</f>
        <v>-</v>
      </c>
      <c r="DA203" s="213"/>
    </row>
    <row r="204" spans="92:105" x14ac:dyDescent="0.4">
      <c r="CN204" s="58"/>
      <c r="CR204" s="213">
        <f>그래픽카드!B201</f>
        <v>0</v>
      </c>
      <c r="DA204" s="213"/>
    </row>
    <row r="205" spans="92:105" x14ac:dyDescent="0.4">
      <c r="CN205" s="58"/>
      <c r="CR205" s="213">
        <f>그래픽카드!B202</f>
        <v>0</v>
      </c>
      <c r="DA205" s="213"/>
    </row>
    <row r="206" spans="92:105" x14ac:dyDescent="0.4">
      <c r="CN206" s="58"/>
      <c r="CR206" s="213">
        <f>그래픽카드!B203</f>
        <v>0</v>
      </c>
      <c r="DA206" s="213"/>
    </row>
    <row r="207" spans="92:105" x14ac:dyDescent="0.4">
      <c r="CN207" s="58"/>
      <c r="CR207" s="213">
        <f>그래픽카드!B204</f>
        <v>0</v>
      </c>
      <c r="DA207" s="213"/>
    </row>
    <row r="208" spans="92:105" x14ac:dyDescent="0.4">
      <c r="CN208" s="58"/>
      <c r="CR208" s="213">
        <f>그래픽카드!B205</f>
        <v>0</v>
      </c>
      <c r="DA208" s="213"/>
    </row>
    <row r="209" spans="92:105" x14ac:dyDescent="0.4">
      <c r="CN209" s="58"/>
      <c r="CR209" s="213">
        <f>그래픽카드!B206</f>
        <v>0</v>
      </c>
      <c r="DA209" s="213"/>
    </row>
    <row r="210" spans="92:105" x14ac:dyDescent="0.4">
      <c r="CN210" s="58"/>
      <c r="CR210" s="213">
        <f>그래픽카드!B207</f>
        <v>0</v>
      </c>
      <c r="DA210" s="213"/>
    </row>
    <row r="211" spans="92:105" x14ac:dyDescent="0.4">
      <c r="CN211" s="58"/>
      <c r="DA211" s="213"/>
    </row>
    <row r="212" spans="92:105" x14ac:dyDescent="0.4">
      <c r="CN212" s="58"/>
      <c r="DA212" s="213"/>
    </row>
    <row r="213" spans="92:105" x14ac:dyDescent="0.4">
      <c r="CN213" s="58"/>
      <c r="DA213" s="213"/>
    </row>
    <row r="214" spans="92:105" x14ac:dyDescent="0.4">
      <c r="CN214" s="58"/>
      <c r="DA214" s="213"/>
    </row>
    <row r="215" spans="92:105" x14ac:dyDescent="0.4">
      <c r="CN215" s="58"/>
      <c r="DA215" s="213"/>
    </row>
    <row r="216" spans="92:105" x14ac:dyDescent="0.4">
      <c r="CN216" s="58"/>
      <c r="DA216" s="213"/>
    </row>
    <row r="217" spans="92:105" x14ac:dyDescent="0.4">
      <c r="CN217" s="58"/>
      <c r="DA217" s="213"/>
    </row>
    <row r="218" spans="92:105" x14ac:dyDescent="0.4">
      <c r="CN218" s="58"/>
      <c r="DA218" s="213"/>
    </row>
    <row r="219" spans="92:105" x14ac:dyDescent="0.4">
      <c r="CN219" s="58"/>
      <c r="DA219" s="213"/>
    </row>
    <row r="220" spans="92:105" x14ac:dyDescent="0.4">
      <c r="CN220" s="58"/>
      <c r="DA220" s="213"/>
    </row>
    <row r="221" spans="92:105" x14ac:dyDescent="0.4">
      <c r="CN221" s="58"/>
      <c r="DA221" s="213"/>
    </row>
    <row r="222" spans="92:105" x14ac:dyDescent="0.4">
      <c r="CN222" s="58"/>
      <c r="DA222" s="213"/>
    </row>
    <row r="223" spans="92:105" x14ac:dyDescent="0.4">
      <c r="CN223" s="58"/>
      <c r="DA223" s="213"/>
    </row>
    <row r="224" spans="92:105" x14ac:dyDescent="0.4">
      <c r="CN224" s="58"/>
      <c r="DA224" s="213"/>
    </row>
    <row r="225" spans="92:105" x14ac:dyDescent="0.4">
      <c r="CN225" s="58"/>
      <c r="DA225" s="213"/>
    </row>
    <row r="226" spans="92:105" x14ac:dyDescent="0.4">
      <c r="CN226" s="58"/>
      <c r="DA226" s="213"/>
    </row>
    <row r="227" spans="92:105" x14ac:dyDescent="0.4">
      <c r="CN227" s="58"/>
      <c r="DA227" s="213"/>
    </row>
    <row r="228" spans="92:105" x14ac:dyDescent="0.4">
      <c r="CN228" s="58"/>
      <c r="DA228" s="213"/>
    </row>
    <row r="229" spans="92:105" x14ac:dyDescent="0.4">
      <c r="CN229" s="58"/>
      <c r="DA229" s="213"/>
    </row>
    <row r="230" spans="92:105" x14ac:dyDescent="0.4">
      <c r="CN230" s="58"/>
      <c r="DA230" s="213"/>
    </row>
    <row r="231" spans="92:105" x14ac:dyDescent="0.4">
      <c r="CN231" s="58"/>
      <c r="DA231" s="213"/>
    </row>
    <row r="232" spans="92:105" x14ac:dyDescent="0.4">
      <c r="CN232" s="58"/>
      <c r="DA232" s="213"/>
    </row>
    <row r="233" spans="92:105" x14ac:dyDescent="0.4">
      <c r="CN233" s="58"/>
      <c r="DA233" s="213"/>
    </row>
    <row r="234" spans="92:105" x14ac:dyDescent="0.4">
      <c r="CN234" s="58"/>
      <c r="DA234" s="213"/>
    </row>
    <row r="235" spans="92:105" x14ac:dyDescent="0.4">
      <c r="CN235" s="58"/>
      <c r="DA235" s="213"/>
    </row>
    <row r="236" spans="92:105" x14ac:dyDescent="0.4">
      <c r="CN236" s="58"/>
      <c r="DA236" s="213"/>
    </row>
    <row r="237" spans="92:105" x14ac:dyDescent="0.4">
      <c r="CN237" s="58"/>
      <c r="DA237" s="213"/>
    </row>
    <row r="238" spans="92:105" x14ac:dyDescent="0.4">
      <c r="CN238" s="58"/>
      <c r="DA238" s="213"/>
    </row>
    <row r="239" spans="92:105" x14ac:dyDescent="0.4">
      <c r="CN239" s="58"/>
      <c r="DA239" s="213"/>
    </row>
    <row r="240" spans="92:105" x14ac:dyDescent="0.4">
      <c r="CN240" s="58"/>
      <c r="DA240" s="213"/>
    </row>
    <row r="241" spans="92:105" x14ac:dyDescent="0.4">
      <c r="CN241" s="58"/>
      <c r="DA241" s="213"/>
    </row>
    <row r="242" spans="92:105" x14ac:dyDescent="0.4">
      <c r="CN242" s="58"/>
      <c r="DA242" s="213"/>
    </row>
    <row r="243" spans="92:105" x14ac:dyDescent="0.4">
      <c r="DA243" s="213"/>
    </row>
    <row r="244" spans="92:105" x14ac:dyDescent="0.4">
      <c r="DA244" s="213"/>
    </row>
    <row r="245" spans="92:105" x14ac:dyDescent="0.4">
      <c r="DA245" s="213"/>
    </row>
    <row r="246" spans="92:105" x14ac:dyDescent="0.4">
      <c r="DA246" s="213"/>
    </row>
    <row r="247" spans="92:105" x14ac:dyDescent="0.4">
      <c r="DA247" s="213"/>
    </row>
    <row r="248" spans="92:105" x14ac:dyDescent="0.4">
      <c r="DA248" s="213"/>
    </row>
    <row r="249" spans="92:105" x14ac:dyDescent="0.4">
      <c r="DA249" s="213"/>
    </row>
    <row r="250" spans="92:105" x14ac:dyDescent="0.4">
      <c r="DA250" s="213"/>
    </row>
    <row r="251" spans="92:105" x14ac:dyDescent="0.4">
      <c r="DA251" s="96"/>
    </row>
    <row r="252" spans="92:105" x14ac:dyDescent="0.4">
      <c r="DA252" s="96"/>
    </row>
  </sheetData>
  <mergeCells count="121">
    <mergeCell ref="BN1:DA2"/>
    <mergeCell ref="AD21:AE21"/>
    <mergeCell ref="P37:V37"/>
    <mergeCell ref="E24:AM24"/>
    <mergeCell ref="E32:AM32"/>
    <mergeCell ref="AD13:AE13"/>
    <mergeCell ref="AD14:AE14"/>
    <mergeCell ref="AO18:AO20"/>
    <mergeCell ref="CN3:DA3"/>
    <mergeCell ref="BN17:CL17"/>
    <mergeCell ref="BN18:BO18"/>
    <mergeCell ref="W27:AC27"/>
    <mergeCell ref="W28:AC28"/>
    <mergeCell ref="W29:AC29"/>
    <mergeCell ref="E14:V14"/>
    <mergeCell ref="AD15:AE15"/>
    <mergeCell ref="AF14:AM14"/>
    <mergeCell ref="AF13:AM13"/>
    <mergeCell ref="AF15:AM15"/>
    <mergeCell ref="AD26:AE26"/>
    <mergeCell ref="W26:AC26"/>
    <mergeCell ref="W16:AC16"/>
    <mergeCell ref="BN3:CL3"/>
    <mergeCell ref="W19:AC19"/>
    <mergeCell ref="D3:AM7"/>
    <mergeCell ref="D8:AM12"/>
    <mergeCell ref="D34:AM36"/>
    <mergeCell ref="AF17:AM17"/>
    <mergeCell ref="AF18:AM18"/>
    <mergeCell ref="AF19:AM19"/>
    <mergeCell ref="AF21:AM21"/>
    <mergeCell ref="AF22:AM22"/>
    <mergeCell ref="AF23:AM23"/>
    <mergeCell ref="AF26:AM26"/>
    <mergeCell ref="AF27:AM27"/>
    <mergeCell ref="AF28:AM28"/>
    <mergeCell ref="AF29:AM29"/>
    <mergeCell ref="E13:V13"/>
    <mergeCell ref="AD28:AE28"/>
    <mergeCell ref="AD29:AE29"/>
    <mergeCell ref="AD19:AE19"/>
    <mergeCell ref="W18:AC18"/>
    <mergeCell ref="AF31:AM31"/>
    <mergeCell ref="AD23:AE23"/>
    <mergeCell ref="AF20:AM20"/>
    <mergeCell ref="W13:AC13"/>
    <mergeCell ref="W21:AC21"/>
    <mergeCell ref="W14:AC14"/>
    <mergeCell ref="D57:G57"/>
    <mergeCell ref="D56:G56"/>
    <mergeCell ref="D55:G55"/>
    <mergeCell ref="D54:G54"/>
    <mergeCell ref="D53:G53"/>
    <mergeCell ref="D40:G40"/>
    <mergeCell ref="P55:V55"/>
    <mergeCell ref="P56:V56"/>
    <mergeCell ref="P57:V57"/>
    <mergeCell ref="P40:V40"/>
    <mergeCell ref="P41:V41"/>
    <mergeCell ref="P43:V43"/>
    <mergeCell ref="P44:V44"/>
    <mergeCell ref="P45:V45"/>
    <mergeCell ref="P46:V46"/>
    <mergeCell ref="P53:V53"/>
    <mergeCell ref="P54:V54"/>
    <mergeCell ref="P49:V49"/>
    <mergeCell ref="P50:V50"/>
    <mergeCell ref="P51:V51"/>
    <mergeCell ref="D52:G52"/>
    <mergeCell ref="D50:G50"/>
    <mergeCell ref="W15:AC15"/>
    <mergeCell ref="AD16:AE16"/>
    <mergeCell ref="AD17:AE17"/>
    <mergeCell ref="E31:AE31"/>
    <mergeCell ref="E15:V15"/>
    <mergeCell ref="E16:V16"/>
    <mergeCell ref="E17:V17"/>
    <mergeCell ref="E18:V18"/>
    <mergeCell ref="E26:V26"/>
    <mergeCell ref="E27:V27"/>
    <mergeCell ref="E28:V28"/>
    <mergeCell ref="E29:V29"/>
    <mergeCell ref="W23:AC23"/>
    <mergeCell ref="AD20:AE20"/>
    <mergeCell ref="AD18:AE18"/>
    <mergeCell ref="W17:AC17"/>
    <mergeCell ref="AD22:AE22"/>
    <mergeCell ref="AF16:AM16"/>
    <mergeCell ref="AF39:AL39"/>
    <mergeCell ref="P47:V47"/>
    <mergeCell ref="P48:V48"/>
    <mergeCell ref="E20:V20"/>
    <mergeCell ref="E21:V21"/>
    <mergeCell ref="E19:V19"/>
    <mergeCell ref="W22:AC22"/>
    <mergeCell ref="E23:V23"/>
    <mergeCell ref="E30:AE30"/>
    <mergeCell ref="AF30:AM30"/>
    <mergeCell ref="W20:AC20"/>
    <mergeCell ref="D38:G38"/>
    <mergeCell ref="P38:V38"/>
    <mergeCell ref="P39:V39"/>
    <mergeCell ref="AF40:AL40"/>
    <mergeCell ref="D48:G48"/>
    <mergeCell ref="AD27:AE27"/>
    <mergeCell ref="AF41:AL44"/>
    <mergeCell ref="D46:G46"/>
    <mergeCell ref="D45:G45"/>
    <mergeCell ref="D44:G44"/>
    <mergeCell ref="D43:G43"/>
    <mergeCell ref="D42:G42"/>
    <mergeCell ref="D39:G39"/>
    <mergeCell ref="E22:V22"/>
    <mergeCell ref="D41:G41"/>
    <mergeCell ref="P42:V42"/>
    <mergeCell ref="AF38:AL38"/>
    <mergeCell ref="P52:V52"/>
    <mergeCell ref="D51:G51"/>
    <mergeCell ref="D49:G49"/>
    <mergeCell ref="D37:G37"/>
    <mergeCell ref="D47:G47"/>
  </mergeCells>
  <phoneticPr fontId="4" type="noConversion"/>
  <conditionalFormatting sqref="AF39:AL39">
    <cfRule type="cellIs" dxfId="322" priority="19" operator="equal">
      <formula>"X"</formula>
    </cfRule>
  </conditionalFormatting>
  <conditionalFormatting sqref="AF40:AL44">
    <cfRule type="expression" dxfId="321" priority="14">
      <formula>$AF$39="X"</formula>
    </cfRule>
  </conditionalFormatting>
  <conditionalFormatting sqref="H38:H57 W38:W57">
    <cfRule type="cellIs" dxfId="320" priority="12" operator="equal">
      <formula>"O"</formula>
    </cfRule>
  </conditionalFormatting>
  <conditionalFormatting sqref="I38:I57 X38:X57">
    <cfRule type="cellIs" dxfId="319" priority="11" operator="equal">
      <formula>"O"</formula>
    </cfRule>
  </conditionalFormatting>
  <conditionalFormatting sqref="J38:J57 Y38:Y57">
    <cfRule type="cellIs" dxfId="318" priority="10" operator="equal">
      <formula>"O"</formula>
    </cfRule>
  </conditionalFormatting>
  <conditionalFormatting sqref="K38:K57 Z38:Z57">
    <cfRule type="cellIs" dxfId="317" priority="9" operator="equal">
      <formula>"O"</formula>
    </cfRule>
  </conditionalFormatting>
  <conditionalFormatting sqref="L38:L57 AA38:AA57">
    <cfRule type="cellIs" dxfId="316" priority="8" operator="equal">
      <formula>"O"</formula>
    </cfRule>
  </conditionalFormatting>
  <conditionalFormatting sqref="M38:M57 AB38:AB57">
    <cfRule type="cellIs" dxfId="315" priority="7" operator="equal">
      <formula>"O"</formula>
    </cfRule>
  </conditionalFormatting>
  <conditionalFormatting sqref="N38:N57 AC38:AC57">
    <cfRule type="cellIs" dxfId="314" priority="6" operator="equal">
      <formula>"O"</formula>
    </cfRule>
  </conditionalFormatting>
  <conditionalFormatting sqref="O38:O57 AD38:AD57">
    <cfRule type="cellIs" dxfId="313" priority="5" operator="equal">
      <formula>"O"</formula>
    </cfRule>
  </conditionalFormatting>
  <conditionalFormatting sqref="AO14:AO23">
    <cfRule type="containsBlanks" priority="1">
      <formula>LEN(TRIM(AO14))=0</formula>
    </cfRule>
    <cfRule type="cellIs" dxfId="312" priority="2" operator="equal">
      <formula>"O"</formula>
    </cfRule>
    <cfRule type="notContainsBlanks" dxfId="311" priority="4">
      <formula>LEN(TRIM(AO14))&gt;0</formula>
    </cfRule>
  </conditionalFormatting>
  <dataValidations count="20">
    <dataValidation type="list" allowBlank="1" showInputMessage="1" showErrorMessage="1" sqref="E14">
      <formula1>INDIRECT($CN$4)</formula1>
    </dataValidation>
    <dataValidation type="list" allowBlank="1" showInputMessage="1" showErrorMessage="1" sqref="E15">
      <formula1>INDIRECT($CQ$4)</formula1>
    </dataValidation>
    <dataValidation type="list" allowBlank="1" showInputMessage="1" showErrorMessage="1" sqref="E23">
      <formula1>INDIRECT($CP$4)</formula1>
    </dataValidation>
    <dataValidation type="list" allowBlank="1" showInputMessage="1" showErrorMessage="1" sqref="E16">
      <formula1>INDIRECT($CO$4)</formula1>
    </dataValidation>
    <dataValidation type="list" allowBlank="1" showInputMessage="1" showErrorMessage="1" sqref="E17">
      <formula1>INDIRECT($CR$4)</formula1>
    </dataValidation>
    <dataValidation type="list" allowBlank="1" showInputMessage="1" showErrorMessage="1" sqref="E18">
      <formula1>INDIRECT($CS$4)</formula1>
    </dataValidation>
    <dataValidation type="list" allowBlank="1" showInputMessage="1" showErrorMessage="1" sqref="E19">
      <formula1>INDIRECT($CT$4)</formula1>
    </dataValidation>
    <dataValidation type="list" allowBlank="1" showInputMessage="1" showErrorMessage="1" sqref="E20">
      <formula1>INDIRECT($CU$4)</formula1>
    </dataValidation>
    <dataValidation type="list" allowBlank="1" showInputMessage="1" showErrorMessage="1" sqref="E21">
      <formula1>INDIRECT($CV$4)</formula1>
    </dataValidation>
    <dataValidation type="list" allowBlank="1" showInputMessage="1" showErrorMessage="1" sqref="E22">
      <formula1>INDIRECT($CW$4)</formula1>
    </dataValidation>
    <dataValidation type="list" allowBlank="1" showInputMessage="1" showErrorMessage="1" sqref="E26">
      <formula1>INDIRECT($DA$4)</formula1>
    </dataValidation>
    <dataValidation type="list" allowBlank="1" showInputMessage="1" showErrorMessage="1" sqref="E27">
      <formula1>INDIRECT($CX$4)</formula1>
    </dataValidation>
    <dataValidation type="list" allowBlank="1" showInputMessage="1" showErrorMessage="1" sqref="E28">
      <formula1>INDIRECT($CY$4)</formula1>
    </dataValidation>
    <dataValidation type="list" allowBlank="1" showInputMessage="1" showErrorMessage="1" sqref="E29">
      <formula1>INDIRECT($CZ$4)</formula1>
    </dataValidation>
    <dataValidation type="list" allowBlank="1" showInputMessage="1" showErrorMessage="1" sqref="AD16:AE16">
      <formula1>$BI$1:$BI$9</formula1>
    </dataValidation>
    <dataValidation type="list" allowBlank="1" showInputMessage="1" showErrorMessage="1" sqref="AD17:AE17">
      <formula1>$BI$1:$BI$5</formula1>
    </dataValidation>
    <dataValidation type="list" allowBlank="1" showInputMessage="1" showErrorMessage="1" sqref="AF41:AL44">
      <formula1>$BI$16:$BI$32</formula1>
    </dataValidation>
    <dataValidation type="list" allowBlank="1" showInputMessage="1" showErrorMessage="1" sqref="AO8">
      <formula1>$BI$2:$BI$5</formula1>
    </dataValidation>
    <dataValidation type="list" allowBlank="1" showInputMessage="1" showErrorMessage="1" sqref="AD14:AE15 AD27:AE29 AD21:AE23">
      <formula1>$BI$1:$BI$2</formula1>
    </dataValidation>
    <dataValidation type="list" allowBlank="1" showInputMessage="1" showErrorMessage="1" sqref="AD18:AE20 AD26:AE26">
      <formula1>$BI$1:$BI$11</formula1>
    </dataValidation>
  </dataValidations>
  <hyperlinks>
    <hyperlink ref="D14" location="CPU!A1" display="CPU"/>
    <hyperlink ref="D15" location="메인보드!A1" display="메인보드"/>
    <hyperlink ref="D16" location="메모리!A1" display="RAM"/>
    <hyperlink ref="D17" location="그래픽카드!A1" display="그래픽카드"/>
    <hyperlink ref="D18" location="HDD!A1" display="HDD"/>
    <hyperlink ref="D19" location="SSD!A1" display="SSD"/>
    <hyperlink ref="D20" location="ODD!A1" display="ODD"/>
    <hyperlink ref="D21" location="파워서플라이!A1" display="파워"/>
    <hyperlink ref="D22" location="케이스!A1" display="케이스"/>
    <hyperlink ref="D23" location="CPU쿨러!A1" display="CPU쿨러"/>
    <hyperlink ref="D26" location="모니터!A1" display="모니터"/>
    <hyperlink ref="D27" location="키보드!A1" display="키보드"/>
    <hyperlink ref="D28" location="마우스!A1" display="마우스"/>
    <hyperlink ref="D29" location="헤드셋!A1" display="헤드셋"/>
    <hyperlink ref="D30" location="SW!A1" display="S/W"/>
    <hyperlink ref="D31" location="기타!A1" display="기타"/>
  </hyperlinks>
  <pageMargins left="0.7" right="0.7" top="0.75" bottom="0.75" header="0.3" footer="0.3"/>
  <pageSetup paperSize="9" orientation="portrait" horizontalDpi="0" verticalDpi="0" r:id="rId1"/>
  <ignoredErrors>
    <ignoredError sqref="BQ16" formula="1"/>
    <ignoredError sqref="BO15" numberStoredAsText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73133ADC-8281-4BC3-BF37-815FAF113110}">
            <xm:f>AND(ISNUMBER($AF$41),'예아!'!$AR$8&gt;'예아!'!$AV$8)</xm:f>
            <x14:dxf>
              <font>
                <b/>
                <i val="0"/>
                <color rgb="FFFF6600"/>
              </font>
            </x14:dxf>
          </x14:cfRule>
          <x14:cfRule type="expression" priority="16" id="{03AD737A-82D7-47D2-8130-12382F73FCAB}">
            <xm:f>'예아!'!$AR$8='예아!'!$AV$8</xm:f>
            <x14:dxf>
              <font>
                <b/>
                <i val="0"/>
                <color theme="6" tint="-0.24994659260841701"/>
              </font>
            </x14:dxf>
          </x14:cfRule>
          <x14:cfRule type="expression" priority="17" id="{130BD887-5DF8-4067-9E30-2B5C8885A290}">
            <xm:f>'예아!'!$AR$8&lt;'예아!'!$AV$8</xm:f>
            <x14:dxf>
              <font>
                <b/>
                <i val="0"/>
                <color rgb="FF0099FF"/>
              </font>
            </x14:dxf>
          </x14:cfRule>
          <xm:sqref>AF41:AL44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</sheetPr>
  <dimension ref="A1:AA51"/>
  <sheetViews>
    <sheetView showRowColHeaders="0"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" sqref="B10"/>
    </sheetView>
  </sheetViews>
  <sheetFormatPr defaultColWidth="9" defaultRowHeight="13.2" x14ac:dyDescent="0.3"/>
  <cols>
    <col min="1" max="1" width="2.5" style="125" customWidth="1"/>
    <col min="2" max="2" width="13" style="144" bestFit="1" customWidth="1"/>
    <col min="3" max="3" width="10.19921875" style="125" bestFit="1" customWidth="1"/>
    <col min="4" max="4" width="5.59765625" style="125" bestFit="1" customWidth="1"/>
    <col min="5" max="5" width="5.8984375" style="125" bestFit="1" customWidth="1"/>
    <col min="6" max="6" width="9.69921875" style="125" bestFit="1" customWidth="1"/>
    <col min="7" max="7" width="4.19921875" style="125" bestFit="1" customWidth="1"/>
    <col min="8" max="8" width="5.59765625" style="125" bestFit="1" customWidth="1"/>
    <col min="9" max="9" width="4.19921875" style="125" bestFit="1" customWidth="1"/>
    <col min="10" max="10" width="5.59765625" style="125" bestFit="1" customWidth="1"/>
    <col min="11" max="11" width="5.69921875" style="125" bestFit="1" customWidth="1"/>
    <col min="12" max="12" width="14.69921875" style="125" bestFit="1" customWidth="1"/>
    <col min="13" max="13" width="7.5" style="125" bestFit="1" customWidth="1"/>
    <col min="14" max="14" width="4.09765625" style="125" bestFit="1" customWidth="1"/>
    <col min="15" max="15" width="3.5" style="125" bestFit="1" customWidth="1"/>
    <col min="16" max="16" width="1.59765625" style="125" hidden="1" customWidth="1"/>
    <col min="17" max="20" width="6.296875" style="125" hidden="1" customWidth="1"/>
    <col min="21" max="27" width="2.5" style="125" customWidth="1"/>
    <col min="28" max="16384" width="9" style="125"/>
  </cols>
  <sheetData>
    <row r="1" spans="1:27" ht="24.6" customHeight="1" x14ac:dyDescent="0.3">
      <c r="A1" s="125">
        <v>1</v>
      </c>
      <c r="Q1" s="125" t="s">
        <v>1140</v>
      </c>
    </row>
    <row r="2" spans="1:27" x14ac:dyDescent="0.3">
      <c r="B2" s="128" t="s">
        <v>0</v>
      </c>
      <c r="C2" s="128" t="s">
        <v>197</v>
      </c>
      <c r="D2" s="128" t="s">
        <v>2</v>
      </c>
      <c r="E2" s="128" t="s">
        <v>297</v>
      </c>
      <c r="F2" s="128" t="s">
        <v>794</v>
      </c>
      <c r="G2" s="128" t="s">
        <v>1141</v>
      </c>
      <c r="H2" s="128" t="s">
        <v>1142</v>
      </c>
      <c r="I2" s="128" t="s">
        <v>1143</v>
      </c>
      <c r="J2" s="128" t="s">
        <v>1144</v>
      </c>
      <c r="K2" s="128" t="s">
        <v>1145</v>
      </c>
      <c r="L2" s="128" t="s">
        <v>795</v>
      </c>
      <c r="M2" s="128" t="s">
        <v>796</v>
      </c>
      <c r="N2" s="128" t="s">
        <v>354</v>
      </c>
      <c r="O2" s="128" t="s">
        <v>797</v>
      </c>
      <c r="Q2" s="127" t="s">
        <v>1147</v>
      </c>
      <c r="R2" s="128" t="s">
        <v>1146</v>
      </c>
      <c r="S2" s="127" t="s">
        <v>1186</v>
      </c>
      <c r="T2" s="256" t="s">
        <v>1555</v>
      </c>
    </row>
    <row r="3" spans="1:27" x14ac:dyDescent="0.3">
      <c r="B3" s="130" t="s">
        <v>1198</v>
      </c>
      <c r="C3" s="134"/>
      <c r="D3" s="134"/>
      <c r="E3" s="134"/>
      <c r="F3" s="134"/>
      <c r="G3" s="134"/>
      <c r="H3" s="134"/>
      <c r="I3" s="134"/>
      <c r="J3" s="134"/>
      <c r="K3" s="134"/>
      <c r="L3" s="232" t="s">
        <v>1269</v>
      </c>
      <c r="M3" s="134"/>
      <c r="N3" s="134"/>
      <c r="O3" s="129" t="s">
        <v>1222</v>
      </c>
      <c r="P3" s="134"/>
      <c r="Q3" s="7" t="s">
        <v>1323</v>
      </c>
      <c r="R3" s="134"/>
      <c r="S3" s="129" t="s">
        <v>87</v>
      </c>
    </row>
    <row r="4" spans="1:27" x14ac:dyDescent="0.3">
      <c r="B4" s="130" t="s">
        <v>1267</v>
      </c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29" t="s">
        <v>1222</v>
      </c>
      <c r="P4" s="134"/>
      <c r="Q4" s="134"/>
      <c r="R4" s="134"/>
      <c r="S4" s="134"/>
    </row>
    <row r="5" spans="1:27" x14ac:dyDescent="0.3">
      <c r="B5" s="128" t="s">
        <v>1201</v>
      </c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9" t="s">
        <v>1222</v>
      </c>
      <c r="P5" s="134"/>
      <c r="Q5" s="127"/>
      <c r="R5" s="128"/>
      <c r="S5" s="127"/>
    </row>
    <row r="6" spans="1:27" x14ac:dyDescent="0.3">
      <c r="B6" s="148" t="s">
        <v>798</v>
      </c>
      <c r="C6" s="143">
        <v>359300</v>
      </c>
      <c r="D6" s="129" t="s">
        <v>799</v>
      </c>
      <c r="E6" s="129">
        <v>1151</v>
      </c>
      <c r="F6" s="129" t="s">
        <v>1134</v>
      </c>
      <c r="G6" s="149">
        <v>4</v>
      </c>
      <c r="H6" s="149">
        <v>8</v>
      </c>
      <c r="I6" s="149">
        <v>4</v>
      </c>
      <c r="J6" s="149">
        <v>4.2</v>
      </c>
      <c r="K6" s="149">
        <v>8</v>
      </c>
      <c r="L6" s="129" t="s">
        <v>530</v>
      </c>
      <c r="M6" s="129" t="s">
        <v>800</v>
      </c>
      <c r="N6" s="149">
        <v>91</v>
      </c>
      <c r="O6" s="129" t="s">
        <v>87</v>
      </c>
      <c r="Q6" s="129" t="s">
        <v>798</v>
      </c>
      <c r="R6" s="125">
        <v>2133</v>
      </c>
      <c r="T6" s="129" t="s">
        <v>87</v>
      </c>
    </row>
    <row r="7" spans="1:27" x14ac:dyDescent="0.3">
      <c r="B7" s="148" t="s">
        <v>801</v>
      </c>
      <c r="C7" s="143">
        <v>322400</v>
      </c>
      <c r="D7" s="129" t="s">
        <v>799</v>
      </c>
      <c r="E7" s="129">
        <v>1151</v>
      </c>
      <c r="F7" s="129" t="s">
        <v>1134</v>
      </c>
      <c r="G7" s="149">
        <v>4</v>
      </c>
      <c r="H7" s="149">
        <v>8</v>
      </c>
      <c r="I7" s="149">
        <v>3.4</v>
      </c>
      <c r="J7" s="149">
        <v>4</v>
      </c>
      <c r="K7" s="149">
        <v>8</v>
      </c>
      <c r="L7" s="129" t="s">
        <v>530</v>
      </c>
      <c r="M7" s="129" t="s">
        <v>800</v>
      </c>
      <c r="N7" s="149">
        <v>65</v>
      </c>
      <c r="O7" s="129" t="s">
        <v>1222</v>
      </c>
      <c r="Q7" s="125" t="s">
        <v>801</v>
      </c>
      <c r="R7" s="125">
        <v>2133</v>
      </c>
      <c r="AA7" s="148"/>
    </row>
    <row r="8" spans="1:27" x14ac:dyDescent="0.3">
      <c r="B8" s="148" t="s">
        <v>802</v>
      </c>
      <c r="C8" s="143">
        <v>257300</v>
      </c>
      <c r="D8" s="129" t="s">
        <v>799</v>
      </c>
      <c r="E8" s="129">
        <v>1151</v>
      </c>
      <c r="F8" s="129" t="s">
        <v>1134</v>
      </c>
      <c r="G8" s="129">
        <v>4</v>
      </c>
      <c r="H8" s="129">
        <v>4</v>
      </c>
      <c r="I8" s="149">
        <v>3.5</v>
      </c>
      <c r="J8" s="149">
        <v>3.9</v>
      </c>
      <c r="K8" s="149">
        <v>6</v>
      </c>
      <c r="L8" s="129" t="s">
        <v>530</v>
      </c>
      <c r="M8" s="129" t="s">
        <v>800</v>
      </c>
      <c r="N8" s="149">
        <v>91</v>
      </c>
      <c r="O8" s="129" t="s">
        <v>87</v>
      </c>
      <c r="Q8" s="125" t="s">
        <v>802</v>
      </c>
      <c r="R8" s="125">
        <v>2133</v>
      </c>
      <c r="T8" s="129" t="s">
        <v>87</v>
      </c>
    </row>
    <row r="9" spans="1:27" x14ac:dyDescent="0.3">
      <c r="B9" s="148" t="s">
        <v>803</v>
      </c>
      <c r="C9" s="143">
        <v>231500</v>
      </c>
      <c r="D9" s="129" t="s">
        <v>799</v>
      </c>
      <c r="E9" s="129">
        <v>1151</v>
      </c>
      <c r="F9" s="129" t="s">
        <v>1134</v>
      </c>
      <c r="G9" s="129">
        <v>4</v>
      </c>
      <c r="H9" s="129">
        <v>4</v>
      </c>
      <c r="I9" s="149">
        <v>3.3</v>
      </c>
      <c r="J9" s="149">
        <v>3.9</v>
      </c>
      <c r="K9" s="149">
        <v>6</v>
      </c>
      <c r="L9" s="129" t="s">
        <v>530</v>
      </c>
      <c r="M9" s="129" t="s">
        <v>800</v>
      </c>
      <c r="N9" s="149">
        <v>65</v>
      </c>
      <c r="O9" s="129" t="s">
        <v>1222</v>
      </c>
      <c r="Q9" s="125" t="s">
        <v>803</v>
      </c>
      <c r="R9" s="125">
        <v>2133</v>
      </c>
    </row>
    <row r="10" spans="1:27" x14ac:dyDescent="0.3">
      <c r="B10" s="148" t="s">
        <v>804</v>
      </c>
      <c r="C10" s="143">
        <v>209300</v>
      </c>
      <c r="D10" s="129" t="s">
        <v>799</v>
      </c>
      <c r="E10" s="129">
        <v>1151</v>
      </c>
      <c r="F10" s="129" t="s">
        <v>1134</v>
      </c>
      <c r="G10" s="129">
        <v>4</v>
      </c>
      <c r="H10" s="129">
        <v>4</v>
      </c>
      <c r="I10" s="149">
        <v>3.2</v>
      </c>
      <c r="J10" s="149">
        <v>3.6</v>
      </c>
      <c r="K10" s="149">
        <v>6</v>
      </c>
      <c r="L10" s="129" t="s">
        <v>530</v>
      </c>
      <c r="M10" s="129" t="s">
        <v>805</v>
      </c>
      <c r="N10" s="149">
        <v>65</v>
      </c>
      <c r="O10" s="129" t="s">
        <v>1222</v>
      </c>
      <c r="Q10" s="125" t="s">
        <v>804</v>
      </c>
      <c r="R10" s="125">
        <v>2133</v>
      </c>
    </row>
    <row r="11" spans="1:27" x14ac:dyDescent="0.3">
      <c r="B11" s="148" t="s">
        <v>806</v>
      </c>
      <c r="C11" s="143">
        <v>170200</v>
      </c>
      <c r="D11" s="129" t="s">
        <v>799</v>
      </c>
      <c r="E11" s="149">
        <v>1151</v>
      </c>
      <c r="F11" s="129" t="s">
        <v>1134</v>
      </c>
      <c r="G11" s="129">
        <v>2</v>
      </c>
      <c r="H11" s="129">
        <v>4</v>
      </c>
      <c r="I11" s="149">
        <v>3.9</v>
      </c>
      <c r="J11" s="150" t="s">
        <v>807</v>
      </c>
      <c r="K11" s="149">
        <v>6</v>
      </c>
      <c r="L11" s="129" t="s">
        <v>530</v>
      </c>
      <c r="M11" s="129" t="s">
        <v>800</v>
      </c>
      <c r="N11" s="151">
        <v>51</v>
      </c>
      <c r="O11" s="129" t="s">
        <v>1222</v>
      </c>
      <c r="Q11" s="125" t="s">
        <v>806</v>
      </c>
      <c r="R11" s="125">
        <v>2133</v>
      </c>
    </row>
    <row r="12" spans="1:27" x14ac:dyDescent="0.3">
      <c r="B12" s="148" t="s">
        <v>808</v>
      </c>
      <c r="C12" s="143">
        <v>151200</v>
      </c>
      <c r="D12" s="129" t="s">
        <v>799</v>
      </c>
      <c r="E12" s="149">
        <v>1151</v>
      </c>
      <c r="F12" s="129" t="s">
        <v>1134</v>
      </c>
      <c r="G12" s="129">
        <v>2</v>
      </c>
      <c r="H12" s="129">
        <v>4</v>
      </c>
      <c r="I12" s="149">
        <v>3.8</v>
      </c>
      <c r="J12" s="150" t="s">
        <v>807</v>
      </c>
      <c r="K12" s="149">
        <v>4</v>
      </c>
      <c r="L12" s="129" t="s">
        <v>530</v>
      </c>
      <c r="M12" s="129" t="s">
        <v>800</v>
      </c>
      <c r="N12" s="151">
        <v>51</v>
      </c>
      <c r="O12" s="129" t="s">
        <v>1222</v>
      </c>
      <c r="Q12" s="125" t="s">
        <v>808</v>
      </c>
      <c r="R12" s="125">
        <v>2133</v>
      </c>
    </row>
    <row r="13" spans="1:27" x14ac:dyDescent="0.3">
      <c r="B13" s="148" t="s">
        <v>809</v>
      </c>
      <c r="C13" s="143">
        <v>117300</v>
      </c>
      <c r="D13" s="129" t="s">
        <v>799</v>
      </c>
      <c r="E13" s="149">
        <v>1151</v>
      </c>
      <c r="F13" s="129" t="s">
        <v>1134</v>
      </c>
      <c r="G13" s="129">
        <v>2</v>
      </c>
      <c r="H13" s="129">
        <v>4</v>
      </c>
      <c r="I13" s="149">
        <v>3.7</v>
      </c>
      <c r="J13" s="150" t="s">
        <v>807</v>
      </c>
      <c r="K13" s="149">
        <v>3</v>
      </c>
      <c r="L13" s="129" t="s">
        <v>530</v>
      </c>
      <c r="M13" s="129" t="s">
        <v>800</v>
      </c>
      <c r="N13" s="151">
        <v>51</v>
      </c>
      <c r="O13" s="129" t="s">
        <v>1222</v>
      </c>
      <c r="Q13" s="125" t="s">
        <v>809</v>
      </c>
      <c r="R13" s="125">
        <v>2133</v>
      </c>
    </row>
    <row r="14" spans="1:27" x14ac:dyDescent="0.3">
      <c r="B14" s="148" t="s">
        <v>810</v>
      </c>
      <c r="C14" s="143">
        <v>94900</v>
      </c>
      <c r="D14" s="129" t="s">
        <v>799</v>
      </c>
      <c r="E14" s="149">
        <v>1151</v>
      </c>
      <c r="F14" s="129" t="s">
        <v>1134</v>
      </c>
      <c r="G14" s="129">
        <v>2</v>
      </c>
      <c r="H14" s="129">
        <v>2</v>
      </c>
      <c r="I14" s="149">
        <v>3.6</v>
      </c>
      <c r="J14" s="150" t="s">
        <v>807</v>
      </c>
      <c r="K14" s="149">
        <v>3</v>
      </c>
      <c r="L14" s="129" t="s">
        <v>530</v>
      </c>
      <c r="M14" s="129" t="s">
        <v>800</v>
      </c>
      <c r="N14" s="151">
        <v>51</v>
      </c>
      <c r="O14" s="129" t="s">
        <v>1222</v>
      </c>
      <c r="Q14" s="125" t="s">
        <v>1175</v>
      </c>
      <c r="R14" s="125">
        <v>2133</v>
      </c>
    </row>
    <row r="15" spans="1:27" x14ac:dyDescent="0.3">
      <c r="B15" s="148" t="s">
        <v>811</v>
      </c>
      <c r="C15" s="143">
        <v>76800</v>
      </c>
      <c r="D15" s="129" t="s">
        <v>799</v>
      </c>
      <c r="E15" s="149">
        <v>1151</v>
      </c>
      <c r="F15" s="129" t="s">
        <v>1134</v>
      </c>
      <c r="G15" s="129">
        <v>2</v>
      </c>
      <c r="H15" s="129">
        <v>2</v>
      </c>
      <c r="I15" s="149">
        <v>3.5</v>
      </c>
      <c r="J15" s="150" t="s">
        <v>807</v>
      </c>
      <c r="K15" s="149">
        <v>3</v>
      </c>
      <c r="L15" s="129" t="s">
        <v>530</v>
      </c>
      <c r="M15" s="129" t="s">
        <v>800</v>
      </c>
      <c r="N15" s="151">
        <v>51</v>
      </c>
      <c r="O15" s="129" t="s">
        <v>1222</v>
      </c>
      <c r="Q15" s="125" t="s">
        <v>1176</v>
      </c>
      <c r="R15" s="125">
        <v>2133</v>
      </c>
    </row>
    <row r="16" spans="1:27" x14ac:dyDescent="0.3">
      <c r="B16" s="148" t="s">
        <v>1172</v>
      </c>
      <c r="C16" s="143">
        <v>45000</v>
      </c>
      <c r="D16" s="129" t="s">
        <v>799</v>
      </c>
      <c r="E16" s="149">
        <v>1151</v>
      </c>
      <c r="F16" s="129" t="s">
        <v>1134</v>
      </c>
      <c r="G16" s="129">
        <v>2</v>
      </c>
      <c r="H16" s="129">
        <v>2</v>
      </c>
      <c r="I16" s="149">
        <v>2.9</v>
      </c>
      <c r="J16" s="150" t="s">
        <v>807</v>
      </c>
      <c r="K16" s="149">
        <v>2</v>
      </c>
      <c r="L16" s="129" t="s">
        <v>3049</v>
      </c>
      <c r="M16" s="129" t="s">
        <v>1174</v>
      </c>
      <c r="N16" s="151">
        <v>51</v>
      </c>
      <c r="O16" s="129" t="s">
        <v>1222</v>
      </c>
      <c r="Q16" s="125" t="s">
        <v>1177</v>
      </c>
      <c r="R16" s="125">
        <v>2133</v>
      </c>
    </row>
    <row r="17" spans="2:19" x14ac:dyDescent="0.3">
      <c r="B17" s="148" t="s">
        <v>1173</v>
      </c>
      <c r="C17" s="143">
        <v>37090</v>
      </c>
      <c r="D17" s="129" t="s">
        <v>799</v>
      </c>
      <c r="E17" s="149">
        <v>1151</v>
      </c>
      <c r="F17" s="129" t="s">
        <v>1134</v>
      </c>
      <c r="G17" s="129">
        <v>2</v>
      </c>
      <c r="H17" s="129">
        <v>2</v>
      </c>
      <c r="I17" s="149">
        <v>2.8</v>
      </c>
      <c r="J17" s="150" t="s">
        <v>807</v>
      </c>
      <c r="K17" s="149">
        <v>2</v>
      </c>
      <c r="L17" s="129" t="s">
        <v>3049</v>
      </c>
      <c r="M17" s="129" t="s">
        <v>1174</v>
      </c>
      <c r="N17" s="151">
        <v>51</v>
      </c>
      <c r="O17" s="129" t="s">
        <v>1222</v>
      </c>
      <c r="Q17" s="125" t="s">
        <v>1178</v>
      </c>
      <c r="R17" s="125">
        <v>2133</v>
      </c>
    </row>
    <row r="18" spans="2:19" x14ac:dyDescent="0.3">
      <c r="B18" s="148" t="s">
        <v>813</v>
      </c>
      <c r="C18" s="143">
        <v>281110</v>
      </c>
      <c r="D18" s="129" t="s">
        <v>799</v>
      </c>
      <c r="E18" s="129" t="s">
        <v>419</v>
      </c>
      <c r="F18" s="129" t="s">
        <v>1135</v>
      </c>
      <c r="G18" s="149">
        <v>8</v>
      </c>
      <c r="H18" s="149">
        <v>16</v>
      </c>
      <c r="I18" s="149">
        <v>3</v>
      </c>
      <c r="J18" s="149">
        <v>3.5</v>
      </c>
      <c r="K18" s="149">
        <v>20</v>
      </c>
      <c r="L18" s="234" t="s">
        <v>1269</v>
      </c>
      <c r="M18" s="152" t="s">
        <v>807</v>
      </c>
      <c r="N18" s="149">
        <v>140</v>
      </c>
      <c r="O18" s="129" t="s">
        <v>87</v>
      </c>
      <c r="Q18" s="125" t="s">
        <v>813</v>
      </c>
      <c r="R18" s="125">
        <v>2133</v>
      </c>
      <c r="S18" s="129" t="s">
        <v>87</v>
      </c>
    </row>
    <row r="19" spans="2:19" x14ac:dyDescent="0.3">
      <c r="B19" s="148" t="s">
        <v>814</v>
      </c>
      <c r="C19" s="143">
        <v>423100</v>
      </c>
      <c r="D19" s="129" t="s">
        <v>799</v>
      </c>
      <c r="E19" s="129" t="s">
        <v>419</v>
      </c>
      <c r="F19" s="129" t="s">
        <v>1135</v>
      </c>
      <c r="G19" s="149">
        <v>6</v>
      </c>
      <c r="H19" s="149">
        <v>12</v>
      </c>
      <c r="I19" s="149">
        <v>3.3</v>
      </c>
      <c r="J19" s="149">
        <v>3.6</v>
      </c>
      <c r="K19" s="149">
        <v>15</v>
      </c>
      <c r="L19" s="234" t="s">
        <v>1269</v>
      </c>
      <c r="M19" s="152" t="s">
        <v>807</v>
      </c>
      <c r="N19" s="149">
        <v>140</v>
      </c>
      <c r="O19" s="129" t="s">
        <v>87</v>
      </c>
      <c r="Q19" s="125" t="s">
        <v>814</v>
      </c>
      <c r="R19" s="125">
        <v>2133</v>
      </c>
      <c r="S19" s="129" t="s">
        <v>87</v>
      </c>
    </row>
    <row r="20" spans="2:19" x14ac:dyDescent="0.3">
      <c r="B20" s="148" t="s">
        <v>815</v>
      </c>
      <c r="C20" s="143">
        <v>377100</v>
      </c>
      <c r="D20" s="129" t="s">
        <v>799</v>
      </c>
      <c r="E20" s="129">
        <v>1150</v>
      </c>
      <c r="F20" s="129" t="s">
        <v>1136</v>
      </c>
      <c r="G20" s="149">
        <v>4</v>
      </c>
      <c r="H20" s="149">
        <v>8</v>
      </c>
      <c r="I20" s="149">
        <v>4</v>
      </c>
      <c r="J20" s="149">
        <v>4.4000000000000004</v>
      </c>
      <c r="K20" s="149">
        <v>8</v>
      </c>
      <c r="L20" s="129" t="s">
        <v>388</v>
      </c>
      <c r="M20" s="129" t="s">
        <v>816</v>
      </c>
      <c r="N20" s="149">
        <v>88</v>
      </c>
      <c r="O20" s="129" t="s">
        <v>87</v>
      </c>
      <c r="Q20" s="125" t="s">
        <v>815</v>
      </c>
      <c r="R20" s="134">
        <v>1600</v>
      </c>
    </row>
    <row r="21" spans="2:19" x14ac:dyDescent="0.3">
      <c r="B21" s="148" t="s">
        <v>817</v>
      </c>
      <c r="C21" s="143">
        <v>334100</v>
      </c>
      <c r="D21" s="129" t="s">
        <v>799</v>
      </c>
      <c r="E21" s="129">
        <v>1150</v>
      </c>
      <c r="F21" s="129" t="s">
        <v>1136</v>
      </c>
      <c r="G21" s="149">
        <v>4</v>
      </c>
      <c r="H21" s="149">
        <v>8</v>
      </c>
      <c r="I21" s="149">
        <v>3.5</v>
      </c>
      <c r="J21" s="149">
        <v>3.9</v>
      </c>
      <c r="K21" s="149">
        <v>8</v>
      </c>
      <c r="L21" s="129" t="s">
        <v>388</v>
      </c>
      <c r="M21" s="129" t="s">
        <v>818</v>
      </c>
      <c r="N21" s="149">
        <v>84</v>
      </c>
      <c r="O21" s="129" t="s">
        <v>1222</v>
      </c>
      <c r="Q21" s="125" t="s">
        <v>817</v>
      </c>
      <c r="R21" s="134">
        <v>1600</v>
      </c>
    </row>
    <row r="22" spans="2:19" x14ac:dyDescent="0.3">
      <c r="B22" s="148" t="s">
        <v>819</v>
      </c>
      <c r="C22" s="143">
        <v>361380</v>
      </c>
      <c r="D22" s="129" t="s">
        <v>799</v>
      </c>
      <c r="E22" s="129">
        <v>1150</v>
      </c>
      <c r="F22" s="129" t="s">
        <v>1136</v>
      </c>
      <c r="G22" s="149">
        <v>4</v>
      </c>
      <c r="H22" s="149">
        <v>8</v>
      </c>
      <c r="I22" s="149">
        <v>3.4</v>
      </c>
      <c r="J22" s="149">
        <v>3.9</v>
      </c>
      <c r="K22" s="149">
        <v>8</v>
      </c>
      <c r="L22" s="129" t="s">
        <v>388</v>
      </c>
      <c r="M22" s="129" t="s">
        <v>818</v>
      </c>
      <c r="N22" s="149">
        <v>84</v>
      </c>
      <c r="O22" s="129" t="s">
        <v>1222</v>
      </c>
      <c r="Q22" s="125" t="s">
        <v>819</v>
      </c>
      <c r="R22" s="134">
        <v>1600</v>
      </c>
    </row>
    <row r="23" spans="2:19" x14ac:dyDescent="0.3">
      <c r="B23" s="148" t="s">
        <v>820</v>
      </c>
      <c r="C23" s="143">
        <v>234200</v>
      </c>
      <c r="D23" s="129" t="s">
        <v>799</v>
      </c>
      <c r="E23" s="129">
        <v>1150</v>
      </c>
      <c r="F23" s="129" t="s">
        <v>1136</v>
      </c>
      <c r="G23" s="129">
        <v>4</v>
      </c>
      <c r="H23" s="129">
        <v>4</v>
      </c>
      <c r="I23" s="149">
        <v>3.4</v>
      </c>
      <c r="J23" s="149">
        <v>3.8</v>
      </c>
      <c r="K23" s="149">
        <v>6</v>
      </c>
      <c r="L23" s="129" t="s">
        <v>388</v>
      </c>
      <c r="M23" s="129" t="s">
        <v>818</v>
      </c>
      <c r="N23" s="149">
        <v>84</v>
      </c>
      <c r="O23" s="129" t="s">
        <v>1222</v>
      </c>
      <c r="Q23" s="125" t="s">
        <v>820</v>
      </c>
      <c r="R23" s="134">
        <v>1600</v>
      </c>
    </row>
    <row r="24" spans="2:19" x14ac:dyDescent="0.3">
      <c r="B24" s="148" t="s">
        <v>821</v>
      </c>
      <c r="C24" s="143">
        <v>211600</v>
      </c>
      <c r="D24" s="129" t="s">
        <v>799</v>
      </c>
      <c r="E24" s="129">
        <v>1150</v>
      </c>
      <c r="F24" s="129" t="s">
        <v>1136</v>
      </c>
      <c r="G24" s="129">
        <v>4</v>
      </c>
      <c r="H24" s="129">
        <v>4</v>
      </c>
      <c r="I24" s="149">
        <v>3.2</v>
      </c>
      <c r="J24" s="149">
        <v>3.6</v>
      </c>
      <c r="K24" s="149">
        <v>6</v>
      </c>
      <c r="L24" s="129" t="s">
        <v>388</v>
      </c>
      <c r="M24" s="129" t="s">
        <v>800</v>
      </c>
      <c r="N24" s="149">
        <v>84</v>
      </c>
      <c r="O24" s="129" t="s">
        <v>1222</v>
      </c>
      <c r="Q24" s="125" t="s">
        <v>821</v>
      </c>
      <c r="R24" s="134">
        <v>1600</v>
      </c>
    </row>
    <row r="25" spans="2:19" x14ac:dyDescent="0.3">
      <c r="B25" s="148" t="s">
        <v>822</v>
      </c>
      <c r="C25" s="143">
        <v>193000</v>
      </c>
      <c r="D25" s="129" t="s">
        <v>799</v>
      </c>
      <c r="E25" s="129">
        <v>1150</v>
      </c>
      <c r="F25" s="129" t="s">
        <v>1136</v>
      </c>
      <c r="G25" s="129">
        <v>4</v>
      </c>
      <c r="H25" s="129">
        <v>4</v>
      </c>
      <c r="I25" s="149">
        <v>3.2</v>
      </c>
      <c r="J25" s="153">
        <v>3.4</v>
      </c>
      <c r="K25" s="149">
        <v>6</v>
      </c>
      <c r="L25" s="129" t="s">
        <v>388</v>
      </c>
      <c r="M25" s="129" t="s">
        <v>800</v>
      </c>
      <c r="N25" s="149">
        <v>84</v>
      </c>
      <c r="O25" s="129" t="s">
        <v>1222</v>
      </c>
      <c r="Q25" s="125" t="s">
        <v>822</v>
      </c>
      <c r="R25" s="134">
        <v>1600</v>
      </c>
    </row>
    <row r="26" spans="2:19" x14ac:dyDescent="0.3">
      <c r="B26" s="148" t="s">
        <v>823</v>
      </c>
      <c r="C26" s="143">
        <v>157370</v>
      </c>
      <c r="D26" s="129" t="s">
        <v>799</v>
      </c>
      <c r="E26" s="129">
        <v>1150</v>
      </c>
      <c r="F26" s="129" t="s">
        <v>1136</v>
      </c>
      <c r="G26" s="129">
        <v>2</v>
      </c>
      <c r="H26" s="129">
        <v>4</v>
      </c>
      <c r="I26" s="149">
        <v>3.8</v>
      </c>
      <c r="J26" s="150" t="s">
        <v>807</v>
      </c>
      <c r="K26" s="149">
        <v>4</v>
      </c>
      <c r="L26" s="129" t="s">
        <v>388</v>
      </c>
      <c r="M26" s="129" t="s">
        <v>800</v>
      </c>
      <c r="N26" s="151">
        <v>53</v>
      </c>
      <c r="O26" s="129" t="s">
        <v>1222</v>
      </c>
      <c r="Q26" s="125" t="s">
        <v>823</v>
      </c>
      <c r="R26" s="134">
        <v>1600</v>
      </c>
    </row>
    <row r="27" spans="2:19" x14ac:dyDescent="0.3">
      <c r="B27" s="148" t="s">
        <v>824</v>
      </c>
      <c r="C27" s="143">
        <v>118500</v>
      </c>
      <c r="D27" s="129" t="s">
        <v>799</v>
      </c>
      <c r="E27" s="129">
        <v>1150</v>
      </c>
      <c r="F27" s="129" t="s">
        <v>1136</v>
      </c>
      <c r="G27" s="129">
        <v>2</v>
      </c>
      <c r="H27" s="129">
        <v>4</v>
      </c>
      <c r="I27" s="149">
        <v>3.7</v>
      </c>
      <c r="J27" s="150" t="s">
        <v>807</v>
      </c>
      <c r="K27" s="149">
        <v>3</v>
      </c>
      <c r="L27" s="129" t="s">
        <v>388</v>
      </c>
      <c r="M27" s="129" t="s">
        <v>800</v>
      </c>
      <c r="N27" s="151">
        <v>53</v>
      </c>
      <c r="O27" s="129" t="s">
        <v>1222</v>
      </c>
      <c r="Q27" s="125" t="s">
        <v>824</v>
      </c>
      <c r="R27" s="134">
        <v>1600</v>
      </c>
    </row>
    <row r="28" spans="2:19" x14ac:dyDescent="0.3">
      <c r="B28" s="148" t="s">
        <v>825</v>
      </c>
      <c r="C28" s="143">
        <v>115000</v>
      </c>
      <c r="D28" s="129" t="s">
        <v>799</v>
      </c>
      <c r="E28" s="129">
        <v>1150</v>
      </c>
      <c r="F28" s="129" t="s">
        <v>1136</v>
      </c>
      <c r="G28" s="129">
        <v>2</v>
      </c>
      <c r="H28" s="129">
        <v>4</v>
      </c>
      <c r="I28" s="149">
        <v>3.6</v>
      </c>
      <c r="J28" s="150" t="s">
        <v>807</v>
      </c>
      <c r="K28" s="149">
        <v>3</v>
      </c>
      <c r="L28" s="129" t="s">
        <v>388</v>
      </c>
      <c r="M28" s="129" t="s">
        <v>800</v>
      </c>
      <c r="N28" s="151">
        <v>53</v>
      </c>
      <c r="O28" s="129" t="s">
        <v>1222</v>
      </c>
      <c r="Q28" s="125" t="s">
        <v>825</v>
      </c>
      <c r="R28" s="134">
        <v>1600</v>
      </c>
    </row>
    <row r="29" spans="2:19" x14ac:dyDescent="0.3">
      <c r="B29" s="148" t="s">
        <v>827</v>
      </c>
      <c r="C29" s="143">
        <v>67800</v>
      </c>
      <c r="D29" s="129" t="s">
        <v>799</v>
      </c>
      <c r="E29" s="129">
        <v>1150</v>
      </c>
      <c r="F29" s="129" t="s">
        <v>1136</v>
      </c>
      <c r="G29" s="149">
        <v>2</v>
      </c>
      <c r="H29" s="149">
        <v>2</v>
      </c>
      <c r="I29" s="149">
        <v>3.5</v>
      </c>
      <c r="J29" s="150" t="s">
        <v>807</v>
      </c>
      <c r="K29" s="149">
        <v>3</v>
      </c>
      <c r="L29" s="129" t="s">
        <v>380</v>
      </c>
      <c r="M29" s="129" t="s">
        <v>812</v>
      </c>
      <c r="N29" s="149">
        <v>53</v>
      </c>
      <c r="O29" s="129" t="s">
        <v>1222</v>
      </c>
      <c r="Q29" s="125" t="s">
        <v>1179</v>
      </c>
      <c r="R29" s="134">
        <v>1600</v>
      </c>
    </row>
    <row r="30" spans="2:19" x14ac:dyDescent="0.3">
      <c r="B30" s="148" t="s">
        <v>828</v>
      </c>
      <c r="C30" s="143">
        <v>71000</v>
      </c>
      <c r="D30" s="129" t="s">
        <v>799</v>
      </c>
      <c r="E30" s="129">
        <v>1150</v>
      </c>
      <c r="F30" s="129" t="s">
        <v>1136</v>
      </c>
      <c r="G30" s="129">
        <v>2</v>
      </c>
      <c r="H30" s="129">
        <v>2</v>
      </c>
      <c r="I30" s="129">
        <v>3.4</v>
      </c>
      <c r="J30" s="150" t="s">
        <v>807</v>
      </c>
      <c r="K30" s="149">
        <v>3</v>
      </c>
      <c r="L30" s="129" t="s">
        <v>380</v>
      </c>
      <c r="M30" s="129" t="s">
        <v>812</v>
      </c>
      <c r="N30" s="149">
        <v>53</v>
      </c>
      <c r="O30" s="129" t="s">
        <v>1222</v>
      </c>
      <c r="Q30" s="125" t="s">
        <v>1180</v>
      </c>
      <c r="R30" s="134">
        <v>1600</v>
      </c>
    </row>
    <row r="31" spans="2:19" x14ac:dyDescent="0.3">
      <c r="B31" s="148" t="s">
        <v>829</v>
      </c>
      <c r="C31" s="143">
        <v>57800</v>
      </c>
      <c r="D31" s="129" t="s">
        <v>799</v>
      </c>
      <c r="E31" s="129">
        <v>1150</v>
      </c>
      <c r="F31" s="129" t="s">
        <v>1136</v>
      </c>
      <c r="G31" s="129">
        <v>2</v>
      </c>
      <c r="H31" s="129">
        <v>2</v>
      </c>
      <c r="I31" s="149">
        <v>3.3</v>
      </c>
      <c r="J31" s="150" t="s">
        <v>807</v>
      </c>
      <c r="K31" s="149">
        <v>3</v>
      </c>
      <c r="L31" s="129" t="s">
        <v>380</v>
      </c>
      <c r="M31" s="129" t="s">
        <v>812</v>
      </c>
      <c r="N31" s="149">
        <v>53</v>
      </c>
      <c r="O31" s="129" t="s">
        <v>1222</v>
      </c>
      <c r="Q31" s="125" t="s">
        <v>1181</v>
      </c>
      <c r="R31" s="125">
        <v>1333</v>
      </c>
    </row>
    <row r="32" spans="2:19" x14ac:dyDescent="0.3">
      <c r="B32" s="148" t="s">
        <v>830</v>
      </c>
      <c r="C32" s="143">
        <v>73800</v>
      </c>
      <c r="D32" s="129" t="s">
        <v>799</v>
      </c>
      <c r="E32" s="129">
        <v>1150</v>
      </c>
      <c r="F32" s="129" t="s">
        <v>1136</v>
      </c>
      <c r="G32" s="129">
        <v>2</v>
      </c>
      <c r="H32" s="129">
        <v>2</v>
      </c>
      <c r="I32" s="129">
        <v>3.2</v>
      </c>
      <c r="J32" s="150" t="s">
        <v>807</v>
      </c>
      <c r="K32" s="149">
        <v>3</v>
      </c>
      <c r="L32" s="129" t="s">
        <v>380</v>
      </c>
      <c r="M32" s="129" t="s">
        <v>812</v>
      </c>
      <c r="N32" s="149">
        <v>53</v>
      </c>
      <c r="O32" s="129" t="s">
        <v>87</v>
      </c>
      <c r="Q32" s="125" t="s">
        <v>1182</v>
      </c>
      <c r="R32" s="125">
        <v>1333</v>
      </c>
    </row>
    <row r="33" spans="2:19" x14ac:dyDescent="0.3">
      <c r="B33" s="148" t="s">
        <v>831</v>
      </c>
      <c r="C33" s="143">
        <v>39600</v>
      </c>
      <c r="D33" s="129" t="s">
        <v>799</v>
      </c>
      <c r="E33" s="129">
        <v>1150</v>
      </c>
      <c r="F33" s="129" t="s">
        <v>1136</v>
      </c>
      <c r="G33" s="129">
        <v>2</v>
      </c>
      <c r="H33" s="129">
        <v>2</v>
      </c>
      <c r="I33" s="129">
        <v>2.9</v>
      </c>
      <c r="J33" s="150" t="s">
        <v>807</v>
      </c>
      <c r="K33" s="149">
        <v>3</v>
      </c>
      <c r="L33" s="129" t="s">
        <v>380</v>
      </c>
      <c r="M33" s="129" t="s">
        <v>800</v>
      </c>
      <c r="N33" s="149">
        <v>53</v>
      </c>
      <c r="O33" s="129" t="s">
        <v>1222</v>
      </c>
      <c r="Q33" s="125" t="s">
        <v>1183</v>
      </c>
      <c r="R33" s="125">
        <v>1333</v>
      </c>
    </row>
    <row r="34" spans="2:19" x14ac:dyDescent="0.3">
      <c r="B34" s="148" t="s">
        <v>832</v>
      </c>
      <c r="C34" s="143">
        <v>36200</v>
      </c>
      <c r="D34" s="129" t="s">
        <v>799</v>
      </c>
      <c r="E34" s="129">
        <v>1150</v>
      </c>
      <c r="F34" s="129" t="s">
        <v>1136</v>
      </c>
      <c r="G34" s="129">
        <v>2</v>
      </c>
      <c r="H34" s="129">
        <v>2</v>
      </c>
      <c r="I34" s="129">
        <v>2.8</v>
      </c>
      <c r="J34" s="150" t="s">
        <v>807</v>
      </c>
      <c r="K34" s="149">
        <v>3</v>
      </c>
      <c r="L34" s="129" t="s">
        <v>380</v>
      </c>
      <c r="M34" s="129" t="s">
        <v>800</v>
      </c>
      <c r="N34" s="149">
        <v>53</v>
      </c>
      <c r="O34" s="129" t="s">
        <v>1222</v>
      </c>
      <c r="Q34" s="125" t="s">
        <v>1184</v>
      </c>
      <c r="R34" s="125">
        <v>1333</v>
      </c>
    </row>
    <row r="35" spans="2:19" x14ac:dyDescent="0.3">
      <c r="B35" s="148" t="s">
        <v>1199</v>
      </c>
      <c r="C35" s="143"/>
      <c r="D35" s="129"/>
      <c r="E35" s="129"/>
      <c r="F35" s="129"/>
      <c r="G35" s="129"/>
      <c r="H35" s="129"/>
      <c r="I35" s="129"/>
      <c r="J35" s="150"/>
      <c r="K35" s="149"/>
      <c r="L35" s="129"/>
      <c r="M35" s="129"/>
      <c r="N35" s="149"/>
      <c r="O35" s="129" t="s">
        <v>1222</v>
      </c>
    </row>
    <row r="36" spans="2:19" x14ac:dyDescent="0.3">
      <c r="B36" s="154" t="s">
        <v>1200</v>
      </c>
      <c r="C36" s="143"/>
      <c r="D36" s="129"/>
      <c r="E36" s="129"/>
      <c r="F36" s="129"/>
      <c r="G36" s="129"/>
      <c r="H36" s="129"/>
      <c r="I36" s="129"/>
      <c r="J36" s="150"/>
      <c r="K36" s="149"/>
      <c r="L36" s="129"/>
      <c r="M36" s="129"/>
      <c r="N36" s="149"/>
      <c r="O36" s="129" t="s">
        <v>1222</v>
      </c>
    </row>
    <row r="37" spans="2:19" x14ac:dyDescent="0.3">
      <c r="B37" s="148" t="s">
        <v>1151</v>
      </c>
      <c r="C37" s="143">
        <v>72000</v>
      </c>
      <c r="D37" s="129" t="s">
        <v>834</v>
      </c>
      <c r="E37" s="129" t="s">
        <v>1152</v>
      </c>
      <c r="F37" s="129" t="s">
        <v>1153</v>
      </c>
      <c r="G37" s="149">
        <v>2</v>
      </c>
      <c r="H37" s="149">
        <v>4</v>
      </c>
      <c r="I37" s="149">
        <v>3.5</v>
      </c>
      <c r="J37" s="153">
        <v>3.8</v>
      </c>
      <c r="K37" s="155">
        <v>0</v>
      </c>
      <c r="L37" s="234" t="s">
        <v>1269</v>
      </c>
      <c r="M37" s="152" t="s">
        <v>807</v>
      </c>
      <c r="N37" s="149">
        <v>65</v>
      </c>
      <c r="O37" s="129" t="s">
        <v>1222</v>
      </c>
      <c r="Q37" s="125" t="s">
        <v>1154</v>
      </c>
      <c r="R37" s="125">
        <v>2133</v>
      </c>
      <c r="S37" s="129" t="s">
        <v>87</v>
      </c>
    </row>
    <row r="38" spans="2:19" x14ac:dyDescent="0.3">
      <c r="B38" s="148" t="s">
        <v>1158</v>
      </c>
      <c r="C38" s="143">
        <v>193300</v>
      </c>
      <c r="D38" s="129" t="s">
        <v>1132</v>
      </c>
      <c r="E38" s="129" t="s">
        <v>1152</v>
      </c>
      <c r="F38" s="129" t="s">
        <v>1159</v>
      </c>
      <c r="G38" s="149">
        <v>2</v>
      </c>
      <c r="H38" s="149">
        <v>4</v>
      </c>
      <c r="I38" s="149">
        <v>4.0999999999999996</v>
      </c>
      <c r="J38" s="153">
        <v>4.3</v>
      </c>
      <c r="K38" s="155">
        <v>0</v>
      </c>
      <c r="L38" s="129" t="s">
        <v>553</v>
      </c>
      <c r="M38" s="149">
        <v>0.72</v>
      </c>
      <c r="N38" s="149">
        <v>95</v>
      </c>
      <c r="O38" s="129" t="s">
        <v>87</v>
      </c>
      <c r="Q38" s="125" t="s">
        <v>1158</v>
      </c>
      <c r="R38" s="125">
        <v>2133</v>
      </c>
    </row>
    <row r="39" spans="2:19" x14ac:dyDescent="0.3">
      <c r="B39" s="148" t="s">
        <v>833</v>
      </c>
      <c r="C39" s="143">
        <v>146000</v>
      </c>
      <c r="D39" s="129" t="s">
        <v>834</v>
      </c>
      <c r="E39" s="129" t="s">
        <v>344</v>
      </c>
      <c r="F39" s="129" t="s">
        <v>1159</v>
      </c>
      <c r="G39" s="149">
        <v>2</v>
      </c>
      <c r="H39" s="149">
        <v>4</v>
      </c>
      <c r="I39" s="149">
        <v>3.9</v>
      </c>
      <c r="J39" s="149">
        <v>4.0999999999999996</v>
      </c>
      <c r="K39" s="155">
        <v>0</v>
      </c>
      <c r="L39" s="129" t="s">
        <v>553</v>
      </c>
      <c r="M39" s="149">
        <v>0.72</v>
      </c>
      <c r="N39" s="149">
        <v>95</v>
      </c>
      <c r="O39" s="129" t="s">
        <v>87</v>
      </c>
      <c r="Q39" s="125" t="s">
        <v>1156</v>
      </c>
      <c r="R39" s="125">
        <v>2133</v>
      </c>
    </row>
    <row r="40" spans="2:19" x14ac:dyDescent="0.3">
      <c r="B40" s="148" t="s">
        <v>1162</v>
      </c>
      <c r="C40" s="143">
        <v>126000</v>
      </c>
      <c r="D40" s="129" t="s">
        <v>1132</v>
      </c>
      <c r="E40" s="129" t="s">
        <v>1152</v>
      </c>
      <c r="F40" s="129" t="s">
        <v>1159</v>
      </c>
      <c r="G40" s="149">
        <v>2</v>
      </c>
      <c r="H40" s="149">
        <v>4</v>
      </c>
      <c r="I40" s="149">
        <v>3.6</v>
      </c>
      <c r="J40" s="149">
        <v>3.9</v>
      </c>
      <c r="K40" s="155">
        <v>0</v>
      </c>
      <c r="L40" s="129" t="s">
        <v>549</v>
      </c>
      <c r="M40" s="149">
        <v>0.75700000000000001</v>
      </c>
      <c r="N40" s="149">
        <v>95</v>
      </c>
      <c r="O40" s="129" t="s">
        <v>1163</v>
      </c>
      <c r="Q40" s="125" t="s">
        <v>1162</v>
      </c>
      <c r="R40" s="125">
        <v>2133</v>
      </c>
    </row>
    <row r="41" spans="2:19" x14ac:dyDescent="0.3">
      <c r="B41" s="148" t="s">
        <v>835</v>
      </c>
      <c r="C41" s="143">
        <v>150500</v>
      </c>
      <c r="D41" s="129" t="s">
        <v>834</v>
      </c>
      <c r="E41" s="129" t="s">
        <v>344</v>
      </c>
      <c r="F41" s="129" t="s">
        <v>1137</v>
      </c>
      <c r="G41" s="149">
        <v>2</v>
      </c>
      <c r="H41" s="149">
        <v>4</v>
      </c>
      <c r="I41" s="149">
        <v>3.7</v>
      </c>
      <c r="J41" s="149">
        <v>4</v>
      </c>
      <c r="K41" s="155">
        <v>0</v>
      </c>
      <c r="L41" s="129" t="s">
        <v>553</v>
      </c>
      <c r="M41" s="149">
        <v>0.72</v>
      </c>
      <c r="N41" s="149">
        <v>95</v>
      </c>
      <c r="O41" s="129" t="s">
        <v>87</v>
      </c>
      <c r="Q41" s="125" t="s">
        <v>1160</v>
      </c>
      <c r="R41" s="125">
        <v>2133</v>
      </c>
    </row>
    <row r="42" spans="2:19" x14ac:dyDescent="0.3">
      <c r="B42" s="148" t="s">
        <v>836</v>
      </c>
      <c r="C42" s="143">
        <v>110500</v>
      </c>
      <c r="D42" s="129" t="s">
        <v>834</v>
      </c>
      <c r="E42" s="129" t="s">
        <v>344</v>
      </c>
      <c r="F42" s="129" t="s">
        <v>1137</v>
      </c>
      <c r="G42" s="149">
        <v>2</v>
      </c>
      <c r="H42" s="149">
        <v>4</v>
      </c>
      <c r="I42" s="149">
        <v>3.3</v>
      </c>
      <c r="J42" s="149">
        <v>3.8</v>
      </c>
      <c r="K42" s="155">
        <v>0</v>
      </c>
      <c r="L42" s="129" t="s">
        <v>549</v>
      </c>
      <c r="M42" s="149">
        <v>0.72</v>
      </c>
      <c r="N42" s="149">
        <v>95</v>
      </c>
      <c r="O42" s="129" t="s">
        <v>87</v>
      </c>
      <c r="Q42" s="125" t="s">
        <v>1164</v>
      </c>
      <c r="R42" s="125">
        <v>2133</v>
      </c>
    </row>
    <row r="43" spans="2:19" x14ac:dyDescent="0.3">
      <c r="B43" s="148" t="s">
        <v>837</v>
      </c>
      <c r="C43" s="143">
        <v>93800</v>
      </c>
      <c r="D43" s="129" t="s">
        <v>834</v>
      </c>
      <c r="E43" s="129" t="s">
        <v>344</v>
      </c>
      <c r="F43" s="129" t="s">
        <v>1137</v>
      </c>
      <c r="G43" s="149">
        <v>2</v>
      </c>
      <c r="H43" s="149">
        <v>4</v>
      </c>
      <c r="I43" s="149">
        <v>3.1</v>
      </c>
      <c r="J43" s="149">
        <v>3.8</v>
      </c>
      <c r="K43" s="155">
        <v>0</v>
      </c>
      <c r="L43" s="129" t="s">
        <v>549</v>
      </c>
      <c r="M43" s="149">
        <v>0.72</v>
      </c>
      <c r="N43" s="149">
        <v>65</v>
      </c>
      <c r="O43" s="129" t="s">
        <v>1222</v>
      </c>
      <c r="Q43" s="125" t="s">
        <v>1165</v>
      </c>
      <c r="R43" s="125">
        <v>2133</v>
      </c>
    </row>
    <row r="44" spans="2:19" x14ac:dyDescent="0.3">
      <c r="B44" s="148" t="s">
        <v>1150</v>
      </c>
      <c r="C44" s="143">
        <v>84000</v>
      </c>
      <c r="D44" s="129" t="s">
        <v>834</v>
      </c>
      <c r="E44" s="129" t="s">
        <v>1152</v>
      </c>
      <c r="F44" s="129" t="s">
        <v>1137</v>
      </c>
      <c r="G44" s="149">
        <v>2</v>
      </c>
      <c r="H44" s="149">
        <v>4</v>
      </c>
      <c r="I44" s="149">
        <v>3.7</v>
      </c>
      <c r="J44" s="153">
        <v>4</v>
      </c>
      <c r="K44" s="155">
        <v>0</v>
      </c>
      <c r="L44" s="234" t="s">
        <v>1269</v>
      </c>
      <c r="M44" s="152" t="s">
        <v>807</v>
      </c>
      <c r="N44" s="149">
        <v>95</v>
      </c>
      <c r="O44" s="129" t="s">
        <v>87</v>
      </c>
      <c r="Q44" s="125" t="s">
        <v>1155</v>
      </c>
      <c r="R44" s="125">
        <v>1866</v>
      </c>
      <c r="S44" s="129" t="s">
        <v>87</v>
      </c>
    </row>
    <row r="45" spans="2:19" x14ac:dyDescent="0.3">
      <c r="B45" s="148" t="s">
        <v>1131</v>
      </c>
      <c r="C45" s="143">
        <v>59000</v>
      </c>
      <c r="D45" s="129" t="s">
        <v>1132</v>
      </c>
      <c r="E45" s="129" t="s">
        <v>1133</v>
      </c>
      <c r="F45" s="129" t="s">
        <v>1138</v>
      </c>
      <c r="G45" s="149">
        <v>2</v>
      </c>
      <c r="H45" s="149">
        <v>4</v>
      </c>
      <c r="I45" s="149">
        <v>2.0499999999999998</v>
      </c>
      <c r="J45" s="150" t="s">
        <v>807</v>
      </c>
      <c r="K45" s="155">
        <v>0</v>
      </c>
      <c r="L45" s="129" t="s">
        <v>1009</v>
      </c>
      <c r="M45" s="149">
        <v>0.6</v>
      </c>
      <c r="N45" s="149">
        <v>25</v>
      </c>
      <c r="O45" s="129" t="s">
        <v>1222</v>
      </c>
      <c r="Q45" s="125" t="s">
        <v>1148</v>
      </c>
      <c r="R45" s="125">
        <v>1600</v>
      </c>
    </row>
    <row r="46" spans="2:19" x14ac:dyDescent="0.3">
      <c r="B46" s="148" t="s">
        <v>1130</v>
      </c>
      <c r="C46" s="143">
        <v>45800</v>
      </c>
      <c r="D46" s="129" t="s">
        <v>1132</v>
      </c>
      <c r="E46" s="129" t="s">
        <v>1133</v>
      </c>
      <c r="F46" s="129" t="s">
        <v>1138</v>
      </c>
      <c r="G46" s="149">
        <v>2</v>
      </c>
      <c r="H46" s="149">
        <v>4</v>
      </c>
      <c r="I46" s="149">
        <v>1.6</v>
      </c>
      <c r="J46" s="150" t="s">
        <v>807</v>
      </c>
      <c r="K46" s="155">
        <v>0</v>
      </c>
      <c r="L46" s="129" t="s">
        <v>1009</v>
      </c>
      <c r="M46" s="149">
        <v>0.6</v>
      </c>
      <c r="N46" s="149">
        <v>25</v>
      </c>
      <c r="O46" s="129" t="s">
        <v>1222</v>
      </c>
      <c r="Q46" s="125" t="s">
        <v>1149</v>
      </c>
      <c r="R46" s="125">
        <v>1600</v>
      </c>
    </row>
    <row r="47" spans="2:19" x14ac:dyDescent="0.3">
      <c r="B47" s="148" t="s">
        <v>838</v>
      </c>
      <c r="C47" s="143">
        <v>238650</v>
      </c>
      <c r="D47" s="129" t="s">
        <v>834</v>
      </c>
      <c r="E47" s="129" t="s">
        <v>348</v>
      </c>
      <c r="F47" s="129" t="s">
        <v>1139</v>
      </c>
      <c r="G47" s="149">
        <v>4</v>
      </c>
      <c r="H47" s="149">
        <v>8</v>
      </c>
      <c r="I47" s="149">
        <v>3.3</v>
      </c>
      <c r="J47" s="149">
        <v>4.3</v>
      </c>
      <c r="K47" s="149">
        <v>8</v>
      </c>
      <c r="L47" s="234" t="s">
        <v>1269</v>
      </c>
      <c r="M47" s="152" t="s">
        <v>807</v>
      </c>
      <c r="N47" s="149">
        <v>95</v>
      </c>
      <c r="O47" s="129" t="s">
        <v>87</v>
      </c>
      <c r="Q47" s="125" t="s">
        <v>1166</v>
      </c>
      <c r="R47" s="125">
        <v>1866</v>
      </c>
      <c r="S47" s="129" t="s">
        <v>87</v>
      </c>
    </row>
    <row r="48" spans="2:19" x14ac:dyDescent="0.3">
      <c r="B48" s="148" t="s">
        <v>839</v>
      </c>
      <c r="C48" s="143">
        <v>223000</v>
      </c>
      <c r="D48" s="129" t="s">
        <v>834</v>
      </c>
      <c r="E48" s="129" t="s">
        <v>348</v>
      </c>
      <c r="F48" s="129" t="s">
        <v>1139</v>
      </c>
      <c r="G48" s="149">
        <v>4</v>
      </c>
      <c r="H48" s="149">
        <v>8</v>
      </c>
      <c r="I48" s="149">
        <v>4</v>
      </c>
      <c r="J48" s="149">
        <v>4.3</v>
      </c>
      <c r="K48" s="149">
        <v>8</v>
      </c>
      <c r="L48" s="234" t="s">
        <v>1269</v>
      </c>
      <c r="M48" s="152" t="s">
        <v>807</v>
      </c>
      <c r="N48" s="149">
        <v>125</v>
      </c>
      <c r="O48" s="129" t="s">
        <v>87</v>
      </c>
      <c r="Q48" s="125" t="s">
        <v>1167</v>
      </c>
      <c r="R48" s="125">
        <v>1866</v>
      </c>
      <c r="S48" s="129" t="s">
        <v>87</v>
      </c>
    </row>
    <row r="49" spans="2:19" x14ac:dyDescent="0.3">
      <c r="B49" s="148" t="s">
        <v>840</v>
      </c>
      <c r="C49" s="143">
        <v>147090</v>
      </c>
      <c r="D49" s="129" t="s">
        <v>834</v>
      </c>
      <c r="E49" s="129" t="s">
        <v>348</v>
      </c>
      <c r="F49" s="129" t="s">
        <v>1139</v>
      </c>
      <c r="G49" s="149">
        <v>4</v>
      </c>
      <c r="H49" s="149">
        <v>8</v>
      </c>
      <c r="I49" s="149">
        <v>3.2</v>
      </c>
      <c r="J49" s="149">
        <v>4</v>
      </c>
      <c r="K49" s="149">
        <v>8</v>
      </c>
      <c r="L49" s="234" t="s">
        <v>1269</v>
      </c>
      <c r="M49" s="152" t="s">
        <v>807</v>
      </c>
      <c r="N49" s="149">
        <v>95</v>
      </c>
      <c r="O49" s="129" t="s">
        <v>87</v>
      </c>
      <c r="Q49" s="125" t="s">
        <v>1168</v>
      </c>
      <c r="R49" s="125">
        <v>1866</v>
      </c>
      <c r="S49" s="129" t="s">
        <v>87</v>
      </c>
    </row>
    <row r="50" spans="2:19" x14ac:dyDescent="0.3">
      <c r="B50" s="148" t="s">
        <v>841</v>
      </c>
      <c r="C50" s="143">
        <v>135700</v>
      </c>
      <c r="D50" s="129" t="s">
        <v>834</v>
      </c>
      <c r="E50" s="129" t="s">
        <v>348</v>
      </c>
      <c r="F50" s="129" t="s">
        <v>1139</v>
      </c>
      <c r="G50" s="149">
        <v>4</v>
      </c>
      <c r="H50" s="149">
        <v>8</v>
      </c>
      <c r="I50" s="149">
        <v>3.3</v>
      </c>
      <c r="J50" s="149">
        <v>3.9</v>
      </c>
      <c r="K50" s="149">
        <v>8</v>
      </c>
      <c r="L50" s="234" t="s">
        <v>1269</v>
      </c>
      <c r="M50" s="152" t="s">
        <v>807</v>
      </c>
      <c r="N50" s="149">
        <v>95</v>
      </c>
      <c r="O50" s="129" t="s">
        <v>87</v>
      </c>
      <c r="Q50" s="125" t="s">
        <v>1169</v>
      </c>
      <c r="R50" s="125">
        <v>1866</v>
      </c>
      <c r="S50" s="129" t="s">
        <v>87</v>
      </c>
    </row>
    <row r="51" spans="2:19" x14ac:dyDescent="0.3">
      <c r="B51" s="148"/>
    </row>
  </sheetData>
  <phoneticPr fontId="4" type="noConversion"/>
  <conditionalFormatting sqref="O1:O1048576">
    <cfRule type="cellIs" dxfId="307" priority="3" operator="equal">
      <formula>"X"</formula>
    </cfRule>
  </conditionalFormatting>
  <conditionalFormatting sqref="L1:L1048576">
    <cfRule type="cellIs" dxfId="306" priority="1" operator="equal">
      <formula>"그래픽 없음"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0.59999389629810485"/>
  </sheetPr>
  <dimension ref="A1:Y132"/>
  <sheetViews>
    <sheetView zoomScale="115" zoomScaleNormal="115" workbookViewId="0">
      <pane xSplit="2" ySplit="3" topLeftCell="C10" activePane="bottomRight" state="frozen"/>
      <selection pane="topRight" activeCell="C1" sqref="C1"/>
      <selection pane="bottomLeft" activeCell="A4" sqref="A4"/>
      <selection pane="bottomRight" activeCell="B17" sqref="B17"/>
    </sheetView>
  </sheetViews>
  <sheetFormatPr defaultColWidth="9" defaultRowHeight="13.2" x14ac:dyDescent="0.3"/>
  <cols>
    <col min="1" max="1" width="2.3984375" style="162" bestFit="1" customWidth="1"/>
    <col min="2" max="2" width="35.8984375" style="162" bestFit="1" customWidth="1"/>
    <col min="3" max="3" width="8.59765625" style="243" bestFit="1" customWidth="1"/>
    <col min="4" max="4" width="7.3984375" style="162" bestFit="1" customWidth="1"/>
    <col min="5" max="5" width="5.69921875" style="162" bestFit="1" customWidth="1"/>
    <col min="6" max="6" width="7.5" style="162" bestFit="1" customWidth="1"/>
    <col min="7" max="7" width="6.09765625" style="162" bestFit="1" customWidth="1"/>
    <col min="8" max="9" width="5" style="163" bestFit="1" customWidth="1"/>
    <col min="10" max="10" width="8.5" style="163" bestFit="1" customWidth="1"/>
    <col min="11" max="11" width="5.19921875" style="163" bestFit="1" customWidth="1"/>
    <col min="12" max="12" width="5.69921875" style="163" bestFit="1" customWidth="1"/>
    <col min="13" max="13" width="2.5" style="175" bestFit="1" customWidth="1"/>
    <col min="14" max="14" width="3.3984375" style="169" bestFit="1" customWidth="1"/>
    <col min="15" max="15" width="3.19921875" style="169" bestFit="1" customWidth="1"/>
    <col min="16" max="16" width="2.3984375" style="169" bestFit="1" customWidth="1"/>
    <col min="17" max="17" width="3.19921875" style="175" bestFit="1" customWidth="1"/>
    <col min="18" max="18" width="2.3984375" style="170" bestFit="1" customWidth="1"/>
    <col min="19" max="19" width="3.59765625" style="178" bestFit="1" customWidth="1"/>
    <col min="20" max="20" width="3.19921875" style="179" bestFit="1" customWidth="1"/>
    <col min="21" max="21" width="5.3984375" style="163" bestFit="1" customWidth="1"/>
    <col min="22" max="22" width="4.09765625" style="163" bestFit="1" customWidth="1"/>
    <col min="23" max="23" width="5.69921875" style="163" bestFit="1" customWidth="1"/>
    <col min="24" max="24" width="3.5" style="163" bestFit="1" customWidth="1"/>
    <col min="25" max="25" width="5.3984375" style="162" bestFit="1" customWidth="1"/>
    <col min="26" max="16384" width="9" style="162"/>
  </cols>
  <sheetData>
    <row r="1" spans="1:25" x14ac:dyDescent="0.3">
      <c r="A1" s="162">
        <v>2</v>
      </c>
      <c r="M1" s="169"/>
      <c r="Q1" s="169"/>
      <c r="R1" s="169"/>
      <c r="S1" s="184"/>
      <c r="T1" s="184"/>
    </row>
    <row r="2" spans="1:25" x14ac:dyDescent="0.3">
      <c r="M2" s="689" t="s">
        <v>1214</v>
      </c>
      <c r="N2" s="690"/>
      <c r="O2" s="690"/>
      <c r="P2" s="691"/>
      <c r="Q2" s="689" t="s">
        <v>1216</v>
      </c>
      <c r="R2" s="691"/>
      <c r="S2" s="184"/>
      <c r="T2" s="184"/>
    </row>
    <row r="3" spans="1:25" s="187" customFormat="1" x14ac:dyDescent="0.3">
      <c r="B3" s="188" t="s">
        <v>0</v>
      </c>
      <c r="C3" s="244" t="s">
        <v>197</v>
      </c>
      <c r="D3" s="189" t="s">
        <v>2</v>
      </c>
      <c r="E3" s="190" t="s">
        <v>296</v>
      </c>
      <c r="F3" s="190" t="s">
        <v>297</v>
      </c>
      <c r="G3" s="189" t="s">
        <v>298</v>
      </c>
      <c r="H3" s="190" t="s">
        <v>299</v>
      </c>
      <c r="I3" s="190" t="s">
        <v>300</v>
      </c>
      <c r="J3" s="190" t="s">
        <v>301</v>
      </c>
      <c r="K3" s="190" t="s">
        <v>302</v>
      </c>
      <c r="L3" s="190" t="s">
        <v>178</v>
      </c>
      <c r="M3" s="191" t="s">
        <v>1215</v>
      </c>
      <c r="N3" s="193">
        <v>3.1</v>
      </c>
      <c r="O3" s="190">
        <v>3</v>
      </c>
      <c r="P3" s="190">
        <v>2</v>
      </c>
      <c r="Q3" s="191">
        <v>3</v>
      </c>
      <c r="R3" s="192">
        <v>2</v>
      </c>
      <c r="S3" s="185" t="s">
        <v>1196</v>
      </c>
      <c r="T3" s="186" t="s">
        <v>1197</v>
      </c>
      <c r="U3" s="190" t="s">
        <v>303</v>
      </c>
      <c r="V3" s="190" t="s">
        <v>12</v>
      </c>
      <c r="W3" s="190" t="s">
        <v>13</v>
      </c>
      <c r="X3" s="190" t="s">
        <v>14</v>
      </c>
      <c r="Y3" s="246" t="s">
        <v>1356</v>
      </c>
    </row>
    <row r="4" spans="1:25" x14ac:dyDescent="0.3">
      <c r="B4" s="165" t="s">
        <v>1198</v>
      </c>
      <c r="C4" s="245"/>
      <c r="D4" s="164"/>
      <c r="E4" s="161"/>
      <c r="F4" s="161"/>
      <c r="G4" s="164"/>
      <c r="H4" s="161"/>
      <c r="I4" s="161"/>
      <c r="J4" s="161"/>
      <c r="K4" s="161"/>
      <c r="L4" s="161"/>
      <c r="M4" s="176"/>
      <c r="N4" s="171"/>
      <c r="O4" s="171"/>
      <c r="P4" s="171"/>
      <c r="Q4" s="176"/>
      <c r="R4" s="172"/>
      <c r="S4" s="180"/>
      <c r="T4" s="181"/>
      <c r="U4" s="161"/>
      <c r="V4" s="161"/>
      <c r="W4" s="161"/>
      <c r="X4" s="161"/>
    </row>
    <row r="5" spans="1:25" x14ac:dyDescent="0.3">
      <c r="B5" s="164" t="s">
        <v>1199</v>
      </c>
      <c r="C5" s="245"/>
      <c r="D5" s="164"/>
      <c r="E5" s="161"/>
      <c r="F5" s="161"/>
      <c r="G5" s="164"/>
      <c r="H5" s="161"/>
      <c r="I5" s="161"/>
      <c r="J5" s="161"/>
      <c r="K5" s="161"/>
      <c r="L5" s="161"/>
      <c r="M5" s="176"/>
      <c r="N5" s="171"/>
      <c r="O5" s="171"/>
      <c r="P5" s="171"/>
      <c r="Q5" s="176"/>
      <c r="R5" s="172"/>
      <c r="S5" s="180"/>
      <c r="T5" s="181"/>
      <c r="U5" s="161"/>
      <c r="V5" s="161"/>
      <c r="W5" s="161"/>
      <c r="X5" s="161"/>
    </row>
    <row r="6" spans="1:25" x14ac:dyDescent="0.3">
      <c r="B6" s="161" t="s">
        <v>304</v>
      </c>
      <c r="E6" s="163"/>
      <c r="F6" s="163"/>
      <c r="K6" s="149"/>
      <c r="L6" s="149"/>
      <c r="M6" s="177"/>
      <c r="N6" s="173"/>
      <c r="O6" s="173"/>
      <c r="P6" s="173"/>
      <c r="Q6" s="177"/>
      <c r="R6" s="174"/>
      <c r="S6" s="182"/>
      <c r="T6" s="183"/>
      <c r="U6" s="149"/>
      <c r="V6" s="149"/>
      <c r="W6" s="149"/>
      <c r="X6" s="149"/>
    </row>
    <row r="7" spans="1:25" x14ac:dyDescent="0.3">
      <c r="B7" s="161" t="s">
        <v>305</v>
      </c>
      <c r="E7" s="163"/>
      <c r="F7" s="163"/>
      <c r="K7" s="149"/>
      <c r="L7" s="149"/>
      <c r="M7" s="177"/>
      <c r="N7" s="173"/>
      <c r="O7" s="173"/>
      <c r="P7" s="173"/>
      <c r="Q7" s="177"/>
      <c r="R7" s="174"/>
      <c r="S7" s="182"/>
      <c r="T7" s="183"/>
      <c r="U7" s="149"/>
      <c r="V7" s="149"/>
      <c r="W7" s="149"/>
      <c r="X7" s="149"/>
    </row>
    <row r="8" spans="1:25" x14ac:dyDescent="0.3">
      <c r="B8" s="166" t="s">
        <v>3097</v>
      </c>
      <c r="C8" s="131">
        <v>62200</v>
      </c>
      <c r="D8" s="162" t="s">
        <v>1395</v>
      </c>
      <c r="E8" s="163" t="s">
        <v>306</v>
      </c>
      <c r="F8" s="163">
        <v>1151</v>
      </c>
      <c r="G8" s="162" t="s">
        <v>307</v>
      </c>
      <c r="H8" s="163">
        <v>23</v>
      </c>
      <c r="I8" s="163">
        <v>18.2</v>
      </c>
      <c r="J8" s="163" t="s">
        <v>1332</v>
      </c>
      <c r="K8" s="149">
        <v>2</v>
      </c>
      <c r="L8" s="149">
        <v>1</v>
      </c>
      <c r="M8" s="177">
        <v>0</v>
      </c>
      <c r="N8" s="173">
        <v>0</v>
      </c>
      <c r="O8" s="173">
        <v>2</v>
      </c>
      <c r="P8" s="173">
        <v>4</v>
      </c>
      <c r="Q8" s="177">
        <v>4</v>
      </c>
      <c r="R8" s="174">
        <v>0</v>
      </c>
      <c r="S8" s="182">
        <v>1</v>
      </c>
      <c r="T8" s="183">
        <v>1</v>
      </c>
      <c r="U8" s="149"/>
      <c r="V8" s="149" t="s">
        <v>87</v>
      </c>
      <c r="W8" s="149"/>
      <c r="X8" s="149"/>
    </row>
    <row r="9" spans="1:25" x14ac:dyDescent="0.3">
      <c r="B9" s="166" t="s">
        <v>1340</v>
      </c>
      <c r="C9" s="131">
        <v>72900</v>
      </c>
      <c r="D9" s="162" t="s">
        <v>42</v>
      </c>
      <c r="E9" s="163" t="s">
        <v>306</v>
      </c>
      <c r="F9" s="163">
        <v>1151</v>
      </c>
      <c r="G9" s="162" t="s">
        <v>307</v>
      </c>
      <c r="H9" s="163">
        <v>22.6</v>
      </c>
      <c r="I9" s="163">
        <v>18.5</v>
      </c>
      <c r="J9" s="163" t="s">
        <v>1332</v>
      </c>
      <c r="K9" s="149">
        <v>2</v>
      </c>
      <c r="L9" s="149">
        <v>2</v>
      </c>
      <c r="M9" s="177">
        <v>0</v>
      </c>
      <c r="N9" s="173">
        <v>0</v>
      </c>
      <c r="O9" s="173">
        <v>2</v>
      </c>
      <c r="P9" s="173">
        <v>4</v>
      </c>
      <c r="Q9" s="177">
        <v>4</v>
      </c>
      <c r="R9" s="174">
        <v>0</v>
      </c>
      <c r="S9" s="182">
        <v>1</v>
      </c>
      <c r="T9" s="183">
        <v>1</v>
      </c>
      <c r="U9" s="149" t="s">
        <v>87</v>
      </c>
      <c r="V9" s="149" t="s">
        <v>87</v>
      </c>
      <c r="W9" s="149" t="s">
        <v>87</v>
      </c>
      <c r="X9" s="149"/>
    </row>
    <row r="10" spans="1:25" x14ac:dyDescent="0.3">
      <c r="B10" s="166" t="s">
        <v>1452</v>
      </c>
      <c r="C10" s="131">
        <v>137500</v>
      </c>
      <c r="D10" s="162" t="s">
        <v>42</v>
      </c>
      <c r="E10" s="163" t="s">
        <v>306</v>
      </c>
      <c r="F10" s="163">
        <v>1151</v>
      </c>
      <c r="G10" s="162" t="s">
        <v>1331</v>
      </c>
      <c r="H10" s="163">
        <v>17</v>
      </c>
      <c r="I10" s="163">
        <v>17</v>
      </c>
      <c r="J10" s="149" t="s">
        <v>1454</v>
      </c>
      <c r="K10" s="149">
        <v>2</v>
      </c>
      <c r="L10" s="149">
        <v>0</v>
      </c>
      <c r="M10" s="177">
        <v>0</v>
      </c>
      <c r="N10" s="173">
        <v>0</v>
      </c>
      <c r="O10" s="173">
        <v>4</v>
      </c>
      <c r="P10" s="173">
        <v>0</v>
      </c>
      <c r="Q10" s="177">
        <v>2</v>
      </c>
      <c r="R10" s="174">
        <v>0</v>
      </c>
      <c r="S10" s="182">
        <v>0</v>
      </c>
      <c r="T10" s="183">
        <v>0</v>
      </c>
      <c r="U10" s="149"/>
      <c r="V10" s="149"/>
      <c r="W10" s="149" t="s">
        <v>87</v>
      </c>
      <c r="X10" s="149" t="s">
        <v>87</v>
      </c>
    </row>
    <row r="11" spans="1:25" x14ac:dyDescent="0.3">
      <c r="B11" s="166" t="s">
        <v>1329</v>
      </c>
      <c r="C11" s="131">
        <v>68000</v>
      </c>
      <c r="D11" s="162" t="s">
        <v>164</v>
      </c>
      <c r="E11" s="163" t="s">
        <v>306</v>
      </c>
      <c r="F11" s="163">
        <v>1151</v>
      </c>
      <c r="G11" s="162" t="s">
        <v>307</v>
      </c>
      <c r="H11" s="163">
        <v>22.6</v>
      </c>
      <c r="I11" s="163">
        <v>17.399999999999999</v>
      </c>
      <c r="J11" s="163" t="s">
        <v>1332</v>
      </c>
      <c r="K11" s="149">
        <v>2</v>
      </c>
      <c r="L11" s="149">
        <v>2</v>
      </c>
      <c r="M11" s="177">
        <v>0</v>
      </c>
      <c r="N11" s="173">
        <v>0</v>
      </c>
      <c r="O11" s="173">
        <v>2</v>
      </c>
      <c r="P11" s="173">
        <v>2</v>
      </c>
      <c r="Q11" s="177">
        <v>4</v>
      </c>
      <c r="R11" s="174">
        <v>0</v>
      </c>
      <c r="S11" s="182">
        <v>1</v>
      </c>
      <c r="T11" s="183">
        <v>1</v>
      </c>
      <c r="U11" s="149" t="s">
        <v>87</v>
      </c>
      <c r="V11" s="149"/>
      <c r="W11" s="149" t="s">
        <v>87</v>
      </c>
      <c r="X11" s="149"/>
    </row>
    <row r="12" spans="1:25" x14ac:dyDescent="0.3">
      <c r="B12" s="166" t="s">
        <v>1330</v>
      </c>
      <c r="C12" s="131">
        <v>72000</v>
      </c>
      <c r="D12" s="162" t="s">
        <v>164</v>
      </c>
      <c r="E12" s="163" t="s">
        <v>306</v>
      </c>
      <c r="F12" s="163">
        <v>1151</v>
      </c>
      <c r="G12" s="162" t="s">
        <v>307</v>
      </c>
      <c r="H12" s="163">
        <v>24.4</v>
      </c>
      <c r="I12" s="163">
        <v>17.399999999999999</v>
      </c>
      <c r="J12" s="163" t="s">
        <v>1332</v>
      </c>
      <c r="K12" s="149">
        <v>2</v>
      </c>
      <c r="L12" s="149">
        <v>2</v>
      </c>
      <c r="M12" s="177">
        <v>0</v>
      </c>
      <c r="N12" s="173">
        <v>0</v>
      </c>
      <c r="O12" s="173">
        <v>2</v>
      </c>
      <c r="P12" s="173">
        <v>4</v>
      </c>
      <c r="Q12" s="177">
        <v>4</v>
      </c>
      <c r="R12" s="174">
        <v>0</v>
      </c>
      <c r="S12" s="182">
        <v>1</v>
      </c>
      <c r="T12" s="183">
        <v>1</v>
      </c>
      <c r="U12" s="149" t="s">
        <v>87</v>
      </c>
      <c r="V12" s="149"/>
      <c r="W12" s="149" t="s">
        <v>87</v>
      </c>
      <c r="X12" s="149"/>
    </row>
    <row r="13" spans="1:25" x14ac:dyDescent="0.3">
      <c r="B13" s="166" t="s">
        <v>1341</v>
      </c>
      <c r="C13" s="131">
        <v>69000</v>
      </c>
      <c r="D13" s="162" t="s">
        <v>308</v>
      </c>
      <c r="E13" s="163" t="s">
        <v>306</v>
      </c>
      <c r="F13" s="163">
        <v>1151</v>
      </c>
      <c r="G13" s="162" t="s">
        <v>307</v>
      </c>
      <c r="H13" s="163">
        <v>22.6</v>
      </c>
      <c r="I13" s="163">
        <v>17.3</v>
      </c>
      <c r="J13" s="163" t="s">
        <v>1332</v>
      </c>
      <c r="K13" s="149">
        <v>2</v>
      </c>
      <c r="L13" s="149">
        <v>2</v>
      </c>
      <c r="M13" s="177">
        <v>0</v>
      </c>
      <c r="N13" s="173">
        <v>2</v>
      </c>
      <c r="O13" s="173">
        <v>0</v>
      </c>
      <c r="P13" s="173">
        <v>2</v>
      </c>
      <c r="Q13" s="177">
        <v>4</v>
      </c>
      <c r="R13" s="174">
        <v>0</v>
      </c>
      <c r="S13" s="182">
        <v>1</v>
      </c>
      <c r="T13" s="183">
        <v>1</v>
      </c>
      <c r="U13" s="149" t="s">
        <v>87</v>
      </c>
      <c r="V13" s="149" t="s">
        <v>87</v>
      </c>
      <c r="W13" s="149"/>
      <c r="X13" s="149"/>
    </row>
    <row r="14" spans="1:25" x14ac:dyDescent="0.3">
      <c r="B14" s="166" t="s">
        <v>918</v>
      </c>
      <c r="C14" s="131"/>
      <c r="E14" s="163"/>
      <c r="F14" s="163"/>
      <c r="K14" s="149"/>
      <c r="L14" s="149"/>
      <c r="M14" s="177"/>
      <c r="N14" s="173"/>
      <c r="O14" s="173"/>
      <c r="P14" s="173"/>
      <c r="Q14" s="177"/>
      <c r="R14" s="174"/>
      <c r="S14" s="182"/>
      <c r="T14" s="183"/>
      <c r="U14" s="149"/>
      <c r="V14" s="149"/>
      <c r="W14" s="149"/>
      <c r="X14" s="149"/>
    </row>
    <row r="15" spans="1:25" x14ac:dyDescent="0.3">
      <c r="B15" s="161" t="s">
        <v>309</v>
      </c>
      <c r="C15" s="131"/>
      <c r="E15" s="163"/>
      <c r="F15" s="163"/>
      <c r="K15" s="149"/>
      <c r="L15" s="149"/>
      <c r="M15" s="177"/>
      <c r="N15" s="173"/>
      <c r="O15" s="173"/>
      <c r="P15" s="173"/>
      <c r="Q15" s="177"/>
      <c r="R15" s="174"/>
      <c r="S15" s="182"/>
      <c r="T15" s="183"/>
      <c r="U15" s="149"/>
      <c r="V15" s="149"/>
      <c r="W15" s="149"/>
      <c r="X15" s="149"/>
    </row>
    <row r="16" spans="1:25" x14ac:dyDescent="0.3">
      <c r="B16" s="162" t="s">
        <v>1349</v>
      </c>
      <c r="C16" s="131">
        <v>81200</v>
      </c>
      <c r="D16" s="162" t="s">
        <v>1395</v>
      </c>
      <c r="E16" s="163" t="s">
        <v>310</v>
      </c>
      <c r="F16" s="163">
        <v>1151</v>
      </c>
      <c r="G16" s="167" t="s">
        <v>307</v>
      </c>
      <c r="H16" s="151">
        <v>24.4</v>
      </c>
      <c r="I16" s="151">
        <v>24.4</v>
      </c>
      <c r="J16" s="163" t="s">
        <v>1332</v>
      </c>
      <c r="K16" s="151">
        <v>2</v>
      </c>
      <c r="L16" s="149">
        <v>1</v>
      </c>
      <c r="M16" s="177">
        <v>0</v>
      </c>
      <c r="N16" s="173">
        <v>0</v>
      </c>
      <c r="O16" s="173">
        <v>4</v>
      </c>
      <c r="P16" s="173">
        <v>0</v>
      </c>
      <c r="Q16" s="177">
        <v>6</v>
      </c>
      <c r="R16" s="174">
        <v>0</v>
      </c>
      <c r="S16" s="182">
        <v>1</v>
      </c>
      <c r="T16" s="183">
        <v>2</v>
      </c>
      <c r="U16" s="149" t="s">
        <v>87</v>
      </c>
      <c r="V16" s="149" t="s">
        <v>87</v>
      </c>
      <c r="W16" s="149" t="s">
        <v>87</v>
      </c>
      <c r="X16" s="149"/>
    </row>
    <row r="17" spans="2:24" x14ac:dyDescent="0.3">
      <c r="B17" s="162" t="s">
        <v>1348</v>
      </c>
      <c r="C17" s="131">
        <v>92800</v>
      </c>
      <c r="D17" s="162" t="s">
        <v>1395</v>
      </c>
      <c r="E17" s="163" t="s">
        <v>310</v>
      </c>
      <c r="F17" s="163">
        <v>1151</v>
      </c>
      <c r="G17" s="167" t="s">
        <v>307</v>
      </c>
      <c r="H17" s="151">
        <v>24.4</v>
      </c>
      <c r="I17" s="151">
        <v>24.4</v>
      </c>
      <c r="J17" s="163" t="s">
        <v>1332</v>
      </c>
      <c r="K17" s="151">
        <v>4</v>
      </c>
      <c r="L17" s="149">
        <v>1</v>
      </c>
      <c r="M17" s="177">
        <v>0</v>
      </c>
      <c r="N17" s="173">
        <v>0</v>
      </c>
      <c r="O17" s="173">
        <v>4</v>
      </c>
      <c r="P17" s="173">
        <v>0</v>
      </c>
      <c r="Q17" s="177">
        <v>6</v>
      </c>
      <c r="R17" s="174">
        <v>0</v>
      </c>
      <c r="S17" s="182">
        <v>1</v>
      </c>
      <c r="T17" s="183">
        <v>2</v>
      </c>
      <c r="U17" s="149" t="s">
        <v>87</v>
      </c>
      <c r="V17" s="149" t="s">
        <v>87</v>
      </c>
      <c r="W17" s="149" t="s">
        <v>87</v>
      </c>
      <c r="X17" s="149"/>
    </row>
    <row r="18" spans="2:24" x14ac:dyDescent="0.3">
      <c r="B18" s="162" t="s">
        <v>1344</v>
      </c>
      <c r="C18" s="131">
        <v>84300</v>
      </c>
      <c r="D18" s="162" t="s">
        <v>42</v>
      </c>
      <c r="E18" s="163" t="s">
        <v>310</v>
      </c>
      <c r="F18" s="163">
        <v>1151</v>
      </c>
      <c r="G18" s="167" t="s">
        <v>307</v>
      </c>
      <c r="H18" s="163">
        <v>23.4</v>
      </c>
      <c r="I18" s="163">
        <v>20.6</v>
      </c>
      <c r="J18" s="163" t="s">
        <v>1332</v>
      </c>
      <c r="K18" s="151">
        <v>4</v>
      </c>
      <c r="L18" s="149">
        <v>2</v>
      </c>
      <c r="M18" s="177">
        <v>1</v>
      </c>
      <c r="N18" s="173">
        <v>0</v>
      </c>
      <c r="O18" s="173">
        <v>2</v>
      </c>
      <c r="P18" s="173">
        <v>2</v>
      </c>
      <c r="Q18" s="177">
        <v>6</v>
      </c>
      <c r="R18" s="174">
        <v>0</v>
      </c>
      <c r="S18" s="182">
        <v>1</v>
      </c>
      <c r="T18" s="183">
        <v>1</v>
      </c>
      <c r="U18" s="149" t="s">
        <v>87</v>
      </c>
      <c r="V18" s="149" t="s">
        <v>87</v>
      </c>
      <c r="W18" s="149" t="s">
        <v>87</v>
      </c>
      <c r="X18" s="149"/>
    </row>
    <row r="19" spans="2:24" x14ac:dyDescent="0.3">
      <c r="B19" s="162" t="s">
        <v>1345</v>
      </c>
      <c r="C19" s="131">
        <v>100800</v>
      </c>
      <c r="D19" s="162" t="s">
        <v>1346</v>
      </c>
      <c r="E19" s="163" t="s">
        <v>310</v>
      </c>
      <c r="F19" s="163">
        <v>1151</v>
      </c>
      <c r="G19" s="167" t="s">
        <v>307</v>
      </c>
      <c r="H19" s="163">
        <v>23.4</v>
      </c>
      <c r="I19" s="163">
        <v>21.8</v>
      </c>
      <c r="J19" s="163" t="s">
        <v>1332</v>
      </c>
      <c r="K19" s="151">
        <v>4</v>
      </c>
      <c r="L19" s="149">
        <v>1</v>
      </c>
      <c r="M19" s="177">
        <v>0</v>
      </c>
      <c r="N19" s="173">
        <v>0</v>
      </c>
      <c r="O19" s="173">
        <v>4</v>
      </c>
      <c r="P19" s="173">
        <v>4</v>
      </c>
      <c r="Q19" s="177">
        <v>6</v>
      </c>
      <c r="R19" s="174">
        <v>0</v>
      </c>
      <c r="S19" s="182">
        <v>1</v>
      </c>
      <c r="T19" s="183">
        <v>1</v>
      </c>
      <c r="U19" s="149"/>
      <c r="V19" s="149"/>
      <c r="W19" s="149" t="s">
        <v>1347</v>
      </c>
      <c r="X19" s="149"/>
    </row>
    <row r="20" spans="2:24" x14ac:dyDescent="0.3">
      <c r="B20" s="162" t="s">
        <v>1342</v>
      </c>
      <c r="C20" s="131">
        <v>82900</v>
      </c>
      <c r="D20" s="162" t="s">
        <v>164</v>
      </c>
      <c r="E20" s="163" t="s">
        <v>310</v>
      </c>
      <c r="F20" s="163">
        <v>1151</v>
      </c>
      <c r="G20" s="162" t="s">
        <v>307</v>
      </c>
      <c r="H20" s="151">
        <v>22.6</v>
      </c>
      <c r="I20" s="151">
        <v>17.399999999999999</v>
      </c>
      <c r="J20" s="163" t="s">
        <v>1332</v>
      </c>
      <c r="K20" s="149">
        <v>2</v>
      </c>
      <c r="L20" s="149">
        <v>2</v>
      </c>
      <c r="M20" s="177">
        <v>0</v>
      </c>
      <c r="N20" s="173">
        <v>0</v>
      </c>
      <c r="O20" s="173">
        <v>4</v>
      </c>
      <c r="P20" s="173">
        <v>2</v>
      </c>
      <c r="Q20" s="177">
        <v>6</v>
      </c>
      <c r="R20" s="174">
        <v>0</v>
      </c>
      <c r="S20" s="182">
        <v>1</v>
      </c>
      <c r="T20" s="183">
        <v>1</v>
      </c>
      <c r="U20" s="149" t="s">
        <v>87</v>
      </c>
      <c r="V20" s="149" t="s">
        <v>87</v>
      </c>
      <c r="W20" s="149"/>
      <c r="X20" s="149"/>
    </row>
    <row r="21" spans="2:24" x14ac:dyDescent="0.3">
      <c r="B21" s="162" t="s">
        <v>1343</v>
      </c>
      <c r="C21" s="131">
        <v>85000</v>
      </c>
      <c r="D21" s="162" t="s">
        <v>164</v>
      </c>
      <c r="E21" s="163" t="s">
        <v>310</v>
      </c>
      <c r="F21" s="163">
        <v>1151</v>
      </c>
      <c r="G21" s="162" t="s">
        <v>307</v>
      </c>
      <c r="H21" s="151">
        <v>24.4</v>
      </c>
      <c r="I21" s="151">
        <v>17.399999999999999</v>
      </c>
      <c r="J21" s="163" t="s">
        <v>1332</v>
      </c>
      <c r="K21" s="149">
        <v>2</v>
      </c>
      <c r="L21" s="149">
        <v>1</v>
      </c>
      <c r="M21" s="177">
        <v>0</v>
      </c>
      <c r="N21" s="173">
        <v>0</v>
      </c>
      <c r="O21" s="173">
        <v>4</v>
      </c>
      <c r="P21" s="173">
        <v>2</v>
      </c>
      <c r="Q21" s="177">
        <v>6</v>
      </c>
      <c r="R21" s="174">
        <v>0</v>
      </c>
      <c r="S21" s="182">
        <v>1</v>
      </c>
      <c r="T21" s="183">
        <v>1</v>
      </c>
      <c r="U21" s="149" t="s">
        <v>87</v>
      </c>
      <c r="V21" s="149" t="s">
        <v>87</v>
      </c>
      <c r="W21" s="149" t="s">
        <v>87</v>
      </c>
      <c r="X21" s="149"/>
    </row>
    <row r="22" spans="2:24" x14ac:dyDescent="0.3">
      <c r="B22" s="162" t="s">
        <v>311</v>
      </c>
      <c r="C22" s="131">
        <v>80000</v>
      </c>
      <c r="D22" s="162" t="s">
        <v>308</v>
      </c>
      <c r="E22" s="163" t="s">
        <v>310</v>
      </c>
      <c r="F22" s="163">
        <v>1151</v>
      </c>
      <c r="G22" s="162" t="s">
        <v>307</v>
      </c>
      <c r="H22" s="151">
        <v>23.5</v>
      </c>
      <c r="I22" s="151">
        <v>22.8</v>
      </c>
      <c r="J22" s="163" t="s">
        <v>1332</v>
      </c>
      <c r="K22" s="151">
        <v>4</v>
      </c>
      <c r="L22" s="149">
        <v>2</v>
      </c>
      <c r="M22" s="177">
        <v>0</v>
      </c>
      <c r="N22" s="173">
        <v>4</v>
      </c>
      <c r="O22" s="173">
        <v>0</v>
      </c>
      <c r="P22" s="173">
        <v>2</v>
      </c>
      <c r="Q22" s="177">
        <v>6</v>
      </c>
      <c r="R22" s="174">
        <v>0</v>
      </c>
      <c r="S22" s="182">
        <v>1</v>
      </c>
      <c r="T22" s="183">
        <v>1</v>
      </c>
      <c r="U22" s="149"/>
      <c r="V22" s="149" t="s">
        <v>87</v>
      </c>
      <c r="W22" s="149" t="s">
        <v>87</v>
      </c>
      <c r="X22" s="149"/>
    </row>
    <row r="23" spans="2:24" x14ac:dyDescent="0.3">
      <c r="B23" s="162" t="s">
        <v>3099</v>
      </c>
      <c r="C23" s="131">
        <v>85500</v>
      </c>
      <c r="D23" s="162" t="s">
        <v>308</v>
      </c>
      <c r="E23" s="163" t="s">
        <v>310</v>
      </c>
      <c r="F23" s="163">
        <v>1151</v>
      </c>
      <c r="G23" s="162" t="s">
        <v>307</v>
      </c>
      <c r="H23" s="151">
        <v>24.4</v>
      </c>
      <c r="I23" s="151">
        <v>24.4</v>
      </c>
      <c r="J23" s="163" t="s">
        <v>1332</v>
      </c>
      <c r="K23" s="151">
        <v>4</v>
      </c>
      <c r="L23" s="149">
        <v>1</v>
      </c>
      <c r="M23" s="177">
        <v>0</v>
      </c>
      <c r="N23" s="173">
        <v>4</v>
      </c>
      <c r="O23" s="173">
        <v>0</v>
      </c>
      <c r="P23" s="173">
        <v>2</v>
      </c>
      <c r="Q23" s="177">
        <v>6</v>
      </c>
      <c r="R23" s="174">
        <v>0</v>
      </c>
      <c r="S23" s="182">
        <v>1</v>
      </c>
      <c r="T23" s="183">
        <v>1</v>
      </c>
      <c r="U23" s="149" t="s">
        <v>87</v>
      </c>
      <c r="V23" s="149" t="s">
        <v>87</v>
      </c>
      <c r="W23" s="149" t="s">
        <v>87</v>
      </c>
      <c r="X23" s="149"/>
    </row>
    <row r="24" spans="2:24" x14ac:dyDescent="0.3">
      <c r="B24" s="166" t="s">
        <v>918</v>
      </c>
      <c r="C24" s="131"/>
      <c r="E24" s="163"/>
      <c r="F24" s="163"/>
      <c r="H24" s="151"/>
      <c r="I24" s="151"/>
      <c r="K24" s="149"/>
      <c r="L24" s="149"/>
      <c r="M24" s="177"/>
      <c r="N24" s="173"/>
      <c r="O24" s="173"/>
      <c r="P24" s="173"/>
      <c r="Q24" s="177"/>
      <c r="R24" s="174"/>
      <c r="S24" s="182"/>
      <c r="T24" s="183"/>
      <c r="U24" s="149"/>
      <c r="V24" s="149"/>
      <c r="W24" s="149"/>
      <c r="X24" s="149"/>
    </row>
    <row r="25" spans="2:24" x14ac:dyDescent="0.3">
      <c r="B25" s="161" t="s">
        <v>312</v>
      </c>
      <c r="C25" s="132"/>
      <c r="D25" s="164"/>
      <c r="E25" s="161"/>
      <c r="F25" s="161"/>
      <c r="G25" s="164"/>
      <c r="H25" s="161"/>
      <c r="I25" s="161"/>
      <c r="J25" s="161"/>
      <c r="K25" s="161"/>
      <c r="L25" s="161"/>
      <c r="M25" s="176"/>
      <c r="N25" s="171"/>
      <c r="O25" s="171"/>
      <c r="P25" s="171"/>
      <c r="Q25" s="176"/>
      <c r="R25" s="172"/>
      <c r="S25" s="180"/>
      <c r="T25" s="181"/>
      <c r="U25" s="161"/>
      <c r="V25" s="161"/>
      <c r="W25" s="161"/>
      <c r="X25" s="161"/>
    </row>
    <row r="26" spans="2:24" x14ac:dyDescent="0.3">
      <c r="B26" s="162" t="s">
        <v>3100</v>
      </c>
      <c r="C26" s="131">
        <v>113400</v>
      </c>
      <c r="D26" s="162" t="s">
        <v>1395</v>
      </c>
      <c r="E26" s="163" t="s">
        <v>313</v>
      </c>
      <c r="F26" s="163">
        <v>1151</v>
      </c>
      <c r="G26" s="162" t="s">
        <v>202</v>
      </c>
      <c r="H26" s="163">
        <v>30.5</v>
      </c>
      <c r="I26" s="163">
        <v>21.8</v>
      </c>
      <c r="J26" s="163" t="s">
        <v>1332</v>
      </c>
      <c r="K26" s="151">
        <v>4</v>
      </c>
      <c r="L26" s="149">
        <v>1</v>
      </c>
      <c r="M26" s="177">
        <v>0</v>
      </c>
      <c r="N26" s="173">
        <v>0</v>
      </c>
      <c r="O26" s="173">
        <v>6</v>
      </c>
      <c r="P26" s="173">
        <v>0</v>
      </c>
      <c r="Q26" s="177">
        <v>6</v>
      </c>
      <c r="R26" s="174">
        <v>0</v>
      </c>
      <c r="S26" s="182">
        <v>1</v>
      </c>
      <c r="T26" s="183">
        <v>2</v>
      </c>
      <c r="U26" s="149"/>
      <c r="V26" s="149" t="s">
        <v>87</v>
      </c>
      <c r="W26" s="149" t="s">
        <v>87</v>
      </c>
      <c r="X26" s="149"/>
    </row>
    <row r="27" spans="2:24" x14ac:dyDescent="0.3">
      <c r="B27" s="162" t="s">
        <v>3101</v>
      </c>
      <c r="C27" s="131">
        <v>134000</v>
      </c>
      <c r="D27" s="162" t="s">
        <v>1395</v>
      </c>
      <c r="E27" s="163" t="s">
        <v>313</v>
      </c>
      <c r="F27" s="163">
        <v>1151</v>
      </c>
      <c r="G27" s="162" t="s">
        <v>202</v>
      </c>
      <c r="H27" s="163">
        <v>30.5</v>
      </c>
      <c r="I27" s="163">
        <v>24.4</v>
      </c>
      <c r="J27" s="163" t="s">
        <v>1332</v>
      </c>
      <c r="K27" s="151">
        <v>4</v>
      </c>
      <c r="L27" s="149">
        <v>1</v>
      </c>
      <c r="M27" s="177">
        <v>0</v>
      </c>
      <c r="N27" s="173">
        <v>0</v>
      </c>
      <c r="O27" s="173">
        <v>6</v>
      </c>
      <c r="P27" s="173">
        <v>0</v>
      </c>
      <c r="Q27" s="177">
        <v>6</v>
      </c>
      <c r="R27" s="174">
        <v>0</v>
      </c>
      <c r="S27" s="182">
        <v>1</v>
      </c>
      <c r="T27" s="183">
        <v>2</v>
      </c>
      <c r="U27" s="149"/>
      <c r="V27" s="149" t="s">
        <v>87</v>
      </c>
      <c r="W27" s="149" t="s">
        <v>87</v>
      </c>
      <c r="X27" s="149"/>
    </row>
    <row r="28" spans="2:24" x14ac:dyDescent="0.3">
      <c r="B28" s="162" t="s">
        <v>1350</v>
      </c>
      <c r="C28" s="131">
        <v>148600</v>
      </c>
      <c r="D28" s="162" t="s">
        <v>1395</v>
      </c>
      <c r="E28" s="163" t="s">
        <v>313</v>
      </c>
      <c r="F28" s="163">
        <v>1151</v>
      </c>
      <c r="G28" s="162" t="s">
        <v>202</v>
      </c>
      <c r="H28" s="163">
        <v>30.5</v>
      </c>
      <c r="I28" s="163">
        <v>21.9</v>
      </c>
      <c r="J28" s="163" t="s">
        <v>1332</v>
      </c>
      <c r="K28" s="151">
        <v>4</v>
      </c>
      <c r="L28" s="149">
        <v>1</v>
      </c>
      <c r="M28" s="177">
        <v>1</v>
      </c>
      <c r="N28" s="173">
        <v>0</v>
      </c>
      <c r="O28" s="173">
        <v>5</v>
      </c>
      <c r="P28" s="173">
        <v>2</v>
      </c>
      <c r="Q28" s="177">
        <v>6</v>
      </c>
      <c r="R28" s="174">
        <v>0</v>
      </c>
      <c r="S28" s="182">
        <v>1</v>
      </c>
      <c r="T28" s="183">
        <v>2</v>
      </c>
      <c r="U28" s="149"/>
      <c r="V28" s="149" t="s">
        <v>87</v>
      </c>
      <c r="W28" s="149" t="s">
        <v>87</v>
      </c>
      <c r="X28" s="149"/>
    </row>
    <row r="29" spans="2:24" x14ac:dyDescent="0.3">
      <c r="B29" s="162" t="s">
        <v>315</v>
      </c>
      <c r="C29" s="131">
        <v>123100</v>
      </c>
      <c r="D29" s="162" t="s">
        <v>42</v>
      </c>
      <c r="E29" s="163" t="s">
        <v>313</v>
      </c>
      <c r="F29" s="163">
        <v>1151</v>
      </c>
      <c r="G29" s="167" t="s">
        <v>307</v>
      </c>
      <c r="H29" s="151">
        <v>24.4</v>
      </c>
      <c r="I29" s="151">
        <v>22.7</v>
      </c>
      <c r="J29" s="163" t="s">
        <v>1332</v>
      </c>
      <c r="K29" s="151">
        <v>4</v>
      </c>
      <c r="L29" s="149">
        <v>2</v>
      </c>
      <c r="M29" s="177">
        <v>1</v>
      </c>
      <c r="N29" s="173">
        <v>0</v>
      </c>
      <c r="O29" s="173">
        <v>2</v>
      </c>
      <c r="P29" s="173">
        <v>2</v>
      </c>
      <c r="Q29" s="177">
        <v>6</v>
      </c>
      <c r="R29" s="174">
        <v>0</v>
      </c>
      <c r="S29" s="182">
        <v>1</v>
      </c>
      <c r="T29" s="183">
        <v>2</v>
      </c>
      <c r="U29" s="149" t="s">
        <v>87</v>
      </c>
      <c r="V29" s="149" t="s">
        <v>87</v>
      </c>
      <c r="W29" s="149" t="s">
        <v>87</v>
      </c>
      <c r="X29" s="149"/>
    </row>
    <row r="30" spans="2:24" x14ac:dyDescent="0.3">
      <c r="B30" s="162" t="s">
        <v>1351</v>
      </c>
      <c r="C30" s="131">
        <v>170800</v>
      </c>
      <c r="D30" s="162" t="s">
        <v>42</v>
      </c>
      <c r="E30" s="163" t="s">
        <v>313</v>
      </c>
      <c r="F30" s="163">
        <v>1151</v>
      </c>
      <c r="G30" s="167" t="s">
        <v>1352</v>
      </c>
      <c r="H30" s="151">
        <v>17</v>
      </c>
      <c r="I30" s="151">
        <v>17</v>
      </c>
      <c r="J30" s="163" t="s">
        <v>1332</v>
      </c>
      <c r="K30" s="151">
        <v>2</v>
      </c>
      <c r="L30" s="149">
        <v>1</v>
      </c>
      <c r="M30" s="177">
        <v>0</v>
      </c>
      <c r="N30" s="173">
        <v>0</v>
      </c>
      <c r="O30" s="173">
        <v>6</v>
      </c>
      <c r="P30" s="173">
        <v>0</v>
      </c>
      <c r="Q30" s="177">
        <v>4</v>
      </c>
      <c r="R30" s="174">
        <v>0</v>
      </c>
      <c r="S30" s="182">
        <v>1</v>
      </c>
      <c r="T30" s="183">
        <v>1</v>
      </c>
      <c r="U30" s="149" t="s">
        <v>87</v>
      </c>
      <c r="V30" s="149" t="s">
        <v>87</v>
      </c>
      <c r="W30" s="149" t="s">
        <v>87</v>
      </c>
      <c r="X30" s="149" t="s">
        <v>87</v>
      </c>
    </row>
    <row r="31" spans="2:24" x14ac:dyDescent="0.3">
      <c r="B31" s="162" t="s">
        <v>1353</v>
      </c>
      <c r="C31" s="131">
        <v>111900</v>
      </c>
      <c r="D31" s="162" t="s">
        <v>164</v>
      </c>
      <c r="E31" s="163" t="s">
        <v>313</v>
      </c>
      <c r="F31" s="163">
        <v>1151</v>
      </c>
      <c r="G31" s="162" t="s">
        <v>1354</v>
      </c>
      <c r="H31" s="151">
        <v>24.4</v>
      </c>
      <c r="I31" s="151">
        <v>21.5</v>
      </c>
      <c r="J31" s="163" t="s">
        <v>1332</v>
      </c>
      <c r="K31" s="149">
        <v>4</v>
      </c>
      <c r="L31" s="149">
        <v>1</v>
      </c>
      <c r="M31" s="177">
        <v>0</v>
      </c>
      <c r="N31" s="173">
        <v>0</v>
      </c>
      <c r="O31" s="173">
        <v>4</v>
      </c>
      <c r="P31" s="173">
        <v>2</v>
      </c>
      <c r="Q31" s="177">
        <v>6</v>
      </c>
      <c r="R31" s="174">
        <v>0</v>
      </c>
      <c r="S31" s="182">
        <v>1</v>
      </c>
      <c r="T31" s="183">
        <v>2</v>
      </c>
      <c r="U31" s="149" t="s">
        <v>87</v>
      </c>
      <c r="V31" s="149" t="s">
        <v>87</v>
      </c>
      <c r="W31" s="149" t="s">
        <v>87</v>
      </c>
      <c r="X31" s="149"/>
    </row>
    <row r="32" spans="2:24" x14ac:dyDescent="0.3">
      <c r="B32" s="162" t="s">
        <v>3129</v>
      </c>
      <c r="C32" s="131">
        <v>139000</v>
      </c>
      <c r="D32" s="162" t="s">
        <v>164</v>
      </c>
      <c r="E32" s="163" t="s">
        <v>313</v>
      </c>
      <c r="F32" s="163">
        <v>1151</v>
      </c>
      <c r="G32" s="162" t="s">
        <v>202</v>
      </c>
      <c r="H32" s="151">
        <v>30.5</v>
      </c>
      <c r="I32" s="151">
        <v>21.4</v>
      </c>
      <c r="J32" s="163" t="s">
        <v>1332</v>
      </c>
      <c r="K32" s="149">
        <v>4</v>
      </c>
      <c r="L32" s="149">
        <v>1</v>
      </c>
      <c r="M32" s="177">
        <v>0</v>
      </c>
      <c r="N32" s="173">
        <v>0</v>
      </c>
      <c r="O32" s="173">
        <v>4</v>
      </c>
      <c r="P32" s="173">
        <v>2</v>
      </c>
      <c r="Q32" s="177">
        <v>6</v>
      </c>
      <c r="R32" s="174">
        <v>0</v>
      </c>
      <c r="S32" s="182">
        <v>1</v>
      </c>
      <c r="T32" s="183">
        <v>2</v>
      </c>
      <c r="U32" s="149" t="s">
        <v>87</v>
      </c>
      <c r="V32" s="149" t="s">
        <v>87</v>
      </c>
      <c r="W32" s="149" t="s">
        <v>87</v>
      </c>
      <c r="X32" s="149"/>
    </row>
    <row r="33" spans="2:25" x14ac:dyDescent="0.3">
      <c r="B33" s="162" t="s">
        <v>1355</v>
      </c>
      <c r="C33" s="131">
        <v>151330</v>
      </c>
      <c r="D33" s="162" t="s">
        <v>164</v>
      </c>
      <c r="E33" s="163" t="s">
        <v>313</v>
      </c>
      <c r="F33" s="163">
        <v>1151</v>
      </c>
      <c r="G33" s="162" t="s">
        <v>202</v>
      </c>
      <c r="H33" s="163">
        <v>30.5</v>
      </c>
      <c r="I33" s="163">
        <v>21</v>
      </c>
      <c r="J33" s="163" t="s">
        <v>754</v>
      </c>
      <c r="K33" s="149">
        <v>4</v>
      </c>
      <c r="L33" s="149">
        <v>1</v>
      </c>
      <c r="M33" s="177">
        <v>1</v>
      </c>
      <c r="N33" s="173">
        <v>1</v>
      </c>
      <c r="O33" s="173">
        <v>6</v>
      </c>
      <c r="P33" s="173">
        <v>0</v>
      </c>
      <c r="Q33" s="177">
        <v>6</v>
      </c>
      <c r="R33" s="174">
        <v>0</v>
      </c>
      <c r="S33" s="182">
        <v>1</v>
      </c>
      <c r="T33" s="183">
        <v>2</v>
      </c>
      <c r="U33" s="149"/>
      <c r="V33" s="149"/>
      <c r="W33" s="149" t="s">
        <v>87</v>
      </c>
      <c r="X33" s="149"/>
      <c r="Y33" s="149" t="s">
        <v>87</v>
      </c>
    </row>
    <row r="34" spans="2:25" x14ac:dyDescent="0.3">
      <c r="B34" s="162" t="s">
        <v>1357</v>
      </c>
      <c r="C34" s="131">
        <v>115000</v>
      </c>
      <c r="D34" s="162" t="s">
        <v>308</v>
      </c>
      <c r="E34" s="163" t="s">
        <v>313</v>
      </c>
      <c r="F34" s="163">
        <v>1151</v>
      </c>
      <c r="G34" s="167" t="s">
        <v>202</v>
      </c>
      <c r="H34" s="151">
        <v>30.5</v>
      </c>
      <c r="I34" s="151">
        <v>22.5</v>
      </c>
      <c r="J34" s="163" t="s">
        <v>1332</v>
      </c>
      <c r="K34" s="151">
        <v>4</v>
      </c>
      <c r="L34" s="149">
        <v>2</v>
      </c>
      <c r="M34" s="177">
        <v>0</v>
      </c>
      <c r="N34" s="173">
        <v>6</v>
      </c>
      <c r="O34" s="173">
        <v>0</v>
      </c>
      <c r="P34" s="173">
        <v>0</v>
      </c>
      <c r="Q34" s="177">
        <v>6</v>
      </c>
      <c r="R34" s="174">
        <v>0</v>
      </c>
      <c r="S34" s="182">
        <v>1</v>
      </c>
      <c r="T34" s="183">
        <v>2</v>
      </c>
      <c r="U34" s="149" t="s">
        <v>87</v>
      </c>
      <c r="V34" s="149" t="s">
        <v>87</v>
      </c>
      <c r="W34" s="149" t="s">
        <v>87</v>
      </c>
      <c r="X34" s="149"/>
      <c r="Y34" s="149"/>
    </row>
    <row r="35" spans="2:25" x14ac:dyDescent="0.3">
      <c r="B35" s="162" t="s">
        <v>316</v>
      </c>
      <c r="C35" s="131">
        <v>139940</v>
      </c>
      <c r="D35" s="162" t="s">
        <v>308</v>
      </c>
      <c r="E35" s="163" t="s">
        <v>313</v>
      </c>
      <c r="F35" s="163">
        <v>1151</v>
      </c>
      <c r="G35" s="167" t="s">
        <v>202</v>
      </c>
      <c r="H35" s="151">
        <v>30.5</v>
      </c>
      <c r="I35" s="151">
        <v>24.4</v>
      </c>
      <c r="J35" s="163" t="s">
        <v>754</v>
      </c>
      <c r="K35" s="151">
        <v>4</v>
      </c>
      <c r="L35" s="149">
        <v>1</v>
      </c>
      <c r="M35" s="177">
        <v>0</v>
      </c>
      <c r="N35" s="173">
        <v>4</v>
      </c>
      <c r="O35" s="173">
        <v>0</v>
      </c>
      <c r="P35" s="173">
        <v>4</v>
      </c>
      <c r="Q35" s="177">
        <v>6</v>
      </c>
      <c r="R35" s="174">
        <v>0</v>
      </c>
      <c r="S35" s="182">
        <v>1</v>
      </c>
      <c r="T35" s="183">
        <v>2</v>
      </c>
      <c r="U35" s="149"/>
      <c r="V35" s="149" t="s">
        <v>87</v>
      </c>
      <c r="W35" s="149" t="s">
        <v>87</v>
      </c>
      <c r="X35" s="149"/>
      <c r="Y35" s="149"/>
    </row>
    <row r="36" spans="2:25" x14ac:dyDescent="0.3">
      <c r="B36" s="166" t="s">
        <v>918</v>
      </c>
      <c r="C36" s="132"/>
      <c r="D36" s="164"/>
      <c r="E36" s="161"/>
      <c r="F36" s="161"/>
      <c r="G36" s="164"/>
      <c r="H36" s="161"/>
      <c r="I36" s="161"/>
      <c r="J36" s="161"/>
      <c r="K36" s="161"/>
      <c r="L36" s="161"/>
      <c r="M36" s="176"/>
      <c r="N36" s="171"/>
      <c r="O36" s="171"/>
      <c r="P36" s="171"/>
      <c r="Q36" s="176"/>
      <c r="R36" s="172"/>
      <c r="S36" s="180"/>
      <c r="T36" s="181"/>
      <c r="U36" s="161"/>
      <c r="V36" s="161"/>
      <c r="W36" s="161"/>
      <c r="X36" s="161"/>
    </row>
    <row r="37" spans="2:25" x14ac:dyDescent="0.3">
      <c r="B37" s="161" t="s">
        <v>317</v>
      </c>
      <c r="C37" s="132"/>
      <c r="D37" s="164"/>
      <c r="E37" s="161"/>
      <c r="F37" s="161"/>
      <c r="G37" s="164"/>
      <c r="H37" s="161"/>
      <c r="I37" s="161"/>
      <c r="J37" s="161"/>
      <c r="K37" s="161"/>
      <c r="L37" s="161"/>
      <c r="M37" s="176"/>
      <c r="N37" s="171"/>
      <c r="O37" s="171"/>
      <c r="P37" s="171"/>
      <c r="Q37" s="176"/>
      <c r="R37" s="172"/>
      <c r="S37" s="180"/>
      <c r="T37" s="181"/>
      <c r="U37" s="161"/>
      <c r="V37" s="161"/>
      <c r="W37" s="161"/>
      <c r="X37" s="161"/>
    </row>
    <row r="38" spans="2:25" x14ac:dyDescent="0.3">
      <c r="B38" s="162" t="s">
        <v>319</v>
      </c>
      <c r="C38" s="131">
        <v>132900</v>
      </c>
      <c r="D38" s="162" t="s">
        <v>1395</v>
      </c>
      <c r="E38" s="163" t="s">
        <v>318</v>
      </c>
      <c r="F38" s="163">
        <v>1151</v>
      </c>
      <c r="G38" s="162" t="s">
        <v>202</v>
      </c>
      <c r="H38" s="163">
        <v>33.4</v>
      </c>
      <c r="I38" s="163">
        <v>26.5</v>
      </c>
      <c r="J38" s="163" t="s">
        <v>1334</v>
      </c>
      <c r="K38" s="151">
        <v>4</v>
      </c>
      <c r="L38" s="149">
        <v>1</v>
      </c>
      <c r="M38" s="177">
        <v>0</v>
      </c>
      <c r="N38" s="173">
        <v>0</v>
      </c>
      <c r="O38" s="173">
        <v>6</v>
      </c>
      <c r="P38" s="173">
        <v>0</v>
      </c>
      <c r="Q38" s="177">
        <v>6</v>
      </c>
      <c r="R38" s="174">
        <v>0</v>
      </c>
      <c r="S38" s="182">
        <v>1</v>
      </c>
      <c r="T38" s="183">
        <v>2</v>
      </c>
      <c r="U38" s="149"/>
      <c r="V38" s="149" t="s">
        <v>87</v>
      </c>
      <c r="W38" s="149" t="s">
        <v>87</v>
      </c>
      <c r="X38" s="149"/>
    </row>
    <row r="39" spans="2:25" x14ac:dyDescent="0.3">
      <c r="B39" s="162" t="s">
        <v>320</v>
      </c>
      <c r="C39" s="131">
        <v>171700</v>
      </c>
      <c r="D39" s="162" t="s">
        <v>1395</v>
      </c>
      <c r="E39" s="163" t="s">
        <v>318</v>
      </c>
      <c r="F39" s="163">
        <v>1151</v>
      </c>
      <c r="G39" s="162" t="s">
        <v>202</v>
      </c>
      <c r="H39" s="163">
        <v>30.5</v>
      </c>
      <c r="I39" s="163">
        <v>24.4</v>
      </c>
      <c r="J39" s="163" t="s">
        <v>1332</v>
      </c>
      <c r="K39" s="151">
        <v>4</v>
      </c>
      <c r="L39" s="149">
        <v>1</v>
      </c>
      <c r="M39" s="177">
        <v>1</v>
      </c>
      <c r="N39" s="173">
        <v>1</v>
      </c>
      <c r="O39" s="173">
        <v>6</v>
      </c>
      <c r="P39" s="173">
        <v>0</v>
      </c>
      <c r="Q39" s="177">
        <v>6</v>
      </c>
      <c r="R39" s="174">
        <v>0</v>
      </c>
      <c r="S39" s="182">
        <v>2</v>
      </c>
      <c r="T39" s="183">
        <v>3</v>
      </c>
      <c r="U39" s="149"/>
      <c r="V39" s="149" t="s">
        <v>87</v>
      </c>
      <c r="W39" s="149" t="s">
        <v>87</v>
      </c>
      <c r="X39" s="149" t="s">
        <v>87</v>
      </c>
    </row>
    <row r="40" spans="2:25" x14ac:dyDescent="0.3">
      <c r="B40" s="162" t="s">
        <v>1368</v>
      </c>
      <c r="C40" s="131">
        <v>181000</v>
      </c>
      <c r="D40" s="162" t="s">
        <v>1395</v>
      </c>
      <c r="E40" s="163" t="s">
        <v>318</v>
      </c>
      <c r="F40" s="163">
        <v>1151</v>
      </c>
      <c r="G40" s="162" t="s">
        <v>202</v>
      </c>
      <c r="H40" s="163">
        <v>30.5</v>
      </c>
      <c r="I40" s="163">
        <v>24.4</v>
      </c>
      <c r="J40" s="163" t="s">
        <v>754</v>
      </c>
      <c r="K40" s="151">
        <v>4</v>
      </c>
      <c r="L40" s="149">
        <v>1</v>
      </c>
      <c r="M40" s="177">
        <v>1</v>
      </c>
      <c r="N40" s="173">
        <v>1</v>
      </c>
      <c r="O40" s="173">
        <v>4</v>
      </c>
      <c r="P40" s="173">
        <v>2</v>
      </c>
      <c r="Q40" s="177">
        <v>6</v>
      </c>
      <c r="R40" s="174">
        <v>0</v>
      </c>
      <c r="S40" s="182">
        <v>2</v>
      </c>
      <c r="T40" s="183">
        <v>3</v>
      </c>
      <c r="U40" s="149"/>
      <c r="V40" s="149" t="s">
        <v>87</v>
      </c>
      <c r="W40" s="149" t="s">
        <v>87</v>
      </c>
      <c r="X40" s="149"/>
    </row>
    <row r="41" spans="2:25" x14ac:dyDescent="0.3">
      <c r="B41" s="162" t="s">
        <v>321</v>
      </c>
      <c r="C41" s="131">
        <v>236700</v>
      </c>
      <c r="D41" s="162" t="s">
        <v>1395</v>
      </c>
      <c r="E41" s="163" t="s">
        <v>318</v>
      </c>
      <c r="F41" s="163">
        <v>1151</v>
      </c>
      <c r="G41" s="162" t="s">
        <v>202</v>
      </c>
      <c r="H41" s="163">
        <v>30.5</v>
      </c>
      <c r="I41" s="163">
        <v>24.4</v>
      </c>
      <c r="J41" s="163" t="s">
        <v>1332</v>
      </c>
      <c r="K41" s="151">
        <v>4</v>
      </c>
      <c r="L41" s="149">
        <v>1</v>
      </c>
      <c r="M41" s="177">
        <v>1</v>
      </c>
      <c r="N41" s="173">
        <v>1</v>
      </c>
      <c r="O41" s="173">
        <v>6</v>
      </c>
      <c r="P41" s="173">
        <v>0</v>
      </c>
      <c r="Q41" s="177">
        <v>6</v>
      </c>
      <c r="R41" s="174">
        <v>0</v>
      </c>
      <c r="S41" s="182">
        <v>2</v>
      </c>
      <c r="T41" s="183">
        <v>3</v>
      </c>
      <c r="U41" s="149"/>
      <c r="V41" s="149" t="s">
        <v>87</v>
      </c>
      <c r="W41" s="149" t="s">
        <v>87</v>
      </c>
      <c r="X41" s="149" t="s">
        <v>87</v>
      </c>
    </row>
    <row r="42" spans="2:25" x14ac:dyDescent="0.3">
      <c r="B42" s="162" t="s">
        <v>322</v>
      </c>
      <c r="C42" s="131">
        <v>231300</v>
      </c>
      <c r="D42" s="162" t="s">
        <v>1395</v>
      </c>
      <c r="E42" s="163" t="s">
        <v>318</v>
      </c>
      <c r="F42" s="163">
        <v>1151</v>
      </c>
      <c r="G42" s="162" t="s">
        <v>202</v>
      </c>
      <c r="H42" s="163">
        <v>30.5</v>
      </c>
      <c r="I42" s="163">
        <v>24.4</v>
      </c>
      <c r="J42" s="163" t="s">
        <v>1332</v>
      </c>
      <c r="K42" s="151">
        <v>4</v>
      </c>
      <c r="L42" s="149">
        <v>1</v>
      </c>
      <c r="M42" s="177">
        <v>1</v>
      </c>
      <c r="N42" s="173">
        <v>1</v>
      </c>
      <c r="O42" s="173">
        <v>6</v>
      </c>
      <c r="P42" s="173">
        <v>0</v>
      </c>
      <c r="Q42" s="177">
        <v>8</v>
      </c>
      <c r="R42" s="174">
        <v>0</v>
      </c>
      <c r="S42" s="182">
        <v>2</v>
      </c>
      <c r="T42" s="183">
        <v>3</v>
      </c>
      <c r="U42" s="149"/>
      <c r="V42" s="149" t="s">
        <v>87</v>
      </c>
      <c r="W42" s="149" t="s">
        <v>87</v>
      </c>
      <c r="X42" s="149" t="s">
        <v>87</v>
      </c>
    </row>
    <row r="43" spans="2:25" x14ac:dyDescent="0.3">
      <c r="B43" s="162" t="s">
        <v>323</v>
      </c>
      <c r="C43" s="131">
        <v>390000</v>
      </c>
      <c r="D43" s="162" t="s">
        <v>1395</v>
      </c>
      <c r="E43" s="163" t="s">
        <v>318</v>
      </c>
      <c r="F43" s="163">
        <v>1151</v>
      </c>
      <c r="G43" s="162" t="s">
        <v>202</v>
      </c>
      <c r="H43" s="163">
        <v>30.5</v>
      </c>
      <c r="I43" s="163">
        <v>24.4</v>
      </c>
      <c r="J43" s="163" t="s">
        <v>1332</v>
      </c>
      <c r="K43" s="151">
        <v>4</v>
      </c>
      <c r="L43" s="149">
        <v>1</v>
      </c>
      <c r="M43" s="177">
        <v>1</v>
      </c>
      <c r="N43" s="173">
        <v>1</v>
      </c>
      <c r="O43" s="173">
        <v>4</v>
      </c>
      <c r="P43" s="173">
        <v>2</v>
      </c>
      <c r="Q43" s="177">
        <v>10</v>
      </c>
      <c r="R43" s="174">
        <v>0</v>
      </c>
      <c r="S43" s="182">
        <v>2</v>
      </c>
      <c r="T43" s="183">
        <v>3</v>
      </c>
      <c r="U43" s="149"/>
      <c r="V43" s="149" t="s">
        <v>87</v>
      </c>
      <c r="W43" s="149" t="s">
        <v>87</v>
      </c>
      <c r="X43" s="149" t="s">
        <v>87</v>
      </c>
    </row>
    <row r="44" spans="2:25" x14ac:dyDescent="0.3">
      <c r="B44" s="162" t="s">
        <v>324</v>
      </c>
      <c r="C44" s="131">
        <v>390000</v>
      </c>
      <c r="D44" s="162" t="s">
        <v>1395</v>
      </c>
      <c r="E44" s="163" t="s">
        <v>318</v>
      </c>
      <c r="F44" s="163">
        <v>1151</v>
      </c>
      <c r="G44" s="162" t="s">
        <v>202</v>
      </c>
      <c r="H44" s="163">
        <v>30.5</v>
      </c>
      <c r="I44" s="163">
        <v>24.4</v>
      </c>
      <c r="J44" s="163" t="s">
        <v>1332</v>
      </c>
      <c r="K44" s="151">
        <v>4</v>
      </c>
      <c r="L44" s="149">
        <v>1</v>
      </c>
      <c r="M44" s="177">
        <v>1</v>
      </c>
      <c r="N44" s="173">
        <v>1</v>
      </c>
      <c r="O44" s="173">
        <v>4</v>
      </c>
      <c r="P44" s="173">
        <v>2</v>
      </c>
      <c r="Q44" s="177">
        <v>10</v>
      </c>
      <c r="R44" s="174">
        <v>0</v>
      </c>
      <c r="S44" s="182">
        <v>2</v>
      </c>
      <c r="T44" s="183">
        <v>4</v>
      </c>
      <c r="U44" s="149"/>
      <c r="V44" s="149"/>
      <c r="W44" s="149" t="s">
        <v>87</v>
      </c>
      <c r="X44" s="149" t="s">
        <v>87</v>
      </c>
    </row>
    <row r="45" spans="2:25" x14ac:dyDescent="0.3">
      <c r="B45" s="162" t="s">
        <v>3148</v>
      </c>
      <c r="C45" s="131">
        <v>253800</v>
      </c>
      <c r="D45" s="162" t="s">
        <v>42</v>
      </c>
      <c r="E45" s="163" t="s">
        <v>318</v>
      </c>
      <c r="F45" s="163">
        <v>1151</v>
      </c>
      <c r="G45" s="167" t="s">
        <v>202</v>
      </c>
      <c r="H45" s="151">
        <v>30.5</v>
      </c>
      <c r="I45" s="151">
        <v>24.4</v>
      </c>
      <c r="J45" s="163" t="s">
        <v>1332</v>
      </c>
      <c r="K45" s="151">
        <v>4</v>
      </c>
      <c r="L45" s="149">
        <v>0</v>
      </c>
      <c r="M45" s="177">
        <v>1</v>
      </c>
      <c r="N45" s="173">
        <v>1</v>
      </c>
      <c r="O45" s="173">
        <v>2</v>
      </c>
      <c r="P45" s="173">
        <v>2</v>
      </c>
      <c r="Q45" s="177">
        <v>6</v>
      </c>
      <c r="R45" s="174">
        <v>0</v>
      </c>
      <c r="S45" s="182">
        <v>2</v>
      </c>
      <c r="T45" s="183">
        <v>3</v>
      </c>
      <c r="U45" s="149"/>
      <c r="V45" s="149" t="s">
        <v>87</v>
      </c>
      <c r="W45" s="149" t="s">
        <v>87</v>
      </c>
      <c r="X45" s="149" t="s">
        <v>87</v>
      </c>
    </row>
    <row r="46" spans="2:25" x14ac:dyDescent="0.3">
      <c r="B46" s="162" t="s">
        <v>1367</v>
      </c>
      <c r="C46" s="131">
        <v>302000</v>
      </c>
      <c r="D46" s="162" t="s">
        <v>42</v>
      </c>
      <c r="E46" s="163" t="s">
        <v>318</v>
      </c>
      <c r="F46" s="163">
        <v>1151</v>
      </c>
      <c r="G46" s="167" t="s">
        <v>202</v>
      </c>
      <c r="H46" s="151">
        <v>30.5</v>
      </c>
      <c r="I46" s="151">
        <v>24.4</v>
      </c>
      <c r="J46" s="163" t="s">
        <v>1332</v>
      </c>
      <c r="K46" s="151">
        <v>4</v>
      </c>
      <c r="L46" s="149">
        <v>0</v>
      </c>
      <c r="M46" s="177">
        <v>1</v>
      </c>
      <c r="N46" s="173">
        <v>1</v>
      </c>
      <c r="O46" s="173">
        <v>2</v>
      </c>
      <c r="P46" s="173">
        <v>5</v>
      </c>
      <c r="Q46" s="177">
        <v>6</v>
      </c>
      <c r="R46" s="174">
        <v>0</v>
      </c>
      <c r="S46" s="182">
        <v>2</v>
      </c>
      <c r="T46" s="183">
        <v>3</v>
      </c>
      <c r="U46" s="149"/>
      <c r="V46" s="149"/>
      <c r="W46" s="149" t="s">
        <v>87</v>
      </c>
      <c r="X46" s="149" t="s">
        <v>87</v>
      </c>
    </row>
    <row r="47" spans="2:25" x14ac:dyDescent="0.3">
      <c r="B47" s="162" t="s">
        <v>1366</v>
      </c>
      <c r="C47" s="131">
        <v>428700</v>
      </c>
      <c r="D47" s="162" t="s">
        <v>42</v>
      </c>
      <c r="E47" s="163" t="s">
        <v>318</v>
      </c>
      <c r="F47" s="163">
        <v>1151</v>
      </c>
      <c r="G47" s="167" t="s">
        <v>202</v>
      </c>
      <c r="H47" s="151">
        <v>30.5</v>
      </c>
      <c r="I47" s="151">
        <v>24.4</v>
      </c>
      <c r="J47" s="163" t="s">
        <v>1332</v>
      </c>
      <c r="K47" s="151">
        <v>4</v>
      </c>
      <c r="L47" s="149">
        <v>1</v>
      </c>
      <c r="M47" s="177">
        <v>1</v>
      </c>
      <c r="N47" s="173">
        <v>1</v>
      </c>
      <c r="O47" s="173">
        <v>2</v>
      </c>
      <c r="P47" s="173">
        <v>2</v>
      </c>
      <c r="Q47" s="177">
        <v>6</v>
      </c>
      <c r="R47" s="174">
        <v>0</v>
      </c>
      <c r="S47" s="182">
        <v>2</v>
      </c>
      <c r="T47" s="183">
        <v>3</v>
      </c>
      <c r="U47" s="149"/>
      <c r="V47" s="149"/>
      <c r="W47" s="149" t="s">
        <v>87</v>
      </c>
      <c r="X47" s="149" t="s">
        <v>87</v>
      </c>
    </row>
    <row r="48" spans="2:25" x14ac:dyDescent="0.3">
      <c r="B48" s="162" t="s">
        <v>1365</v>
      </c>
      <c r="C48" s="131">
        <v>482800</v>
      </c>
      <c r="D48" s="162" t="s">
        <v>42</v>
      </c>
      <c r="E48" s="163" t="s">
        <v>318</v>
      </c>
      <c r="F48" s="163">
        <v>1151</v>
      </c>
      <c r="G48" s="167" t="s">
        <v>202</v>
      </c>
      <c r="H48" s="151">
        <v>30.5</v>
      </c>
      <c r="I48" s="151">
        <v>24.4</v>
      </c>
      <c r="J48" s="163" t="s">
        <v>1332</v>
      </c>
      <c r="K48" s="151">
        <v>4</v>
      </c>
      <c r="L48" s="149">
        <v>1</v>
      </c>
      <c r="M48" s="177">
        <v>1</v>
      </c>
      <c r="N48" s="173">
        <v>1</v>
      </c>
      <c r="O48" s="173">
        <v>2</v>
      </c>
      <c r="P48" s="173">
        <v>4</v>
      </c>
      <c r="Q48" s="177">
        <v>6</v>
      </c>
      <c r="R48" s="174">
        <v>0</v>
      </c>
      <c r="S48" s="182">
        <v>2</v>
      </c>
      <c r="T48" s="183">
        <v>3</v>
      </c>
      <c r="U48" s="149"/>
      <c r="V48" s="149"/>
      <c r="W48" s="149" t="s">
        <v>87</v>
      </c>
      <c r="X48" s="149" t="s">
        <v>87</v>
      </c>
    </row>
    <row r="49" spans="2:25" x14ac:dyDescent="0.3">
      <c r="B49" s="162" t="s">
        <v>1364</v>
      </c>
      <c r="C49" s="131">
        <v>530420</v>
      </c>
      <c r="D49" s="162" t="s">
        <v>42</v>
      </c>
      <c r="E49" s="163" t="s">
        <v>318</v>
      </c>
      <c r="F49" s="163">
        <v>1151</v>
      </c>
      <c r="G49" s="167" t="s">
        <v>202</v>
      </c>
      <c r="H49" s="151">
        <v>30.5</v>
      </c>
      <c r="I49" s="151">
        <v>24.4</v>
      </c>
      <c r="J49" s="163" t="s">
        <v>1332</v>
      </c>
      <c r="K49" s="151">
        <v>4</v>
      </c>
      <c r="L49" s="149">
        <v>0</v>
      </c>
      <c r="M49" s="177">
        <v>1</v>
      </c>
      <c r="N49" s="173">
        <v>1</v>
      </c>
      <c r="O49" s="173">
        <v>4</v>
      </c>
      <c r="P49" s="173">
        <v>4</v>
      </c>
      <c r="Q49" s="177">
        <v>6</v>
      </c>
      <c r="R49" s="174">
        <v>0</v>
      </c>
      <c r="S49" s="182">
        <v>4</v>
      </c>
      <c r="T49" s="183">
        <v>4</v>
      </c>
      <c r="U49" s="149"/>
      <c r="V49" s="149"/>
      <c r="W49" s="149" t="s">
        <v>87</v>
      </c>
      <c r="X49" s="149" t="s">
        <v>87</v>
      </c>
    </row>
    <row r="50" spans="2:25" x14ac:dyDescent="0.3">
      <c r="B50" s="162" t="s">
        <v>1363</v>
      </c>
      <c r="C50" s="131">
        <v>795600</v>
      </c>
      <c r="D50" s="162" t="s">
        <v>42</v>
      </c>
      <c r="E50" s="163" t="s">
        <v>318</v>
      </c>
      <c r="F50" s="163">
        <v>1151</v>
      </c>
      <c r="G50" s="162" t="s">
        <v>203</v>
      </c>
      <c r="H50" s="151">
        <v>30.5</v>
      </c>
      <c r="I50" s="151">
        <v>27.2</v>
      </c>
      <c r="J50" s="163" t="s">
        <v>1332</v>
      </c>
      <c r="K50" s="151">
        <v>4</v>
      </c>
      <c r="L50" s="149">
        <v>1</v>
      </c>
      <c r="M50" s="177">
        <v>1</v>
      </c>
      <c r="N50" s="173">
        <v>3</v>
      </c>
      <c r="O50" s="173">
        <v>4</v>
      </c>
      <c r="P50" s="173">
        <v>0</v>
      </c>
      <c r="Q50" s="177">
        <v>8</v>
      </c>
      <c r="R50" s="174">
        <v>0</v>
      </c>
      <c r="S50" s="182">
        <v>2</v>
      </c>
      <c r="T50" s="183">
        <v>4</v>
      </c>
      <c r="U50" s="149"/>
      <c r="V50" s="149"/>
      <c r="W50" s="149" t="s">
        <v>87</v>
      </c>
      <c r="X50" s="149" t="s">
        <v>87</v>
      </c>
    </row>
    <row r="51" spans="2:25" x14ac:dyDescent="0.3">
      <c r="B51" s="162" t="s">
        <v>3150</v>
      </c>
      <c r="C51" s="131">
        <v>169000</v>
      </c>
      <c r="D51" s="162" t="s">
        <v>164</v>
      </c>
      <c r="E51" s="163" t="s">
        <v>318</v>
      </c>
      <c r="F51" s="163">
        <v>1151</v>
      </c>
      <c r="G51" s="162" t="s">
        <v>202</v>
      </c>
      <c r="H51" s="163">
        <v>30.5</v>
      </c>
      <c r="I51" s="163">
        <v>19.899999999999999</v>
      </c>
      <c r="J51" s="163" t="s">
        <v>1332</v>
      </c>
      <c r="K51" s="149">
        <v>4</v>
      </c>
      <c r="L51" s="149">
        <v>1</v>
      </c>
      <c r="M51" s="177">
        <v>1</v>
      </c>
      <c r="N51" s="173">
        <v>1</v>
      </c>
      <c r="O51" s="173">
        <v>3</v>
      </c>
      <c r="P51" s="173">
        <v>2</v>
      </c>
      <c r="Q51" s="177">
        <v>6</v>
      </c>
      <c r="R51" s="174">
        <v>0</v>
      </c>
      <c r="S51" s="182">
        <v>1</v>
      </c>
      <c r="T51" s="183">
        <v>2</v>
      </c>
      <c r="U51" s="149" t="s">
        <v>87</v>
      </c>
      <c r="V51" s="149" t="s">
        <v>87</v>
      </c>
      <c r="W51" s="149" t="s">
        <v>87</v>
      </c>
      <c r="X51" s="149"/>
    </row>
    <row r="52" spans="2:25" x14ac:dyDescent="0.3">
      <c r="B52" s="162" t="s">
        <v>1362</v>
      </c>
      <c r="C52" s="131">
        <v>298820</v>
      </c>
      <c r="D52" s="162" t="s">
        <v>164</v>
      </c>
      <c r="E52" s="163" t="s">
        <v>318</v>
      </c>
      <c r="F52" s="163">
        <v>1151</v>
      </c>
      <c r="G52" s="162" t="s">
        <v>202</v>
      </c>
      <c r="H52" s="151">
        <v>30.5</v>
      </c>
      <c r="I52" s="151">
        <v>24.4</v>
      </c>
      <c r="J52" s="163" t="s">
        <v>1332</v>
      </c>
      <c r="K52" s="149">
        <v>4</v>
      </c>
      <c r="L52" s="149">
        <v>1</v>
      </c>
      <c r="M52" s="177">
        <v>1</v>
      </c>
      <c r="N52" s="173">
        <v>1</v>
      </c>
      <c r="O52" s="173">
        <v>4</v>
      </c>
      <c r="P52" s="173">
        <v>2</v>
      </c>
      <c r="Q52" s="177">
        <v>6</v>
      </c>
      <c r="R52" s="174">
        <v>0</v>
      </c>
      <c r="S52" s="182">
        <v>2</v>
      </c>
      <c r="T52" s="183">
        <v>2</v>
      </c>
      <c r="U52" s="149"/>
      <c r="V52" s="149"/>
      <c r="W52" s="149" t="s">
        <v>87</v>
      </c>
      <c r="X52" s="149" t="s">
        <v>87</v>
      </c>
    </row>
    <row r="53" spans="2:25" x14ac:dyDescent="0.3">
      <c r="B53" s="162" t="s">
        <v>1361</v>
      </c>
      <c r="C53" s="131">
        <v>222000</v>
      </c>
      <c r="D53" s="162" t="s">
        <v>164</v>
      </c>
      <c r="E53" s="163" t="s">
        <v>318</v>
      </c>
      <c r="F53" s="163">
        <v>1151</v>
      </c>
      <c r="G53" s="162" t="s">
        <v>202</v>
      </c>
      <c r="H53" s="163">
        <v>30.5</v>
      </c>
      <c r="I53" s="163">
        <v>24.4</v>
      </c>
      <c r="J53" s="163" t="s">
        <v>1332</v>
      </c>
      <c r="K53" s="149">
        <v>4</v>
      </c>
      <c r="L53" s="149">
        <v>1</v>
      </c>
      <c r="M53" s="177">
        <v>1</v>
      </c>
      <c r="N53" s="173">
        <v>1</v>
      </c>
      <c r="O53" s="173">
        <v>4</v>
      </c>
      <c r="P53" s="173">
        <v>2</v>
      </c>
      <c r="Q53" s="177">
        <v>6</v>
      </c>
      <c r="R53" s="174">
        <v>0</v>
      </c>
      <c r="S53" s="182">
        <v>2</v>
      </c>
      <c r="T53" s="183">
        <v>2</v>
      </c>
      <c r="U53" s="149"/>
      <c r="V53" s="149"/>
      <c r="W53" s="149" t="s">
        <v>87</v>
      </c>
      <c r="X53" s="149"/>
      <c r="Y53" s="149" t="s">
        <v>87</v>
      </c>
    </row>
    <row r="54" spans="2:25" x14ac:dyDescent="0.3">
      <c r="B54" s="162" t="s">
        <v>1360</v>
      </c>
      <c r="C54" s="131">
        <v>215690</v>
      </c>
      <c r="D54" s="162" t="s">
        <v>164</v>
      </c>
      <c r="E54" s="163" t="s">
        <v>318</v>
      </c>
      <c r="F54" s="163">
        <v>1151</v>
      </c>
      <c r="G54" s="162" t="s">
        <v>202</v>
      </c>
      <c r="H54" s="163">
        <v>30.5</v>
      </c>
      <c r="I54" s="163">
        <v>24.4</v>
      </c>
      <c r="J54" s="163" t="s">
        <v>1332</v>
      </c>
      <c r="K54" s="149">
        <v>4</v>
      </c>
      <c r="L54" s="149">
        <v>1</v>
      </c>
      <c r="M54" s="177">
        <v>1</v>
      </c>
      <c r="N54" s="173">
        <v>1</v>
      </c>
      <c r="O54" s="173">
        <v>4</v>
      </c>
      <c r="P54" s="173">
        <v>2</v>
      </c>
      <c r="Q54" s="177">
        <v>6</v>
      </c>
      <c r="R54" s="174">
        <v>0</v>
      </c>
      <c r="S54" s="182">
        <v>2</v>
      </c>
      <c r="T54" s="183">
        <v>2</v>
      </c>
      <c r="U54" s="149"/>
      <c r="V54" s="149"/>
      <c r="W54" s="149" t="s">
        <v>87</v>
      </c>
      <c r="X54" s="149"/>
      <c r="Y54" s="149" t="s">
        <v>87</v>
      </c>
    </row>
    <row r="55" spans="2:25" x14ac:dyDescent="0.3">
      <c r="B55" s="162" t="s">
        <v>325</v>
      </c>
      <c r="C55" s="131">
        <v>243000</v>
      </c>
      <c r="D55" s="162" t="s">
        <v>164</v>
      </c>
      <c r="E55" s="163" t="s">
        <v>318</v>
      </c>
      <c r="F55" s="163">
        <v>1151</v>
      </c>
      <c r="G55" s="162" t="s">
        <v>202</v>
      </c>
      <c r="H55" s="163">
        <v>30.5</v>
      </c>
      <c r="I55" s="163">
        <v>24.4</v>
      </c>
      <c r="J55" s="163" t="s">
        <v>1332</v>
      </c>
      <c r="K55" s="149">
        <v>4</v>
      </c>
      <c r="L55" s="149">
        <v>1</v>
      </c>
      <c r="M55" s="177">
        <v>1</v>
      </c>
      <c r="N55" s="173">
        <v>1</v>
      </c>
      <c r="O55" s="173">
        <v>3</v>
      </c>
      <c r="P55" s="173">
        <v>2</v>
      </c>
      <c r="Q55" s="177">
        <v>6</v>
      </c>
      <c r="R55" s="174">
        <v>0</v>
      </c>
      <c r="S55" s="182">
        <v>2</v>
      </c>
      <c r="T55" s="183">
        <v>3</v>
      </c>
      <c r="U55" s="149"/>
      <c r="V55" s="149" t="s">
        <v>87</v>
      </c>
      <c r="W55" s="149" t="s">
        <v>87</v>
      </c>
      <c r="X55" s="149" t="s">
        <v>87</v>
      </c>
    </row>
    <row r="56" spans="2:25" x14ac:dyDescent="0.3">
      <c r="B56" s="162" t="s">
        <v>326</v>
      </c>
      <c r="C56" s="131">
        <v>565000</v>
      </c>
      <c r="D56" s="162" t="s">
        <v>164</v>
      </c>
      <c r="E56" s="163" t="s">
        <v>318</v>
      </c>
      <c r="F56" s="163">
        <v>1151</v>
      </c>
      <c r="G56" s="162" t="s">
        <v>203</v>
      </c>
      <c r="H56" s="163">
        <v>30.5</v>
      </c>
      <c r="I56" s="163">
        <v>26.4</v>
      </c>
      <c r="J56" s="163" t="s">
        <v>1332</v>
      </c>
      <c r="K56" s="149">
        <v>4</v>
      </c>
      <c r="L56" s="149">
        <v>1</v>
      </c>
      <c r="M56" s="177">
        <v>1</v>
      </c>
      <c r="N56" s="173">
        <v>2</v>
      </c>
      <c r="O56" s="173">
        <v>4</v>
      </c>
      <c r="P56" s="173">
        <v>0</v>
      </c>
      <c r="Q56" s="177">
        <v>6</v>
      </c>
      <c r="R56" s="174">
        <v>0</v>
      </c>
      <c r="S56" s="182">
        <v>4</v>
      </c>
      <c r="T56" s="183">
        <v>4</v>
      </c>
      <c r="U56" s="149"/>
      <c r="V56" s="149"/>
      <c r="W56" s="149" t="s">
        <v>87</v>
      </c>
      <c r="X56" s="149"/>
      <c r="Y56" s="149" t="s">
        <v>87</v>
      </c>
    </row>
    <row r="57" spans="2:25" x14ac:dyDescent="0.3">
      <c r="B57" s="162" t="s">
        <v>1358</v>
      </c>
      <c r="C57" s="131">
        <v>170000</v>
      </c>
      <c r="D57" s="162" t="s">
        <v>308</v>
      </c>
      <c r="E57" s="163" t="s">
        <v>318</v>
      </c>
      <c r="F57" s="163">
        <v>1151</v>
      </c>
      <c r="G57" s="167" t="s">
        <v>202</v>
      </c>
      <c r="H57" s="151">
        <v>30.5</v>
      </c>
      <c r="I57" s="151">
        <v>24.4</v>
      </c>
      <c r="J57" s="163" t="s">
        <v>754</v>
      </c>
      <c r="K57" s="151">
        <v>4</v>
      </c>
      <c r="L57" s="149">
        <v>2</v>
      </c>
      <c r="M57" s="177">
        <v>1</v>
      </c>
      <c r="N57" s="173">
        <v>2</v>
      </c>
      <c r="O57" s="173">
        <v>0</v>
      </c>
      <c r="P57" s="173">
        <v>2</v>
      </c>
      <c r="Q57" s="177">
        <v>6</v>
      </c>
      <c r="R57" s="174">
        <v>0</v>
      </c>
      <c r="S57" s="182">
        <v>2</v>
      </c>
      <c r="T57" s="183">
        <v>3</v>
      </c>
      <c r="U57" s="149"/>
      <c r="V57" s="149" t="s">
        <v>87</v>
      </c>
      <c r="W57" s="149" t="s">
        <v>87</v>
      </c>
      <c r="X57" s="149"/>
    </row>
    <row r="58" spans="2:25" x14ac:dyDescent="0.3">
      <c r="B58" s="162" t="s">
        <v>3149</v>
      </c>
      <c r="C58" s="131">
        <v>174800</v>
      </c>
      <c r="D58" s="162" t="s">
        <v>308</v>
      </c>
      <c r="E58" s="163" t="s">
        <v>318</v>
      </c>
      <c r="F58" s="163">
        <v>1151</v>
      </c>
      <c r="G58" s="167" t="s">
        <v>202</v>
      </c>
      <c r="H58" s="151">
        <v>30.5</v>
      </c>
      <c r="I58" s="151">
        <v>23.4</v>
      </c>
      <c r="J58" s="163" t="s">
        <v>754</v>
      </c>
      <c r="K58" s="151">
        <v>4</v>
      </c>
      <c r="L58" s="149">
        <v>1</v>
      </c>
      <c r="M58" s="177">
        <v>0</v>
      </c>
      <c r="N58" s="173">
        <v>4</v>
      </c>
      <c r="O58" s="173">
        <v>0</v>
      </c>
      <c r="P58" s="173">
        <v>4</v>
      </c>
      <c r="Q58" s="177">
        <v>6</v>
      </c>
      <c r="R58" s="174">
        <v>0</v>
      </c>
      <c r="S58" s="182">
        <v>2</v>
      </c>
      <c r="T58" s="183">
        <v>3</v>
      </c>
      <c r="U58" s="149"/>
      <c r="V58" s="149" t="s">
        <v>87</v>
      </c>
      <c r="W58" s="149" t="s">
        <v>87</v>
      </c>
      <c r="X58" s="149"/>
    </row>
    <row r="59" spans="2:25" ht="12" customHeight="1" x14ac:dyDescent="0.3">
      <c r="B59" s="162" t="s">
        <v>1359</v>
      </c>
      <c r="C59" s="131">
        <v>199000</v>
      </c>
      <c r="D59" s="162" t="s">
        <v>308</v>
      </c>
      <c r="E59" s="163" t="s">
        <v>318</v>
      </c>
      <c r="F59" s="163">
        <v>1151</v>
      </c>
      <c r="G59" s="167" t="s">
        <v>202</v>
      </c>
      <c r="H59" s="151">
        <v>30.5</v>
      </c>
      <c r="I59" s="151">
        <v>23.5</v>
      </c>
      <c r="J59" s="163" t="s">
        <v>754</v>
      </c>
      <c r="K59" s="151">
        <v>4</v>
      </c>
      <c r="L59" s="149">
        <v>1</v>
      </c>
      <c r="M59" s="177">
        <v>1</v>
      </c>
      <c r="N59" s="173">
        <v>3</v>
      </c>
      <c r="O59" s="173">
        <v>0</v>
      </c>
      <c r="P59" s="173">
        <v>4</v>
      </c>
      <c r="Q59" s="177">
        <v>6</v>
      </c>
      <c r="R59" s="174">
        <v>0</v>
      </c>
      <c r="S59" s="182">
        <v>2</v>
      </c>
      <c r="T59" s="183">
        <v>3</v>
      </c>
      <c r="U59" s="149"/>
      <c r="V59" s="149" t="s">
        <v>87</v>
      </c>
      <c r="W59" s="149" t="s">
        <v>87</v>
      </c>
      <c r="X59" s="149"/>
    </row>
    <row r="60" spans="2:25" x14ac:dyDescent="0.3">
      <c r="B60" s="162" t="s">
        <v>327</v>
      </c>
      <c r="C60" s="131">
        <v>210000</v>
      </c>
      <c r="D60" s="162" t="s">
        <v>308</v>
      </c>
      <c r="E60" s="163" t="s">
        <v>318</v>
      </c>
      <c r="F60" s="163">
        <v>1151</v>
      </c>
      <c r="G60" s="167" t="s">
        <v>202</v>
      </c>
      <c r="H60" s="151">
        <v>30.5</v>
      </c>
      <c r="I60" s="151">
        <v>24.4</v>
      </c>
      <c r="J60" s="163" t="s">
        <v>754</v>
      </c>
      <c r="K60" s="151">
        <v>4</v>
      </c>
      <c r="L60" s="149">
        <v>1</v>
      </c>
      <c r="M60" s="177">
        <v>0</v>
      </c>
      <c r="N60" s="173">
        <v>5</v>
      </c>
      <c r="O60" s="173">
        <v>0</v>
      </c>
      <c r="P60" s="173">
        <v>2</v>
      </c>
      <c r="Q60" s="177">
        <v>6</v>
      </c>
      <c r="R60" s="174">
        <v>0</v>
      </c>
      <c r="S60" s="182">
        <v>2</v>
      </c>
      <c r="T60" s="183">
        <v>3</v>
      </c>
      <c r="U60" s="149"/>
      <c r="V60" s="149" t="s">
        <v>87</v>
      </c>
      <c r="W60" s="149" t="s">
        <v>87</v>
      </c>
      <c r="X60" s="149"/>
    </row>
    <row r="61" spans="2:25" x14ac:dyDescent="0.3">
      <c r="B61" s="162" t="s">
        <v>328</v>
      </c>
      <c r="C61" s="131">
        <v>392000</v>
      </c>
      <c r="D61" s="162" t="s">
        <v>308</v>
      </c>
      <c r="E61" s="163" t="s">
        <v>318</v>
      </c>
      <c r="F61" s="163">
        <v>1151</v>
      </c>
      <c r="G61" s="167" t="s">
        <v>202</v>
      </c>
      <c r="H61" s="151">
        <v>30.5</v>
      </c>
      <c r="I61" s="151">
        <v>24.4</v>
      </c>
      <c r="J61" s="163" t="s">
        <v>1332</v>
      </c>
      <c r="K61" s="151">
        <v>4</v>
      </c>
      <c r="L61" s="149">
        <v>1</v>
      </c>
      <c r="M61" s="177">
        <v>0</v>
      </c>
      <c r="N61" s="173">
        <v>6</v>
      </c>
      <c r="O61" s="173">
        <v>0</v>
      </c>
      <c r="P61" s="173">
        <v>2</v>
      </c>
      <c r="Q61" s="177">
        <v>8</v>
      </c>
      <c r="R61" s="174">
        <v>0</v>
      </c>
      <c r="S61" s="182">
        <v>2</v>
      </c>
      <c r="T61" s="183">
        <v>4</v>
      </c>
      <c r="U61" s="149"/>
      <c r="V61" s="149"/>
      <c r="W61" s="149" t="s">
        <v>87</v>
      </c>
      <c r="X61" s="149" t="s">
        <v>87</v>
      </c>
    </row>
    <row r="62" spans="2:25" x14ac:dyDescent="0.3">
      <c r="B62" s="166" t="s">
        <v>918</v>
      </c>
      <c r="C62" s="131"/>
      <c r="E62" s="163"/>
      <c r="F62" s="163"/>
      <c r="K62" s="149"/>
      <c r="L62" s="149"/>
      <c r="M62" s="177"/>
      <c r="N62" s="173"/>
      <c r="O62" s="173"/>
      <c r="P62" s="173"/>
      <c r="Q62" s="177"/>
      <c r="R62" s="174"/>
      <c r="S62" s="182"/>
      <c r="T62" s="183"/>
      <c r="U62" s="149"/>
      <c r="V62" s="149"/>
      <c r="W62" s="149"/>
      <c r="X62" s="149"/>
    </row>
    <row r="63" spans="2:25" x14ac:dyDescent="0.3">
      <c r="B63" s="161" t="s">
        <v>329</v>
      </c>
      <c r="C63" s="131"/>
      <c r="E63" s="163"/>
      <c r="F63" s="163"/>
      <c r="G63" s="167"/>
      <c r="H63" s="151"/>
      <c r="I63" s="151"/>
      <c r="K63" s="151"/>
      <c r="L63" s="149"/>
      <c r="M63" s="177"/>
      <c r="N63" s="173"/>
      <c r="O63" s="173"/>
      <c r="P63" s="173"/>
      <c r="Q63" s="177"/>
      <c r="R63" s="174"/>
      <c r="S63" s="182"/>
      <c r="T63" s="183"/>
      <c r="U63" s="149"/>
      <c r="V63" s="149"/>
      <c r="W63" s="149"/>
      <c r="X63" s="149"/>
    </row>
    <row r="64" spans="2:25" x14ac:dyDescent="0.3">
      <c r="B64" s="161" t="s">
        <v>330</v>
      </c>
      <c r="C64" s="131"/>
      <c r="E64" s="163"/>
      <c r="F64" s="163"/>
      <c r="G64" s="167"/>
      <c r="H64" s="151"/>
      <c r="I64" s="151"/>
      <c r="K64" s="151"/>
      <c r="L64" s="149"/>
      <c r="M64" s="177"/>
      <c r="N64" s="173"/>
      <c r="O64" s="173"/>
      <c r="P64" s="173"/>
      <c r="Q64" s="177"/>
      <c r="R64" s="174"/>
      <c r="S64" s="182"/>
      <c r="T64" s="183"/>
      <c r="U64" s="149"/>
      <c r="V64" s="149"/>
      <c r="W64" s="149"/>
      <c r="X64" s="149"/>
    </row>
    <row r="65" spans="2:24" x14ac:dyDescent="0.3">
      <c r="B65" s="162" t="s">
        <v>1393</v>
      </c>
      <c r="C65" s="131">
        <v>48050</v>
      </c>
      <c r="D65" s="162" t="s">
        <v>1395</v>
      </c>
      <c r="E65" s="163" t="s">
        <v>331</v>
      </c>
      <c r="F65" s="163">
        <v>1150</v>
      </c>
      <c r="G65" s="162" t="s">
        <v>307</v>
      </c>
      <c r="H65" s="163">
        <v>17</v>
      </c>
      <c r="I65" s="163">
        <v>19</v>
      </c>
      <c r="J65" s="163" t="s">
        <v>1333</v>
      </c>
      <c r="K65" s="151">
        <v>2</v>
      </c>
      <c r="L65" s="149">
        <v>1</v>
      </c>
      <c r="M65" s="177">
        <v>0</v>
      </c>
      <c r="N65" s="173">
        <v>0</v>
      </c>
      <c r="O65" s="173">
        <v>2</v>
      </c>
      <c r="P65" s="173">
        <v>4</v>
      </c>
      <c r="Q65" s="177">
        <v>2</v>
      </c>
      <c r="R65" s="174">
        <v>2</v>
      </c>
      <c r="S65" s="182">
        <v>1</v>
      </c>
      <c r="T65" s="183">
        <v>1</v>
      </c>
      <c r="U65" s="149" t="s">
        <v>87</v>
      </c>
      <c r="V65" s="149"/>
      <c r="W65" s="149"/>
      <c r="X65" s="149"/>
    </row>
    <row r="66" spans="2:24" x14ac:dyDescent="0.3">
      <c r="B66" s="162" t="s">
        <v>1394</v>
      </c>
      <c r="C66" s="131">
        <v>48990</v>
      </c>
      <c r="D66" s="162" t="s">
        <v>1395</v>
      </c>
      <c r="E66" s="163" t="s">
        <v>331</v>
      </c>
      <c r="F66" s="163">
        <v>1150</v>
      </c>
      <c r="G66" s="162" t="s">
        <v>307</v>
      </c>
      <c r="H66" s="163">
        <v>19</v>
      </c>
      <c r="I66" s="163">
        <v>17</v>
      </c>
      <c r="J66" s="163" t="s">
        <v>746</v>
      </c>
      <c r="K66" s="151">
        <v>2</v>
      </c>
      <c r="L66" s="149">
        <v>1</v>
      </c>
      <c r="M66" s="177">
        <v>0</v>
      </c>
      <c r="N66" s="173">
        <v>0</v>
      </c>
      <c r="O66" s="173">
        <v>2</v>
      </c>
      <c r="P66" s="173">
        <v>4</v>
      </c>
      <c r="Q66" s="177">
        <v>2</v>
      </c>
      <c r="R66" s="174">
        <v>2</v>
      </c>
      <c r="S66" s="182">
        <v>1</v>
      </c>
      <c r="T66" s="183">
        <v>1</v>
      </c>
      <c r="U66" s="149" t="s">
        <v>87</v>
      </c>
      <c r="V66" s="149" t="s">
        <v>87</v>
      </c>
      <c r="W66" s="149"/>
      <c r="X66" s="149"/>
    </row>
    <row r="67" spans="2:24" x14ac:dyDescent="0.3">
      <c r="B67" s="162" t="s">
        <v>1390</v>
      </c>
      <c r="C67" s="131">
        <v>57300</v>
      </c>
      <c r="D67" s="162" t="s">
        <v>42</v>
      </c>
      <c r="E67" s="163" t="s">
        <v>331</v>
      </c>
      <c r="F67" s="163">
        <v>1150</v>
      </c>
      <c r="G67" s="167" t="s">
        <v>307</v>
      </c>
      <c r="H67" s="163">
        <v>19</v>
      </c>
      <c r="I67" s="163">
        <v>17.7</v>
      </c>
      <c r="J67" s="163" t="s">
        <v>1333</v>
      </c>
      <c r="K67" s="151">
        <v>2</v>
      </c>
      <c r="L67" s="149">
        <v>2</v>
      </c>
      <c r="M67" s="177">
        <v>0</v>
      </c>
      <c r="N67" s="173">
        <v>0</v>
      </c>
      <c r="O67" s="173">
        <v>2</v>
      </c>
      <c r="P67" s="173">
        <v>2</v>
      </c>
      <c r="Q67" s="177">
        <v>2</v>
      </c>
      <c r="R67" s="174">
        <v>2</v>
      </c>
      <c r="S67" s="182">
        <v>1</v>
      </c>
      <c r="T67" s="183">
        <v>1</v>
      </c>
      <c r="U67" s="149" t="s">
        <v>87</v>
      </c>
      <c r="V67" s="149" t="s">
        <v>87</v>
      </c>
      <c r="W67" s="149"/>
      <c r="X67" s="149"/>
    </row>
    <row r="68" spans="2:24" x14ac:dyDescent="0.3">
      <c r="B68" s="162" t="s">
        <v>1391</v>
      </c>
      <c r="C68" s="131">
        <v>64000</v>
      </c>
      <c r="D68" s="162" t="s">
        <v>42</v>
      </c>
      <c r="E68" s="163" t="s">
        <v>331</v>
      </c>
      <c r="F68" s="163">
        <v>1150</v>
      </c>
      <c r="G68" s="167" t="s">
        <v>307</v>
      </c>
      <c r="H68" s="163">
        <v>24.4</v>
      </c>
      <c r="I68" s="163">
        <v>24.4</v>
      </c>
      <c r="J68" s="163" t="s">
        <v>1333</v>
      </c>
      <c r="K68" s="151">
        <v>2</v>
      </c>
      <c r="L68" s="149">
        <v>2</v>
      </c>
      <c r="M68" s="177">
        <v>0</v>
      </c>
      <c r="N68" s="173">
        <v>0</v>
      </c>
      <c r="O68" s="173">
        <v>2</v>
      </c>
      <c r="P68" s="173">
        <v>2</v>
      </c>
      <c r="Q68" s="177">
        <v>2</v>
      </c>
      <c r="R68" s="174">
        <v>2</v>
      </c>
      <c r="S68" s="182">
        <v>1</v>
      </c>
      <c r="T68" s="183">
        <v>1</v>
      </c>
      <c r="U68" s="149" t="s">
        <v>87</v>
      </c>
      <c r="V68" s="149" t="s">
        <v>87</v>
      </c>
      <c r="W68" s="149"/>
      <c r="X68" s="149"/>
    </row>
    <row r="69" spans="2:24" x14ac:dyDescent="0.3">
      <c r="B69" s="162" t="s">
        <v>1392</v>
      </c>
      <c r="C69" s="131">
        <v>95000</v>
      </c>
      <c r="D69" s="162" t="s">
        <v>42</v>
      </c>
      <c r="E69" s="163" t="s">
        <v>331</v>
      </c>
      <c r="F69" s="163">
        <v>1150</v>
      </c>
      <c r="G69" s="162" t="s">
        <v>314</v>
      </c>
      <c r="H69" s="163">
        <v>17</v>
      </c>
      <c r="I69" s="163">
        <v>17</v>
      </c>
      <c r="J69" s="163" t="s">
        <v>1333</v>
      </c>
      <c r="K69" s="151">
        <v>2</v>
      </c>
      <c r="L69" s="149">
        <v>1</v>
      </c>
      <c r="M69" s="177">
        <v>0</v>
      </c>
      <c r="N69" s="173">
        <v>0</v>
      </c>
      <c r="O69" s="173">
        <v>2</v>
      </c>
      <c r="P69" s="173">
        <v>4</v>
      </c>
      <c r="Q69" s="177">
        <v>2</v>
      </c>
      <c r="R69" s="174">
        <v>2</v>
      </c>
      <c r="S69" s="182">
        <v>1</v>
      </c>
      <c r="T69" s="183">
        <v>1</v>
      </c>
      <c r="U69" s="149" t="s">
        <v>87</v>
      </c>
      <c r="V69" s="149" t="s">
        <v>87</v>
      </c>
      <c r="W69" s="149" t="s">
        <v>87</v>
      </c>
      <c r="X69" s="149"/>
    </row>
    <row r="70" spans="2:24" x14ac:dyDescent="0.3">
      <c r="B70" s="162" t="s">
        <v>1388</v>
      </c>
      <c r="C70" s="131">
        <v>49950</v>
      </c>
      <c r="D70" s="162" t="s">
        <v>308</v>
      </c>
      <c r="E70" s="163" t="s">
        <v>331</v>
      </c>
      <c r="F70" s="163">
        <v>1150</v>
      </c>
      <c r="G70" s="162" t="s">
        <v>307</v>
      </c>
      <c r="H70" s="163">
        <v>17.3</v>
      </c>
      <c r="I70" s="163">
        <v>22.6</v>
      </c>
      <c r="J70" s="163" t="s">
        <v>1333</v>
      </c>
      <c r="K70" s="149">
        <v>2</v>
      </c>
      <c r="L70" s="149">
        <v>2</v>
      </c>
      <c r="M70" s="177">
        <v>0</v>
      </c>
      <c r="N70" s="173">
        <v>0</v>
      </c>
      <c r="O70" s="173">
        <v>2</v>
      </c>
      <c r="P70" s="173">
        <v>2</v>
      </c>
      <c r="Q70" s="177">
        <v>2</v>
      </c>
      <c r="R70" s="174">
        <v>2</v>
      </c>
      <c r="S70" s="182">
        <v>1</v>
      </c>
      <c r="T70" s="183">
        <v>1</v>
      </c>
      <c r="U70" s="149" t="s">
        <v>87</v>
      </c>
      <c r="V70" s="149" t="s">
        <v>87</v>
      </c>
      <c r="W70" s="149"/>
      <c r="X70" s="149"/>
    </row>
    <row r="71" spans="2:24" x14ac:dyDescent="0.3">
      <c r="B71" s="162" t="s">
        <v>1389</v>
      </c>
      <c r="C71" s="131">
        <v>62900</v>
      </c>
      <c r="D71" s="162" t="s">
        <v>1371</v>
      </c>
      <c r="E71" s="163" t="s">
        <v>331</v>
      </c>
      <c r="F71" s="163">
        <v>1150</v>
      </c>
      <c r="G71" s="162" t="s">
        <v>307</v>
      </c>
      <c r="H71" s="163">
        <v>22.6</v>
      </c>
      <c r="I71" s="163">
        <v>17.3</v>
      </c>
      <c r="J71" s="163" t="s">
        <v>1333</v>
      </c>
      <c r="K71" s="151">
        <v>2</v>
      </c>
      <c r="L71" s="149">
        <v>2</v>
      </c>
      <c r="M71" s="177">
        <v>0</v>
      </c>
      <c r="N71" s="173">
        <v>0</v>
      </c>
      <c r="O71" s="173">
        <v>4</v>
      </c>
      <c r="P71" s="173">
        <v>2</v>
      </c>
      <c r="Q71" s="177">
        <v>2</v>
      </c>
      <c r="R71" s="174">
        <v>2</v>
      </c>
      <c r="S71" s="182">
        <v>1</v>
      </c>
      <c r="T71" s="183">
        <v>1</v>
      </c>
      <c r="U71" s="149" t="s">
        <v>87</v>
      </c>
      <c r="V71" s="149" t="s">
        <v>87</v>
      </c>
      <c r="W71" s="149" t="s">
        <v>87</v>
      </c>
      <c r="X71" s="149"/>
    </row>
    <row r="72" spans="2:24" x14ac:dyDescent="0.3">
      <c r="B72" s="166" t="s">
        <v>918</v>
      </c>
      <c r="C72" s="131"/>
      <c r="E72" s="163"/>
      <c r="F72" s="163"/>
      <c r="K72" s="151"/>
      <c r="L72" s="149"/>
      <c r="M72" s="177"/>
      <c r="N72" s="173"/>
      <c r="O72" s="173"/>
      <c r="P72" s="173"/>
      <c r="Q72" s="177"/>
      <c r="R72" s="174"/>
      <c r="S72" s="182"/>
      <c r="T72" s="183"/>
      <c r="U72" s="149"/>
      <c r="V72" s="149"/>
      <c r="W72" s="149"/>
      <c r="X72" s="149"/>
    </row>
    <row r="73" spans="2:24" x14ac:dyDescent="0.3">
      <c r="B73" s="161" t="s">
        <v>332</v>
      </c>
      <c r="C73" s="131"/>
      <c r="E73" s="163"/>
      <c r="F73" s="163"/>
      <c r="G73" s="167"/>
      <c r="H73" s="151"/>
      <c r="I73" s="151"/>
      <c r="K73" s="151"/>
      <c r="L73" s="149"/>
      <c r="M73" s="177"/>
      <c r="N73" s="173"/>
      <c r="O73" s="173"/>
      <c r="P73" s="173"/>
      <c r="Q73" s="177"/>
      <c r="R73" s="174"/>
      <c r="S73" s="182"/>
      <c r="T73" s="183"/>
      <c r="U73" s="149"/>
      <c r="V73" s="149"/>
      <c r="W73" s="149"/>
      <c r="X73" s="149"/>
    </row>
    <row r="74" spans="2:24" x14ac:dyDescent="0.3">
      <c r="B74" s="162" t="s">
        <v>1398</v>
      </c>
      <c r="C74" s="131">
        <v>57960</v>
      </c>
      <c r="D74" s="162" t="s">
        <v>1395</v>
      </c>
      <c r="E74" s="163" t="s">
        <v>333</v>
      </c>
      <c r="F74" s="163">
        <v>1150</v>
      </c>
      <c r="G74" s="162" t="s">
        <v>307</v>
      </c>
      <c r="H74" s="163">
        <v>23</v>
      </c>
      <c r="I74" s="163">
        <v>17.3</v>
      </c>
      <c r="J74" s="163" t="s">
        <v>746</v>
      </c>
      <c r="K74" s="151">
        <v>4</v>
      </c>
      <c r="L74" s="149">
        <v>1</v>
      </c>
      <c r="M74" s="177">
        <v>0</v>
      </c>
      <c r="N74" s="173">
        <v>0</v>
      </c>
      <c r="O74" s="173">
        <v>2</v>
      </c>
      <c r="P74" s="173">
        <v>4</v>
      </c>
      <c r="Q74" s="177">
        <v>4</v>
      </c>
      <c r="R74" s="174">
        <v>0</v>
      </c>
      <c r="S74" s="182">
        <v>1</v>
      </c>
      <c r="T74" s="183">
        <v>1</v>
      </c>
      <c r="U74" s="149" t="s">
        <v>87</v>
      </c>
      <c r="V74" s="149" t="s">
        <v>87</v>
      </c>
      <c r="W74" s="149"/>
      <c r="X74" s="149"/>
    </row>
    <row r="75" spans="2:24" x14ac:dyDescent="0.3">
      <c r="B75" s="162" t="s">
        <v>1397</v>
      </c>
      <c r="C75" s="131">
        <v>63800</v>
      </c>
      <c r="D75" s="162" t="s">
        <v>1395</v>
      </c>
      <c r="E75" s="163" t="s">
        <v>333</v>
      </c>
      <c r="F75" s="163">
        <v>1150</v>
      </c>
      <c r="G75" s="162" t="s">
        <v>307</v>
      </c>
      <c r="H75" s="163">
        <v>24.4</v>
      </c>
      <c r="I75" s="163">
        <v>21.8</v>
      </c>
      <c r="J75" s="163" t="s">
        <v>746</v>
      </c>
      <c r="K75" s="151">
        <v>4</v>
      </c>
      <c r="L75" s="149">
        <v>2</v>
      </c>
      <c r="M75" s="177">
        <v>0</v>
      </c>
      <c r="N75" s="173">
        <v>0</v>
      </c>
      <c r="O75" s="173">
        <v>2</v>
      </c>
      <c r="P75" s="173">
        <v>4</v>
      </c>
      <c r="Q75" s="177">
        <v>4</v>
      </c>
      <c r="R75" s="174">
        <v>0</v>
      </c>
      <c r="S75" s="182">
        <v>1</v>
      </c>
      <c r="T75" s="183">
        <v>1</v>
      </c>
      <c r="U75" s="149" t="s">
        <v>87</v>
      </c>
      <c r="V75" s="149" t="s">
        <v>87</v>
      </c>
      <c r="W75" s="149" t="s">
        <v>87</v>
      </c>
      <c r="X75" s="149"/>
    </row>
    <row r="76" spans="2:24" x14ac:dyDescent="0.3">
      <c r="B76" s="162" t="s">
        <v>1396</v>
      </c>
      <c r="C76" s="131">
        <v>70640</v>
      </c>
      <c r="D76" s="162" t="s">
        <v>1395</v>
      </c>
      <c r="E76" s="163" t="s">
        <v>333</v>
      </c>
      <c r="F76" s="163">
        <v>1150</v>
      </c>
      <c r="G76" s="162" t="s">
        <v>307</v>
      </c>
      <c r="H76" s="163">
        <v>24.4</v>
      </c>
      <c r="I76" s="163">
        <v>21.8</v>
      </c>
      <c r="J76" s="163" t="s">
        <v>746</v>
      </c>
      <c r="K76" s="151">
        <v>4</v>
      </c>
      <c r="L76" s="168" t="s">
        <v>1217</v>
      </c>
      <c r="M76" s="177">
        <v>0</v>
      </c>
      <c r="N76" s="173">
        <v>0</v>
      </c>
      <c r="O76" s="173">
        <v>2</v>
      </c>
      <c r="P76" s="173">
        <v>4</v>
      </c>
      <c r="Q76" s="177">
        <v>4</v>
      </c>
      <c r="R76" s="174">
        <v>2</v>
      </c>
      <c r="S76" s="182">
        <v>1</v>
      </c>
      <c r="T76" s="183">
        <v>2</v>
      </c>
      <c r="U76" s="149" t="s">
        <v>87</v>
      </c>
      <c r="V76" s="149" t="s">
        <v>87</v>
      </c>
      <c r="W76" s="149"/>
      <c r="X76" s="149"/>
    </row>
    <row r="77" spans="2:24" x14ac:dyDescent="0.3">
      <c r="B77" s="162" t="s">
        <v>1399</v>
      </c>
      <c r="C77" s="131">
        <v>71990</v>
      </c>
      <c r="D77" s="162" t="s">
        <v>42</v>
      </c>
      <c r="E77" s="163" t="s">
        <v>333</v>
      </c>
      <c r="F77" s="163">
        <v>1150</v>
      </c>
      <c r="G77" s="167" t="s">
        <v>307</v>
      </c>
      <c r="H77" s="163">
        <v>23.4</v>
      </c>
      <c r="I77" s="163">
        <v>19.3</v>
      </c>
      <c r="J77" s="163" t="s">
        <v>1333</v>
      </c>
      <c r="K77" s="151">
        <v>4</v>
      </c>
      <c r="L77" s="149">
        <v>2</v>
      </c>
      <c r="M77" s="177">
        <v>0</v>
      </c>
      <c r="N77" s="173">
        <v>0</v>
      </c>
      <c r="O77" s="173">
        <v>2</v>
      </c>
      <c r="P77" s="173">
        <v>4</v>
      </c>
      <c r="Q77" s="177">
        <v>4</v>
      </c>
      <c r="R77" s="174">
        <v>2</v>
      </c>
      <c r="S77" s="182">
        <v>1</v>
      </c>
      <c r="T77" s="183">
        <v>1</v>
      </c>
      <c r="U77" s="149" t="s">
        <v>87</v>
      </c>
      <c r="V77" s="149" t="s">
        <v>87</v>
      </c>
      <c r="W77" s="149"/>
      <c r="X77" s="149"/>
    </row>
    <row r="78" spans="2:24" x14ac:dyDescent="0.3">
      <c r="B78" s="162" t="s">
        <v>1400</v>
      </c>
      <c r="C78" s="131">
        <v>94270</v>
      </c>
      <c r="D78" s="162" t="s">
        <v>42</v>
      </c>
      <c r="E78" s="163" t="s">
        <v>333</v>
      </c>
      <c r="F78" s="163">
        <v>1150</v>
      </c>
      <c r="G78" s="162" t="s">
        <v>202</v>
      </c>
      <c r="H78" s="163">
        <v>30.5</v>
      </c>
      <c r="I78" s="163">
        <v>20.8</v>
      </c>
      <c r="J78" s="163" t="s">
        <v>1333</v>
      </c>
      <c r="K78" s="151">
        <v>4</v>
      </c>
      <c r="L78" s="149">
        <v>2</v>
      </c>
      <c r="M78" s="177">
        <v>0</v>
      </c>
      <c r="N78" s="173">
        <v>0</v>
      </c>
      <c r="O78" s="173">
        <v>2</v>
      </c>
      <c r="P78" s="173">
        <v>4</v>
      </c>
      <c r="Q78" s="177">
        <v>4</v>
      </c>
      <c r="R78" s="174">
        <v>2</v>
      </c>
      <c r="S78" s="182">
        <v>1</v>
      </c>
      <c r="T78" s="183">
        <v>2</v>
      </c>
      <c r="U78" s="149" t="s">
        <v>87</v>
      </c>
      <c r="V78" s="149" t="s">
        <v>87</v>
      </c>
      <c r="W78" s="149"/>
      <c r="X78" s="149"/>
    </row>
    <row r="79" spans="2:24" x14ac:dyDescent="0.3">
      <c r="B79" s="162" t="s">
        <v>1401</v>
      </c>
      <c r="C79" s="131">
        <v>59500</v>
      </c>
      <c r="D79" s="162" t="s">
        <v>308</v>
      </c>
      <c r="E79" s="163" t="s">
        <v>333</v>
      </c>
      <c r="F79" s="163">
        <v>1150</v>
      </c>
      <c r="G79" s="162" t="s">
        <v>307</v>
      </c>
      <c r="H79" s="163">
        <v>24.4</v>
      </c>
      <c r="I79" s="163">
        <v>22.8</v>
      </c>
      <c r="J79" s="163" t="s">
        <v>1333</v>
      </c>
      <c r="K79" s="151">
        <v>4</v>
      </c>
      <c r="L79" s="149">
        <v>2</v>
      </c>
      <c r="M79" s="177">
        <v>0</v>
      </c>
      <c r="N79" s="173">
        <v>0</v>
      </c>
      <c r="O79" s="173">
        <v>2</v>
      </c>
      <c r="P79" s="173">
        <v>4</v>
      </c>
      <c r="Q79" s="177">
        <v>4</v>
      </c>
      <c r="R79" s="174">
        <v>2</v>
      </c>
      <c r="S79" s="182">
        <v>1</v>
      </c>
      <c r="T79" s="183">
        <v>1</v>
      </c>
      <c r="U79" s="149" t="s">
        <v>87</v>
      </c>
      <c r="V79" s="149" t="s">
        <v>87</v>
      </c>
      <c r="W79" s="149"/>
      <c r="X79" s="149"/>
    </row>
    <row r="80" spans="2:24" x14ac:dyDescent="0.3">
      <c r="B80" s="162" t="s">
        <v>1402</v>
      </c>
      <c r="C80" s="131">
        <v>72900</v>
      </c>
      <c r="D80" s="162" t="s">
        <v>164</v>
      </c>
      <c r="E80" s="163" t="s">
        <v>333</v>
      </c>
      <c r="F80" s="163">
        <v>1150</v>
      </c>
      <c r="G80" s="162" t="s">
        <v>307</v>
      </c>
      <c r="H80" s="163">
        <v>22.6</v>
      </c>
      <c r="I80" s="163">
        <v>19.3</v>
      </c>
      <c r="J80" s="163" t="s">
        <v>1333</v>
      </c>
      <c r="K80" s="151">
        <v>4</v>
      </c>
      <c r="L80" s="149">
        <v>1</v>
      </c>
      <c r="M80" s="177">
        <v>0</v>
      </c>
      <c r="N80" s="173">
        <v>0</v>
      </c>
      <c r="O80" s="173">
        <v>2</v>
      </c>
      <c r="P80" s="173">
        <v>4</v>
      </c>
      <c r="Q80" s="177">
        <v>4</v>
      </c>
      <c r="R80" s="174">
        <v>2</v>
      </c>
      <c r="S80" s="182">
        <v>1</v>
      </c>
      <c r="T80" s="183">
        <v>1</v>
      </c>
      <c r="U80" s="149" t="s">
        <v>87</v>
      </c>
      <c r="V80" s="149" t="s">
        <v>87</v>
      </c>
      <c r="W80" s="149"/>
      <c r="X80" s="149"/>
    </row>
    <row r="81" spans="2:24" x14ac:dyDescent="0.3">
      <c r="B81" s="162" t="s">
        <v>1403</v>
      </c>
      <c r="C81" s="131">
        <v>109000</v>
      </c>
      <c r="D81" s="162" t="s">
        <v>164</v>
      </c>
      <c r="E81" s="163" t="s">
        <v>333</v>
      </c>
      <c r="F81" s="163">
        <v>1150</v>
      </c>
      <c r="G81" s="162" t="s">
        <v>202</v>
      </c>
      <c r="H81" s="163">
        <v>30.5</v>
      </c>
      <c r="I81" s="163">
        <v>19</v>
      </c>
      <c r="J81" s="163" t="s">
        <v>746</v>
      </c>
      <c r="K81" s="151">
        <v>4</v>
      </c>
      <c r="L81" s="149">
        <v>1</v>
      </c>
      <c r="M81" s="177">
        <v>0</v>
      </c>
      <c r="N81" s="173">
        <v>0</v>
      </c>
      <c r="O81" s="173">
        <v>2</v>
      </c>
      <c r="P81" s="173">
        <v>4</v>
      </c>
      <c r="Q81" s="177">
        <v>4</v>
      </c>
      <c r="R81" s="174">
        <v>2</v>
      </c>
      <c r="S81" s="182">
        <v>1</v>
      </c>
      <c r="T81" s="183">
        <v>2</v>
      </c>
      <c r="U81" s="149" t="s">
        <v>87</v>
      </c>
      <c r="V81" s="149" t="s">
        <v>87</v>
      </c>
      <c r="W81" s="149" t="s">
        <v>87</v>
      </c>
      <c r="X81" s="149"/>
    </row>
    <row r="82" spans="2:24" x14ac:dyDescent="0.3">
      <c r="B82" s="166" t="s">
        <v>918</v>
      </c>
      <c r="C82" s="131"/>
      <c r="E82" s="163"/>
      <c r="F82" s="163"/>
      <c r="K82" s="151"/>
      <c r="L82" s="149"/>
      <c r="M82" s="177"/>
      <c r="N82" s="173"/>
      <c r="O82" s="173"/>
      <c r="P82" s="173"/>
      <c r="Q82" s="177"/>
      <c r="R82" s="174"/>
      <c r="S82" s="182"/>
      <c r="T82" s="183"/>
      <c r="U82" s="149"/>
      <c r="V82" s="149"/>
      <c r="W82" s="149"/>
      <c r="X82" s="149"/>
    </row>
    <row r="83" spans="2:24" x14ac:dyDescent="0.3">
      <c r="B83" s="161" t="s">
        <v>334</v>
      </c>
      <c r="C83" s="131"/>
      <c r="E83" s="163"/>
      <c r="F83" s="163"/>
      <c r="K83" s="151"/>
      <c r="L83" s="149"/>
      <c r="M83" s="177"/>
      <c r="N83" s="173"/>
      <c r="O83" s="173"/>
      <c r="P83" s="173"/>
      <c r="Q83" s="177"/>
      <c r="R83" s="174"/>
      <c r="S83" s="182"/>
      <c r="T83" s="183"/>
      <c r="U83" s="149"/>
      <c r="V83" s="149"/>
      <c r="W83" s="149"/>
      <c r="X83" s="149"/>
    </row>
    <row r="84" spans="2:24" x14ac:dyDescent="0.3">
      <c r="B84" s="162" t="s">
        <v>1410</v>
      </c>
      <c r="C84" s="131">
        <v>120910</v>
      </c>
      <c r="D84" s="162" t="s">
        <v>1395</v>
      </c>
      <c r="E84" s="163" t="s">
        <v>335</v>
      </c>
      <c r="F84" s="163">
        <v>1150</v>
      </c>
      <c r="G84" s="162" t="s">
        <v>202</v>
      </c>
      <c r="H84" s="163">
        <v>30.5</v>
      </c>
      <c r="I84" s="163">
        <v>24.4</v>
      </c>
      <c r="J84" s="163" t="s">
        <v>1333</v>
      </c>
      <c r="K84" s="151">
        <v>4</v>
      </c>
      <c r="L84" s="149">
        <v>1</v>
      </c>
      <c r="M84" s="177">
        <v>0</v>
      </c>
      <c r="N84" s="173">
        <v>0</v>
      </c>
      <c r="O84" s="173">
        <v>4</v>
      </c>
      <c r="P84" s="173">
        <v>4</v>
      </c>
      <c r="Q84" s="177">
        <v>6</v>
      </c>
      <c r="R84" s="174">
        <v>0</v>
      </c>
      <c r="S84" s="182">
        <v>1</v>
      </c>
      <c r="T84" s="183">
        <v>2</v>
      </c>
      <c r="U84" s="149" t="s">
        <v>87</v>
      </c>
      <c r="V84" s="149" t="s">
        <v>87</v>
      </c>
      <c r="W84" s="149" t="s">
        <v>87</v>
      </c>
      <c r="X84" s="149"/>
    </row>
    <row r="85" spans="2:24" x14ac:dyDescent="0.3">
      <c r="B85" s="162" t="s">
        <v>1409</v>
      </c>
      <c r="C85" s="131">
        <v>108000</v>
      </c>
      <c r="D85" s="162" t="s">
        <v>308</v>
      </c>
      <c r="E85" s="163" t="s">
        <v>335</v>
      </c>
      <c r="F85" s="163">
        <v>1150</v>
      </c>
      <c r="G85" s="162" t="s">
        <v>307</v>
      </c>
      <c r="H85" s="163">
        <v>24.4</v>
      </c>
      <c r="I85" s="163">
        <v>24.4</v>
      </c>
      <c r="J85" s="163" t="s">
        <v>1333</v>
      </c>
      <c r="K85" s="151">
        <v>4</v>
      </c>
      <c r="L85" s="149">
        <v>1</v>
      </c>
      <c r="M85" s="177">
        <v>0</v>
      </c>
      <c r="N85" s="173">
        <v>0</v>
      </c>
      <c r="O85" s="173">
        <v>4</v>
      </c>
      <c r="P85" s="173">
        <v>2</v>
      </c>
      <c r="Q85" s="177">
        <v>6</v>
      </c>
      <c r="R85" s="174">
        <v>0</v>
      </c>
      <c r="S85" s="182">
        <v>1</v>
      </c>
      <c r="T85" s="183">
        <v>2</v>
      </c>
      <c r="U85" s="149" t="s">
        <v>87</v>
      </c>
      <c r="V85" s="149" t="s">
        <v>87</v>
      </c>
      <c r="W85" s="149" t="s">
        <v>87</v>
      </c>
      <c r="X85" s="149" t="s">
        <v>87</v>
      </c>
    </row>
    <row r="86" spans="2:24" x14ac:dyDescent="0.3">
      <c r="B86" s="166" t="s">
        <v>918</v>
      </c>
      <c r="C86" s="131"/>
      <c r="E86" s="163"/>
      <c r="F86" s="163"/>
      <c r="K86" s="151"/>
      <c r="L86" s="149"/>
      <c r="M86" s="177"/>
      <c r="N86" s="173"/>
      <c r="O86" s="173"/>
      <c r="P86" s="173"/>
      <c r="Q86" s="177"/>
      <c r="R86" s="174"/>
      <c r="S86" s="182"/>
      <c r="T86" s="183"/>
      <c r="U86" s="149"/>
      <c r="V86" s="149"/>
      <c r="W86" s="149"/>
      <c r="X86" s="149"/>
    </row>
    <row r="87" spans="2:24" x14ac:dyDescent="0.3">
      <c r="B87" s="161" t="s">
        <v>336</v>
      </c>
      <c r="C87" s="131"/>
      <c r="E87" s="163"/>
      <c r="F87" s="163"/>
      <c r="K87" s="151"/>
      <c r="L87" s="149"/>
      <c r="M87" s="177"/>
      <c r="N87" s="173"/>
      <c r="O87" s="173"/>
      <c r="P87" s="173"/>
      <c r="Q87" s="177"/>
      <c r="R87" s="174"/>
      <c r="S87" s="182"/>
      <c r="T87" s="183"/>
      <c r="U87" s="149"/>
      <c r="V87" s="149"/>
      <c r="W87" s="149"/>
      <c r="X87" s="149"/>
    </row>
    <row r="88" spans="2:24" x14ac:dyDescent="0.3">
      <c r="B88" s="162" t="s">
        <v>1411</v>
      </c>
      <c r="C88" s="131">
        <v>180000</v>
      </c>
      <c r="D88" s="162" t="s">
        <v>42</v>
      </c>
      <c r="E88" s="163" t="s">
        <v>337</v>
      </c>
      <c r="F88" s="163">
        <v>1150</v>
      </c>
      <c r="G88" s="162" t="s">
        <v>202</v>
      </c>
      <c r="H88" s="163">
        <v>30.5</v>
      </c>
      <c r="I88" s="163">
        <v>24.4</v>
      </c>
      <c r="J88" s="163" t="s">
        <v>1333</v>
      </c>
      <c r="K88" s="151">
        <v>4</v>
      </c>
      <c r="L88" s="149">
        <v>1</v>
      </c>
      <c r="M88" s="177">
        <v>0</v>
      </c>
      <c r="N88" s="173">
        <v>0</v>
      </c>
      <c r="O88" s="173">
        <v>4</v>
      </c>
      <c r="P88" s="173">
        <v>2</v>
      </c>
      <c r="Q88" s="177">
        <v>6</v>
      </c>
      <c r="R88" s="174">
        <v>0</v>
      </c>
      <c r="S88" s="182">
        <v>2</v>
      </c>
      <c r="T88" s="183">
        <v>3</v>
      </c>
      <c r="U88" s="149" t="s">
        <v>87</v>
      </c>
      <c r="V88" s="149" t="s">
        <v>87</v>
      </c>
      <c r="W88" s="149" t="s">
        <v>87</v>
      </c>
      <c r="X88" s="149" t="s">
        <v>87</v>
      </c>
    </row>
    <row r="89" spans="2:24" x14ac:dyDescent="0.3">
      <c r="B89" s="162" t="s">
        <v>338</v>
      </c>
      <c r="C89" s="131">
        <v>175000</v>
      </c>
      <c r="D89" s="162" t="s">
        <v>164</v>
      </c>
      <c r="E89" s="163" t="s">
        <v>337</v>
      </c>
      <c r="F89" s="163">
        <v>1150</v>
      </c>
      <c r="G89" s="162" t="s">
        <v>202</v>
      </c>
      <c r="H89" s="163">
        <v>30.5</v>
      </c>
      <c r="I89" s="163">
        <v>22.5</v>
      </c>
      <c r="J89" s="163" t="s">
        <v>1333</v>
      </c>
      <c r="K89" s="151">
        <v>4</v>
      </c>
      <c r="L89" s="149">
        <v>2</v>
      </c>
      <c r="M89" s="177">
        <v>0</v>
      </c>
      <c r="N89" s="173">
        <v>0</v>
      </c>
      <c r="O89" s="173">
        <v>4</v>
      </c>
      <c r="P89" s="173">
        <v>4</v>
      </c>
      <c r="Q89" s="177">
        <v>6</v>
      </c>
      <c r="R89" s="174">
        <v>0</v>
      </c>
      <c r="S89" s="182">
        <v>2</v>
      </c>
      <c r="T89" s="183">
        <v>3</v>
      </c>
      <c r="U89" s="149" t="s">
        <v>87</v>
      </c>
      <c r="V89" s="149" t="s">
        <v>87</v>
      </c>
      <c r="W89" s="149" t="s">
        <v>87</v>
      </c>
      <c r="X89" s="149"/>
    </row>
    <row r="90" spans="2:24" x14ac:dyDescent="0.3">
      <c r="B90" s="162" t="s">
        <v>1412</v>
      </c>
      <c r="C90" s="131">
        <v>175000</v>
      </c>
      <c r="D90" s="162" t="s">
        <v>164</v>
      </c>
      <c r="E90" s="163" t="s">
        <v>337</v>
      </c>
      <c r="F90" s="163">
        <v>1150</v>
      </c>
      <c r="G90" s="162" t="s">
        <v>202</v>
      </c>
      <c r="H90" s="163">
        <v>30.5</v>
      </c>
      <c r="I90" s="163">
        <v>24.4</v>
      </c>
      <c r="J90" s="163" t="s">
        <v>1333</v>
      </c>
      <c r="K90" s="151">
        <v>4</v>
      </c>
      <c r="L90" s="149">
        <v>1</v>
      </c>
      <c r="M90" s="177">
        <v>0</v>
      </c>
      <c r="N90" s="173">
        <v>0</v>
      </c>
      <c r="O90" s="173">
        <v>4</v>
      </c>
      <c r="P90" s="173">
        <v>4</v>
      </c>
      <c r="Q90" s="177">
        <v>6</v>
      </c>
      <c r="R90" s="174">
        <v>0</v>
      </c>
      <c r="S90" s="182">
        <v>2</v>
      </c>
      <c r="T90" s="183">
        <v>4</v>
      </c>
      <c r="U90" s="149" t="s">
        <v>87</v>
      </c>
      <c r="V90" s="149" t="s">
        <v>87</v>
      </c>
      <c r="W90" s="149" t="s">
        <v>87</v>
      </c>
      <c r="X90" s="149" t="s">
        <v>87</v>
      </c>
    </row>
    <row r="91" spans="2:24" x14ac:dyDescent="0.3">
      <c r="B91" s="166" t="s">
        <v>918</v>
      </c>
      <c r="C91" s="131"/>
      <c r="E91" s="163"/>
      <c r="F91" s="163"/>
      <c r="K91" s="151"/>
      <c r="L91" s="149"/>
      <c r="M91" s="177"/>
      <c r="N91" s="173"/>
      <c r="O91" s="173"/>
      <c r="P91" s="173"/>
      <c r="Q91" s="177"/>
      <c r="R91" s="174"/>
      <c r="S91" s="182"/>
      <c r="T91" s="183"/>
      <c r="U91" s="149"/>
      <c r="V91" s="149"/>
      <c r="W91" s="149"/>
      <c r="X91" s="149"/>
    </row>
    <row r="92" spans="2:24" x14ac:dyDescent="0.3">
      <c r="B92" s="161" t="s">
        <v>339</v>
      </c>
      <c r="C92" s="131"/>
      <c r="E92" s="163"/>
      <c r="F92" s="163"/>
      <c r="K92" s="151"/>
      <c r="L92" s="149"/>
      <c r="M92" s="177"/>
      <c r="N92" s="173"/>
      <c r="O92" s="173"/>
      <c r="P92" s="173"/>
      <c r="Q92" s="177"/>
      <c r="R92" s="174"/>
      <c r="S92" s="182"/>
      <c r="T92" s="183"/>
      <c r="U92" s="149"/>
      <c r="V92" s="149"/>
      <c r="W92" s="149"/>
      <c r="X92" s="149"/>
    </row>
    <row r="93" spans="2:24" x14ac:dyDescent="0.3">
      <c r="B93" s="162" t="s">
        <v>1447</v>
      </c>
      <c r="C93" s="131">
        <v>309400</v>
      </c>
      <c r="D93" s="162" t="s">
        <v>1395</v>
      </c>
      <c r="E93" s="163" t="s">
        <v>1415</v>
      </c>
      <c r="F93" s="163" t="s">
        <v>341</v>
      </c>
      <c r="G93" s="167" t="s">
        <v>1435</v>
      </c>
      <c r="H93" s="163">
        <v>30.5</v>
      </c>
      <c r="I93" s="163">
        <v>24.4</v>
      </c>
      <c r="J93" s="163" t="s">
        <v>754</v>
      </c>
      <c r="K93" s="151">
        <v>8</v>
      </c>
      <c r="L93" s="149">
        <v>1</v>
      </c>
      <c r="M93" s="177">
        <v>1</v>
      </c>
      <c r="N93" s="173">
        <v>1</v>
      </c>
      <c r="O93" s="173">
        <v>3</v>
      </c>
      <c r="P93" s="173">
        <v>3</v>
      </c>
      <c r="Q93" s="177">
        <v>10</v>
      </c>
      <c r="R93" s="174">
        <v>0</v>
      </c>
      <c r="S93" s="182">
        <v>3</v>
      </c>
      <c r="T93" s="183">
        <v>3</v>
      </c>
      <c r="U93" s="149"/>
      <c r="V93" s="149"/>
      <c r="W93" s="149"/>
      <c r="X93" s="149"/>
    </row>
    <row r="94" spans="2:24" x14ac:dyDescent="0.3">
      <c r="B94" s="162" t="s">
        <v>1448</v>
      </c>
      <c r="C94" s="131">
        <v>385740</v>
      </c>
      <c r="D94" s="162" t="s">
        <v>1395</v>
      </c>
      <c r="E94" s="163" t="s">
        <v>1415</v>
      </c>
      <c r="F94" s="163" t="s">
        <v>341</v>
      </c>
      <c r="G94" s="167" t="s">
        <v>1435</v>
      </c>
      <c r="H94" s="163">
        <v>30.5</v>
      </c>
      <c r="I94" s="163">
        <v>24.4</v>
      </c>
      <c r="J94" s="163" t="s">
        <v>754</v>
      </c>
      <c r="K94" s="151">
        <v>8</v>
      </c>
      <c r="L94" s="149">
        <v>1</v>
      </c>
      <c r="M94" s="177">
        <v>1</v>
      </c>
      <c r="N94" s="173">
        <v>1</v>
      </c>
      <c r="O94" s="173">
        <v>4</v>
      </c>
      <c r="P94" s="173">
        <v>2</v>
      </c>
      <c r="Q94" s="177">
        <v>10</v>
      </c>
      <c r="R94" s="174">
        <v>0</v>
      </c>
      <c r="S94" s="182">
        <v>3</v>
      </c>
      <c r="T94" s="183">
        <v>3</v>
      </c>
      <c r="U94" s="149"/>
      <c r="V94" s="149"/>
      <c r="W94" s="149"/>
      <c r="X94" s="149"/>
    </row>
    <row r="95" spans="2:24" x14ac:dyDescent="0.3">
      <c r="B95" s="162" t="s">
        <v>1443</v>
      </c>
      <c r="C95" s="131">
        <v>406500</v>
      </c>
      <c r="D95" s="162" t="s">
        <v>1441</v>
      </c>
      <c r="E95" s="163" t="s">
        <v>1442</v>
      </c>
      <c r="F95" s="163" t="s">
        <v>341</v>
      </c>
      <c r="G95" s="167" t="s">
        <v>1445</v>
      </c>
      <c r="H95" s="151">
        <v>30.5</v>
      </c>
      <c r="I95" s="151">
        <v>24.4</v>
      </c>
      <c r="J95" s="163" t="s">
        <v>754</v>
      </c>
      <c r="K95" s="151">
        <v>8</v>
      </c>
      <c r="L95" s="149">
        <v>1</v>
      </c>
      <c r="M95" s="177">
        <v>1</v>
      </c>
      <c r="N95" s="173">
        <v>1</v>
      </c>
      <c r="O95" s="173">
        <v>4</v>
      </c>
      <c r="P95" s="173">
        <v>4</v>
      </c>
      <c r="Q95" s="177">
        <v>8</v>
      </c>
      <c r="R95" s="174">
        <v>0</v>
      </c>
      <c r="S95" s="182">
        <v>3</v>
      </c>
      <c r="T95" s="183">
        <v>3</v>
      </c>
      <c r="U95" s="149"/>
      <c r="V95" s="149"/>
      <c r="W95" s="149"/>
      <c r="X95" s="149"/>
    </row>
    <row r="96" spans="2:24" x14ac:dyDescent="0.3">
      <c r="B96" s="162" t="s">
        <v>1444</v>
      </c>
      <c r="C96" s="131">
        <v>605500</v>
      </c>
      <c r="D96" s="162" t="s">
        <v>1441</v>
      </c>
      <c r="E96" s="163" t="s">
        <v>1442</v>
      </c>
      <c r="F96" s="163" t="s">
        <v>341</v>
      </c>
      <c r="G96" s="167" t="s">
        <v>203</v>
      </c>
      <c r="H96" s="151">
        <v>30.5</v>
      </c>
      <c r="I96" s="151">
        <v>24.4</v>
      </c>
      <c r="J96" s="163" t="s">
        <v>754</v>
      </c>
      <c r="K96" s="151">
        <v>8</v>
      </c>
      <c r="L96" s="149">
        <v>0</v>
      </c>
      <c r="M96" s="177">
        <v>1</v>
      </c>
      <c r="N96" s="173">
        <v>3</v>
      </c>
      <c r="O96" s="173">
        <v>4</v>
      </c>
      <c r="P96" s="173">
        <v>4</v>
      </c>
      <c r="Q96" s="177">
        <v>10</v>
      </c>
      <c r="R96" s="174">
        <v>0</v>
      </c>
      <c r="S96" s="182">
        <v>3</v>
      </c>
      <c r="T96" s="183">
        <v>3</v>
      </c>
      <c r="U96" s="149"/>
      <c r="V96" s="149"/>
      <c r="W96" s="149"/>
      <c r="X96" s="149"/>
    </row>
    <row r="97" spans="2:24" x14ac:dyDescent="0.3">
      <c r="B97" s="162" t="s">
        <v>1446</v>
      </c>
      <c r="C97" s="131">
        <v>788000</v>
      </c>
      <c r="D97" s="162" t="s">
        <v>1441</v>
      </c>
      <c r="E97" s="163" t="s">
        <v>1442</v>
      </c>
      <c r="F97" s="163" t="s">
        <v>341</v>
      </c>
      <c r="G97" s="167" t="s">
        <v>203</v>
      </c>
      <c r="H97" s="151">
        <v>30.5</v>
      </c>
      <c r="I97" s="151">
        <v>27.2</v>
      </c>
      <c r="J97" s="163" t="s">
        <v>754</v>
      </c>
      <c r="K97" s="151">
        <v>8</v>
      </c>
      <c r="L97" s="149">
        <v>1</v>
      </c>
      <c r="M97" s="177">
        <v>2</v>
      </c>
      <c r="N97" s="173">
        <v>2</v>
      </c>
      <c r="O97" s="173">
        <v>4</v>
      </c>
      <c r="P97" s="173">
        <v>2</v>
      </c>
      <c r="Q97" s="177">
        <v>10</v>
      </c>
      <c r="R97" s="174">
        <v>0</v>
      </c>
      <c r="S97" s="182">
        <v>4</v>
      </c>
      <c r="T97" s="183">
        <v>4</v>
      </c>
      <c r="U97" s="149"/>
      <c r="V97" s="149"/>
      <c r="W97" s="149"/>
      <c r="X97" s="149"/>
    </row>
    <row r="98" spans="2:24" x14ac:dyDescent="0.3">
      <c r="B98" s="162" t="s">
        <v>1428</v>
      </c>
      <c r="C98" s="131">
        <v>369000</v>
      </c>
      <c r="D98" s="162" t="s">
        <v>308</v>
      </c>
      <c r="E98" s="163" t="s">
        <v>340</v>
      </c>
      <c r="F98" s="163" t="s">
        <v>341</v>
      </c>
      <c r="G98" s="167" t="s">
        <v>202</v>
      </c>
      <c r="H98" s="151">
        <v>30.5</v>
      </c>
      <c r="I98" s="151">
        <v>24.4</v>
      </c>
      <c r="J98" s="163" t="s">
        <v>754</v>
      </c>
      <c r="K98" s="151">
        <v>8</v>
      </c>
      <c r="L98" s="149">
        <v>1</v>
      </c>
      <c r="M98" s="177">
        <v>0</v>
      </c>
      <c r="N98" s="173">
        <v>2</v>
      </c>
      <c r="O98" s="173">
        <v>6</v>
      </c>
      <c r="P98" s="173">
        <v>2</v>
      </c>
      <c r="Q98" s="177">
        <v>6</v>
      </c>
      <c r="R98" s="174">
        <v>0</v>
      </c>
      <c r="S98" s="182">
        <v>3</v>
      </c>
      <c r="T98" s="183">
        <v>3</v>
      </c>
      <c r="U98" s="149"/>
      <c r="V98" s="149"/>
      <c r="W98" s="149"/>
      <c r="X98" s="149"/>
    </row>
    <row r="99" spans="2:24" x14ac:dyDescent="0.3">
      <c r="B99" s="162" t="s">
        <v>1433</v>
      </c>
      <c r="C99" s="131">
        <v>379000</v>
      </c>
      <c r="D99" s="162" t="s">
        <v>308</v>
      </c>
      <c r="E99" s="163" t="s">
        <v>340</v>
      </c>
      <c r="F99" s="163" t="s">
        <v>341</v>
      </c>
      <c r="G99" s="167" t="s">
        <v>1434</v>
      </c>
      <c r="H99" s="151">
        <v>30.5</v>
      </c>
      <c r="I99" s="151">
        <v>24.4</v>
      </c>
      <c r="J99" s="163" t="s">
        <v>1423</v>
      </c>
      <c r="K99" s="151">
        <v>8</v>
      </c>
      <c r="L99" s="149">
        <v>1</v>
      </c>
      <c r="M99" s="177">
        <v>1</v>
      </c>
      <c r="N99" s="173">
        <v>5</v>
      </c>
      <c r="O99" s="173">
        <v>0</v>
      </c>
      <c r="P99" s="173">
        <v>4</v>
      </c>
      <c r="Q99" s="177">
        <v>10</v>
      </c>
      <c r="R99" s="174">
        <v>0</v>
      </c>
      <c r="S99" s="182">
        <v>3</v>
      </c>
      <c r="T99" s="183">
        <v>3</v>
      </c>
      <c r="U99" s="149"/>
      <c r="V99" s="149"/>
      <c r="W99" s="149"/>
      <c r="X99" s="149"/>
    </row>
    <row r="100" spans="2:24" x14ac:dyDescent="0.3">
      <c r="B100" s="162" t="s">
        <v>1431</v>
      </c>
      <c r="C100" s="131">
        <v>462000</v>
      </c>
      <c r="D100" s="162" t="s">
        <v>308</v>
      </c>
      <c r="E100" s="163" t="s">
        <v>340</v>
      </c>
      <c r="F100" s="163" t="s">
        <v>341</v>
      </c>
      <c r="G100" s="167" t="s">
        <v>1435</v>
      </c>
      <c r="H100" s="151">
        <v>30.5</v>
      </c>
      <c r="I100" s="151">
        <v>24.4</v>
      </c>
      <c r="J100" s="163" t="s">
        <v>1436</v>
      </c>
      <c r="K100" s="151">
        <v>8</v>
      </c>
      <c r="L100" s="149">
        <v>1</v>
      </c>
      <c r="M100" s="177">
        <v>0</v>
      </c>
      <c r="N100" s="173">
        <v>2</v>
      </c>
      <c r="O100" s="173">
        <v>6</v>
      </c>
      <c r="P100" s="173">
        <v>2</v>
      </c>
      <c r="Q100" s="177">
        <v>10</v>
      </c>
      <c r="R100" s="174">
        <v>0</v>
      </c>
      <c r="S100" s="182">
        <v>3</v>
      </c>
      <c r="T100" s="183">
        <v>3</v>
      </c>
      <c r="U100" s="149"/>
      <c r="V100" s="149"/>
      <c r="W100" s="149"/>
      <c r="X100" s="149"/>
    </row>
    <row r="101" spans="2:24" x14ac:dyDescent="0.3">
      <c r="B101" s="162" t="s">
        <v>1430</v>
      </c>
      <c r="C101" s="131">
        <v>474000</v>
      </c>
      <c r="D101" s="162" t="s">
        <v>308</v>
      </c>
      <c r="E101" s="163" t="s">
        <v>340</v>
      </c>
      <c r="F101" s="163" t="s">
        <v>341</v>
      </c>
      <c r="G101" s="167" t="s">
        <v>1435</v>
      </c>
      <c r="H101" s="151">
        <v>30.5</v>
      </c>
      <c r="I101" s="151">
        <v>24.4</v>
      </c>
      <c r="J101" s="163" t="s">
        <v>1437</v>
      </c>
      <c r="K101" s="151">
        <v>8</v>
      </c>
      <c r="L101" s="149">
        <v>1</v>
      </c>
      <c r="M101" s="177">
        <v>1</v>
      </c>
      <c r="N101" s="173">
        <v>5</v>
      </c>
      <c r="O101" s="173">
        <v>0</v>
      </c>
      <c r="P101" s="173">
        <v>4</v>
      </c>
      <c r="Q101" s="177">
        <v>10</v>
      </c>
      <c r="R101" s="174">
        <v>0</v>
      </c>
      <c r="S101" s="182">
        <v>3</v>
      </c>
      <c r="T101" s="183">
        <v>3</v>
      </c>
      <c r="U101" s="149"/>
      <c r="V101" s="149"/>
      <c r="W101" s="149"/>
      <c r="X101" s="149"/>
    </row>
    <row r="102" spans="2:24" x14ac:dyDescent="0.3">
      <c r="B102" s="162" t="s">
        <v>1432</v>
      </c>
      <c r="C102" s="131">
        <v>570000</v>
      </c>
      <c r="D102" s="162" t="s">
        <v>308</v>
      </c>
      <c r="E102" s="163" t="s">
        <v>340</v>
      </c>
      <c r="F102" s="163" t="s">
        <v>341</v>
      </c>
      <c r="G102" s="167" t="s">
        <v>1439</v>
      </c>
      <c r="H102" s="151">
        <v>30.5</v>
      </c>
      <c r="I102" s="151">
        <v>27.2</v>
      </c>
      <c r="J102" s="163" t="s">
        <v>1438</v>
      </c>
      <c r="K102" s="151">
        <v>8</v>
      </c>
      <c r="L102" s="149">
        <v>1</v>
      </c>
      <c r="M102" s="177">
        <v>1</v>
      </c>
      <c r="N102" s="173">
        <v>7</v>
      </c>
      <c r="O102" s="173">
        <v>0</v>
      </c>
      <c r="P102" s="173">
        <v>3</v>
      </c>
      <c r="Q102" s="177">
        <v>10</v>
      </c>
      <c r="R102" s="174">
        <v>0</v>
      </c>
      <c r="S102" s="182">
        <v>3</v>
      </c>
      <c r="T102" s="183">
        <v>3</v>
      </c>
      <c r="U102" s="149"/>
      <c r="V102" s="149"/>
      <c r="W102" s="149"/>
      <c r="X102" s="149"/>
    </row>
    <row r="103" spans="2:24" x14ac:dyDescent="0.3">
      <c r="B103" s="162" t="s">
        <v>1429</v>
      </c>
      <c r="C103" s="131">
        <v>739140</v>
      </c>
      <c r="D103" s="162" t="s">
        <v>308</v>
      </c>
      <c r="E103" s="163" t="s">
        <v>340</v>
      </c>
      <c r="F103" s="163" t="s">
        <v>341</v>
      </c>
      <c r="G103" s="167" t="s">
        <v>1439</v>
      </c>
      <c r="H103" s="151">
        <v>30.5</v>
      </c>
      <c r="I103" s="151">
        <v>27.2</v>
      </c>
      <c r="J103" s="163" t="s">
        <v>1440</v>
      </c>
      <c r="K103" s="151">
        <v>8</v>
      </c>
      <c r="L103" s="149">
        <v>1</v>
      </c>
      <c r="M103" s="177">
        <v>1</v>
      </c>
      <c r="N103" s="173">
        <v>5</v>
      </c>
      <c r="O103" s="173">
        <v>0</v>
      </c>
      <c r="P103" s="173">
        <v>2</v>
      </c>
      <c r="Q103" s="177">
        <v>10</v>
      </c>
      <c r="R103" s="174">
        <v>0</v>
      </c>
      <c r="S103" s="182">
        <v>4</v>
      </c>
      <c r="T103" s="183">
        <v>4</v>
      </c>
      <c r="U103" s="149"/>
      <c r="V103" s="149"/>
      <c r="W103" s="149"/>
      <c r="X103" s="149"/>
    </row>
    <row r="104" spans="2:24" x14ac:dyDescent="0.3">
      <c r="B104" s="162" t="s">
        <v>1426</v>
      </c>
      <c r="C104" s="131">
        <v>345000</v>
      </c>
      <c r="D104" s="162" t="s">
        <v>1421</v>
      </c>
      <c r="E104" s="163" t="s">
        <v>1422</v>
      </c>
      <c r="F104" s="163" t="s">
        <v>1416</v>
      </c>
      <c r="G104" s="162" t="s">
        <v>1427</v>
      </c>
      <c r="H104" s="163">
        <v>30.5</v>
      </c>
      <c r="I104" s="163">
        <v>24.4</v>
      </c>
      <c r="J104" s="163" t="s">
        <v>1423</v>
      </c>
      <c r="K104" s="149">
        <v>8</v>
      </c>
      <c r="L104" s="149">
        <v>1</v>
      </c>
      <c r="M104" s="177">
        <v>1</v>
      </c>
      <c r="N104" s="173">
        <v>1</v>
      </c>
      <c r="O104" s="173">
        <v>3</v>
      </c>
      <c r="P104" s="173">
        <v>4</v>
      </c>
      <c r="Q104" s="177">
        <v>10</v>
      </c>
      <c r="R104" s="174">
        <v>0</v>
      </c>
      <c r="S104" s="182">
        <v>4</v>
      </c>
      <c r="T104" s="183">
        <v>4</v>
      </c>
      <c r="U104" s="149"/>
      <c r="V104" s="149"/>
      <c r="W104" s="149"/>
      <c r="X104" s="149"/>
    </row>
    <row r="105" spans="2:24" x14ac:dyDescent="0.3">
      <c r="B105" s="162" t="s">
        <v>1420</v>
      </c>
      <c r="C105" s="131">
        <v>439000</v>
      </c>
      <c r="D105" s="162" t="s">
        <v>1421</v>
      </c>
      <c r="E105" s="163" t="s">
        <v>1422</v>
      </c>
      <c r="F105" s="163" t="s">
        <v>1416</v>
      </c>
      <c r="G105" s="162" t="s">
        <v>1417</v>
      </c>
      <c r="H105" s="163">
        <v>30.5</v>
      </c>
      <c r="I105" s="163">
        <v>26.4</v>
      </c>
      <c r="J105" s="163" t="s">
        <v>1423</v>
      </c>
      <c r="K105" s="149">
        <v>8</v>
      </c>
      <c r="L105" s="149">
        <v>1</v>
      </c>
      <c r="M105" s="177">
        <v>1</v>
      </c>
      <c r="N105" s="173">
        <v>1</v>
      </c>
      <c r="O105" s="173">
        <v>6</v>
      </c>
      <c r="P105" s="173">
        <v>0</v>
      </c>
      <c r="Q105" s="177">
        <v>10</v>
      </c>
      <c r="R105" s="174">
        <v>0</v>
      </c>
      <c r="S105" s="182">
        <v>3</v>
      </c>
      <c r="T105" s="183">
        <v>3</v>
      </c>
      <c r="U105" s="149"/>
      <c r="V105" s="149"/>
      <c r="W105" s="149"/>
      <c r="X105" s="149"/>
    </row>
    <row r="106" spans="2:24" x14ac:dyDescent="0.3">
      <c r="B106" s="162" t="s">
        <v>1424</v>
      </c>
      <c r="C106" s="131">
        <v>499000</v>
      </c>
      <c r="D106" s="162" t="s">
        <v>1421</v>
      </c>
      <c r="E106" s="163" t="s">
        <v>1422</v>
      </c>
      <c r="F106" s="163" t="s">
        <v>1416</v>
      </c>
      <c r="G106" s="162" t="s">
        <v>1417</v>
      </c>
      <c r="H106" s="163">
        <v>30.5</v>
      </c>
      <c r="I106" s="163">
        <v>26.4</v>
      </c>
      <c r="J106" s="163" t="s">
        <v>1423</v>
      </c>
      <c r="K106" s="149">
        <v>8</v>
      </c>
      <c r="L106" s="149">
        <v>1</v>
      </c>
      <c r="M106" s="177">
        <v>1</v>
      </c>
      <c r="N106" s="173">
        <v>1</v>
      </c>
      <c r="O106" s="173">
        <v>6</v>
      </c>
      <c r="P106" s="173">
        <v>0</v>
      </c>
      <c r="Q106" s="177">
        <v>10</v>
      </c>
      <c r="R106" s="174">
        <v>0</v>
      </c>
      <c r="S106" s="182">
        <v>3</v>
      </c>
      <c r="T106" s="183">
        <v>3</v>
      </c>
      <c r="U106" s="149"/>
      <c r="V106" s="149"/>
      <c r="W106" s="149"/>
      <c r="X106" s="149"/>
    </row>
    <row r="107" spans="2:24" x14ac:dyDescent="0.3">
      <c r="B107" s="162" t="s">
        <v>1413</v>
      </c>
      <c r="C107" s="131">
        <v>580620</v>
      </c>
      <c r="D107" s="162" t="s">
        <v>1414</v>
      </c>
      <c r="E107" s="163" t="s">
        <v>1415</v>
      </c>
      <c r="F107" s="163" t="s">
        <v>1416</v>
      </c>
      <c r="G107" s="162" t="s">
        <v>1418</v>
      </c>
      <c r="H107" s="163">
        <v>30.5</v>
      </c>
      <c r="I107" s="163">
        <v>24.4</v>
      </c>
      <c r="J107" s="163" t="s">
        <v>1419</v>
      </c>
      <c r="K107" s="149">
        <v>8</v>
      </c>
      <c r="L107" s="149">
        <v>1</v>
      </c>
      <c r="M107" s="177">
        <v>1</v>
      </c>
      <c r="N107" s="173">
        <v>1</v>
      </c>
      <c r="O107" s="173">
        <v>5</v>
      </c>
      <c r="P107" s="173">
        <v>0</v>
      </c>
      <c r="Q107" s="177">
        <v>10</v>
      </c>
      <c r="R107" s="174">
        <v>0</v>
      </c>
      <c r="S107" s="182">
        <v>3</v>
      </c>
      <c r="T107" s="183">
        <v>3</v>
      </c>
      <c r="U107" s="149"/>
      <c r="V107" s="149"/>
      <c r="W107" s="149"/>
      <c r="X107" s="149"/>
    </row>
    <row r="108" spans="2:24" x14ac:dyDescent="0.3">
      <c r="B108" s="166" t="s">
        <v>918</v>
      </c>
      <c r="C108" s="131"/>
      <c r="E108" s="163"/>
      <c r="F108" s="163"/>
      <c r="K108" s="149"/>
      <c r="L108" s="149"/>
      <c r="M108" s="177"/>
      <c r="N108" s="173"/>
      <c r="O108" s="173"/>
      <c r="P108" s="173"/>
      <c r="Q108" s="177"/>
      <c r="R108" s="174"/>
      <c r="S108" s="182"/>
      <c r="T108" s="183"/>
      <c r="U108" s="149"/>
      <c r="V108" s="149"/>
      <c r="W108" s="149"/>
      <c r="X108" s="149"/>
    </row>
    <row r="109" spans="2:24" x14ac:dyDescent="0.3">
      <c r="B109" s="161" t="s">
        <v>342</v>
      </c>
      <c r="C109" s="131"/>
      <c r="E109" s="163"/>
      <c r="F109" s="163"/>
      <c r="K109" s="149"/>
      <c r="L109" s="149"/>
      <c r="M109" s="177"/>
      <c r="N109" s="173"/>
      <c r="O109" s="173"/>
      <c r="P109" s="173"/>
      <c r="Q109" s="177"/>
      <c r="R109" s="174"/>
      <c r="S109" s="182"/>
      <c r="T109" s="183"/>
      <c r="U109" s="149"/>
      <c r="V109" s="149"/>
      <c r="W109" s="149"/>
      <c r="X109" s="149"/>
    </row>
    <row r="110" spans="2:24" ht="12.6" customHeight="1" x14ac:dyDescent="0.3">
      <c r="B110" s="161" t="s">
        <v>343</v>
      </c>
      <c r="C110" s="131"/>
      <c r="E110" s="163"/>
      <c r="F110" s="163"/>
      <c r="K110" s="149"/>
      <c r="L110" s="149"/>
      <c r="M110" s="177"/>
      <c r="N110" s="173"/>
      <c r="O110" s="173"/>
      <c r="P110" s="173"/>
      <c r="Q110" s="177"/>
      <c r="R110" s="174"/>
      <c r="S110" s="182"/>
      <c r="T110" s="183"/>
      <c r="U110" s="149"/>
      <c r="V110" s="149"/>
      <c r="W110" s="149"/>
      <c r="X110" s="149"/>
    </row>
    <row r="111" spans="2:24" x14ac:dyDescent="0.3">
      <c r="B111" s="161" t="s">
        <v>345</v>
      </c>
      <c r="C111" s="131"/>
      <c r="E111" s="163"/>
      <c r="F111" s="163"/>
      <c r="K111" s="149"/>
      <c r="L111" s="149"/>
      <c r="M111" s="177"/>
      <c r="N111" s="173"/>
      <c r="O111" s="173"/>
      <c r="P111" s="173"/>
      <c r="Q111" s="177"/>
      <c r="R111" s="174"/>
      <c r="S111" s="182"/>
      <c r="T111" s="183"/>
      <c r="U111" s="149"/>
      <c r="V111" s="149"/>
      <c r="W111" s="149"/>
      <c r="X111" s="149"/>
    </row>
    <row r="112" spans="2:24" x14ac:dyDescent="0.3">
      <c r="B112" s="162" t="s">
        <v>1376</v>
      </c>
      <c r="C112" s="131">
        <v>68500</v>
      </c>
      <c r="D112" s="162" t="s">
        <v>1395</v>
      </c>
      <c r="E112" s="163" t="s">
        <v>346</v>
      </c>
      <c r="F112" s="163" t="s">
        <v>344</v>
      </c>
      <c r="G112" s="162" t="s">
        <v>307</v>
      </c>
      <c r="H112" s="163">
        <v>18.8</v>
      </c>
      <c r="I112" s="163">
        <v>21.8</v>
      </c>
      <c r="J112" s="163" t="s">
        <v>1333</v>
      </c>
      <c r="K112" s="149">
        <v>2</v>
      </c>
      <c r="L112" s="149">
        <v>1</v>
      </c>
      <c r="M112" s="177">
        <v>0</v>
      </c>
      <c r="N112" s="173">
        <v>0</v>
      </c>
      <c r="O112" s="173">
        <v>2</v>
      </c>
      <c r="P112" s="173">
        <v>4</v>
      </c>
      <c r="Q112" s="177">
        <v>4</v>
      </c>
      <c r="R112" s="174">
        <v>0</v>
      </c>
      <c r="S112" s="182">
        <v>1</v>
      </c>
      <c r="T112" s="183">
        <v>1</v>
      </c>
      <c r="U112" s="149" t="s">
        <v>87</v>
      </c>
      <c r="V112" s="149" t="s">
        <v>87</v>
      </c>
      <c r="W112" s="149" t="s">
        <v>87</v>
      </c>
      <c r="X112" s="149"/>
    </row>
    <row r="113" spans="2:24" x14ac:dyDescent="0.3">
      <c r="B113" s="162" t="s">
        <v>1375</v>
      </c>
      <c r="C113" s="131">
        <v>72980</v>
      </c>
      <c r="D113" s="162" t="s">
        <v>1395</v>
      </c>
      <c r="E113" s="163" t="s">
        <v>346</v>
      </c>
      <c r="F113" s="163" t="s">
        <v>344</v>
      </c>
      <c r="G113" s="162" t="s">
        <v>307</v>
      </c>
      <c r="H113" s="163">
        <v>20.5</v>
      </c>
      <c r="I113" s="163">
        <v>22.2</v>
      </c>
      <c r="J113" s="163" t="s">
        <v>746</v>
      </c>
      <c r="K113" s="149">
        <v>2</v>
      </c>
      <c r="L113" s="149">
        <v>2</v>
      </c>
      <c r="M113" s="177">
        <v>0</v>
      </c>
      <c r="N113" s="173">
        <v>0</v>
      </c>
      <c r="O113" s="173">
        <v>2</v>
      </c>
      <c r="P113" s="173">
        <v>4</v>
      </c>
      <c r="Q113" s="177">
        <v>8</v>
      </c>
      <c r="R113" s="174">
        <v>0</v>
      </c>
      <c r="S113" s="182">
        <v>1</v>
      </c>
      <c r="T113" s="183">
        <v>1</v>
      </c>
      <c r="U113" s="149" t="s">
        <v>87</v>
      </c>
      <c r="V113" s="149" t="s">
        <v>87</v>
      </c>
      <c r="W113" s="149" t="s">
        <v>87</v>
      </c>
      <c r="X113" s="149"/>
    </row>
    <row r="114" spans="2:24" x14ac:dyDescent="0.3">
      <c r="B114" s="162" t="s">
        <v>1425</v>
      </c>
      <c r="C114" s="131">
        <v>87310</v>
      </c>
      <c r="D114" s="162" t="s">
        <v>164</v>
      </c>
      <c r="E114" s="163" t="s">
        <v>346</v>
      </c>
      <c r="F114" s="163" t="s">
        <v>344</v>
      </c>
      <c r="G114" s="162" t="s">
        <v>307</v>
      </c>
      <c r="H114" s="163">
        <v>24.4</v>
      </c>
      <c r="I114" s="163">
        <v>18.399999999999999</v>
      </c>
      <c r="J114" s="163" t="s">
        <v>1333</v>
      </c>
      <c r="K114" s="151">
        <v>2</v>
      </c>
      <c r="L114" s="149">
        <v>1</v>
      </c>
      <c r="M114" s="177">
        <v>0</v>
      </c>
      <c r="N114" s="173">
        <v>2</v>
      </c>
      <c r="O114" s="173">
        <v>2</v>
      </c>
      <c r="P114" s="173">
        <v>2</v>
      </c>
      <c r="Q114" s="177">
        <v>8</v>
      </c>
      <c r="R114" s="174">
        <v>0</v>
      </c>
      <c r="S114" s="182">
        <v>1</v>
      </c>
      <c r="T114" s="183">
        <v>2</v>
      </c>
      <c r="U114" s="149" t="s">
        <v>87</v>
      </c>
      <c r="V114" s="149" t="s">
        <v>87</v>
      </c>
      <c r="W114" s="149" t="s">
        <v>87</v>
      </c>
      <c r="X114" s="149"/>
    </row>
    <row r="115" spans="2:24" x14ac:dyDescent="0.3">
      <c r="B115" s="162" t="s">
        <v>1378</v>
      </c>
      <c r="C115" s="131">
        <v>94000</v>
      </c>
      <c r="D115" s="162" t="s">
        <v>164</v>
      </c>
      <c r="E115" s="163" t="s">
        <v>346</v>
      </c>
      <c r="F115" s="163" t="s">
        <v>344</v>
      </c>
      <c r="G115" s="162" t="s">
        <v>307</v>
      </c>
      <c r="H115" s="163">
        <v>24.4</v>
      </c>
      <c r="I115" s="163">
        <v>24.4</v>
      </c>
      <c r="J115" s="163" t="s">
        <v>1333</v>
      </c>
      <c r="K115" s="151">
        <v>4</v>
      </c>
      <c r="L115" s="149">
        <v>1</v>
      </c>
      <c r="M115" s="177">
        <v>1</v>
      </c>
      <c r="N115" s="173">
        <v>1</v>
      </c>
      <c r="O115" s="173">
        <v>2</v>
      </c>
      <c r="P115" s="173">
        <v>4</v>
      </c>
      <c r="Q115" s="177">
        <v>8</v>
      </c>
      <c r="R115" s="174">
        <v>0</v>
      </c>
      <c r="S115" s="182">
        <v>1</v>
      </c>
      <c r="T115" s="183">
        <v>2</v>
      </c>
      <c r="U115" s="149" t="s">
        <v>87</v>
      </c>
      <c r="V115" s="149" t="s">
        <v>87</v>
      </c>
      <c r="W115" s="149" t="s">
        <v>87</v>
      </c>
      <c r="X115" s="149"/>
    </row>
    <row r="116" spans="2:24" x14ac:dyDescent="0.3">
      <c r="B116" s="162" t="s">
        <v>1377</v>
      </c>
      <c r="C116" s="131">
        <v>129000</v>
      </c>
      <c r="D116" s="162" t="s">
        <v>164</v>
      </c>
      <c r="E116" s="163" t="s">
        <v>346</v>
      </c>
      <c r="F116" s="163" t="s">
        <v>344</v>
      </c>
      <c r="G116" s="162" t="s">
        <v>314</v>
      </c>
      <c r="H116" s="163">
        <v>17</v>
      </c>
      <c r="I116" s="163">
        <v>17</v>
      </c>
      <c r="J116" s="163" t="s">
        <v>1333</v>
      </c>
      <c r="K116" s="151">
        <v>2</v>
      </c>
      <c r="L116" s="149">
        <v>1</v>
      </c>
      <c r="M116" s="177">
        <v>0</v>
      </c>
      <c r="N116" s="173">
        <v>0</v>
      </c>
      <c r="O116" s="173">
        <v>2</v>
      </c>
      <c r="P116" s="173">
        <v>4</v>
      </c>
      <c r="Q116" s="177">
        <v>4</v>
      </c>
      <c r="R116" s="174">
        <v>0</v>
      </c>
      <c r="S116" s="182">
        <v>1</v>
      </c>
      <c r="T116" s="183">
        <v>1</v>
      </c>
      <c r="U116" s="149"/>
      <c r="V116" s="149" t="s">
        <v>87</v>
      </c>
      <c r="W116" s="149" t="s">
        <v>87</v>
      </c>
      <c r="X116" s="149"/>
    </row>
    <row r="117" spans="2:24" x14ac:dyDescent="0.3">
      <c r="B117" s="166" t="s">
        <v>918</v>
      </c>
      <c r="C117" s="131"/>
      <c r="E117" s="163"/>
      <c r="F117" s="163"/>
      <c r="G117" s="167"/>
      <c r="K117" s="151"/>
      <c r="L117" s="149"/>
      <c r="M117" s="177"/>
      <c r="N117" s="173"/>
      <c r="O117" s="173"/>
      <c r="P117" s="173"/>
      <c r="Q117" s="177"/>
      <c r="R117" s="174"/>
      <c r="S117" s="182"/>
      <c r="T117" s="183"/>
      <c r="U117" s="149"/>
      <c r="V117" s="149"/>
      <c r="W117" s="149"/>
      <c r="X117" s="149"/>
    </row>
    <row r="118" spans="2:24" x14ac:dyDescent="0.3">
      <c r="B118" s="161" t="s">
        <v>1369</v>
      </c>
      <c r="C118" s="131"/>
      <c r="E118" s="163"/>
      <c r="F118" s="163"/>
      <c r="G118" s="167"/>
      <c r="K118" s="151"/>
      <c r="L118" s="149"/>
      <c r="M118" s="177"/>
      <c r="N118" s="173"/>
      <c r="O118" s="173"/>
      <c r="P118" s="173"/>
      <c r="Q118" s="177"/>
      <c r="R118" s="174"/>
      <c r="S118" s="182"/>
      <c r="T118" s="183"/>
      <c r="U118" s="149"/>
      <c r="V118" s="149"/>
      <c r="W118" s="149"/>
      <c r="X118" s="149"/>
    </row>
    <row r="119" spans="2:24" x14ac:dyDescent="0.3">
      <c r="B119" s="166" t="s">
        <v>1374</v>
      </c>
      <c r="C119" s="131">
        <v>44000</v>
      </c>
      <c r="D119" s="162" t="s">
        <v>1371</v>
      </c>
      <c r="E119" s="163" t="s">
        <v>1372</v>
      </c>
      <c r="F119" s="163" t="s">
        <v>1372</v>
      </c>
      <c r="G119" s="167" t="s">
        <v>1373</v>
      </c>
      <c r="H119" s="163">
        <v>17</v>
      </c>
      <c r="I119" s="163">
        <v>17</v>
      </c>
      <c r="J119" s="163" t="s">
        <v>746</v>
      </c>
      <c r="K119" s="151">
        <v>2</v>
      </c>
      <c r="L119" s="149">
        <v>2</v>
      </c>
      <c r="M119" s="177">
        <v>0</v>
      </c>
      <c r="N119" s="173">
        <v>0</v>
      </c>
      <c r="O119" s="173">
        <v>2</v>
      </c>
      <c r="P119" s="173">
        <v>2</v>
      </c>
      <c r="Q119" s="177">
        <v>2</v>
      </c>
      <c r="R119" s="174">
        <v>0</v>
      </c>
      <c r="S119" s="182">
        <v>1</v>
      </c>
      <c r="T119" s="183">
        <v>1</v>
      </c>
      <c r="U119" s="149" t="s">
        <v>87</v>
      </c>
      <c r="V119" s="149" t="s">
        <v>87</v>
      </c>
      <c r="W119" s="149" t="s">
        <v>87</v>
      </c>
      <c r="X119" s="149"/>
    </row>
    <row r="120" spans="2:24" x14ac:dyDescent="0.3">
      <c r="B120" s="166" t="s">
        <v>1370</v>
      </c>
      <c r="C120" s="131"/>
      <c r="E120" s="163"/>
      <c r="F120" s="163"/>
      <c r="G120" s="167"/>
      <c r="K120" s="151"/>
      <c r="L120" s="149"/>
      <c r="M120" s="177"/>
      <c r="N120" s="173"/>
      <c r="O120" s="173"/>
      <c r="P120" s="173"/>
      <c r="Q120" s="177"/>
      <c r="R120" s="174"/>
      <c r="S120" s="182"/>
      <c r="T120" s="183"/>
      <c r="U120" s="149"/>
      <c r="V120" s="149"/>
      <c r="W120" s="149"/>
      <c r="X120" s="149"/>
    </row>
    <row r="121" spans="2:24" x14ac:dyDescent="0.3">
      <c r="B121" s="161" t="s">
        <v>347</v>
      </c>
      <c r="C121" s="131"/>
      <c r="E121" s="163"/>
      <c r="F121" s="163"/>
      <c r="K121" s="149"/>
      <c r="L121" s="149"/>
      <c r="M121" s="177"/>
      <c r="N121" s="173"/>
      <c r="O121" s="173"/>
      <c r="P121" s="173"/>
      <c r="Q121" s="177"/>
      <c r="R121" s="174"/>
      <c r="S121" s="182"/>
      <c r="T121" s="183"/>
      <c r="U121" s="149"/>
      <c r="V121" s="149"/>
      <c r="W121" s="149"/>
      <c r="X121" s="149"/>
    </row>
    <row r="122" spans="2:24" x14ac:dyDescent="0.3">
      <c r="B122" s="161" t="s">
        <v>1383</v>
      </c>
      <c r="C122" s="131"/>
      <c r="E122" s="163"/>
      <c r="F122" s="163"/>
      <c r="K122" s="149"/>
      <c r="L122" s="149"/>
      <c r="M122" s="177"/>
      <c r="N122" s="173"/>
      <c r="O122" s="173"/>
      <c r="P122" s="173"/>
      <c r="Q122" s="177"/>
      <c r="R122" s="174"/>
      <c r="S122" s="182"/>
      <c r="T122" s="183"/>
      <c r="U122" s="149"/>
      <c r="V122" s="149"/>
      <c r="W122" s="149"/>
      <c r="X122" s="149"/>
    </row>
    <row r="123" spans="2:24" x14ac:dyDescent="0.3">
      <c r="B123" s="162" t="s">
        <v>1380</v>
      </c>
      <c r="C123" s="131">
        <v>77240</v>
      </c>
      <c r="D123" s="162" t="s">
        <v>1395</v>
      </c>
      <c r="E123" s="163">
        <v>970</v>
      </c>
      <c r="F123" s="163" t="s">
        <v>348</v>
      </c>
      <c r="G123" s="162" t="s">
        <v>307</v>
      </c>
      <c r="H123" s="163">
        <v>24.3</v>
      </c>
      <c r="I123" s="163">
        <v>22.8</v>
      </c>
      <c r="J123" s="163" t="s">
        <v>1333</v>
      </c>
      <c r="K123" s="149">
        <v>4</v>
      </c>
      <c r="L123" s="149">
        <v>2</v>
      </c>
      <c r="M123" s="177">
        <v>0</v>
      </c>
      <c r="N123" s="173">
        <v>0</v>
      </c>
      <c r="O123" s="173">
        <v>2</v>
      </c>
      <c r="P123" s="173">
        <v>6</v>
      </c>
      <c r="Q123" s="177">
        <v>6</v>
      </c>
      <c r="R123" s="174">
        <v>0</v>
      </c>
      <c r="S123" s="182">
        <v>1</v>
      </c>
      <c r="T123" s="183">
        <v>2</v>
      </c>
      <c r="U123" s="149"/>
      <c r="V123" s="149"/>
      <c r="W123" s="149"/>
      <c r="X123" s="149"/>
    </row>
    <row r="124" spans="2:24" x14ac:dyDescent="0.3">
      <c r="B124" s="162" t="s">
        <v>1384</v>
      </c>
      <c r="C124" s="131">
        <v>113200</v>
      </c>
      <c r="D124" s="162" t="s">
        <v>1395</v>
      </c>
      <c r="E124" s="163">
        <v>970</v>
      </c>
      <c r="F124" s="163" t="s">
        <v>348</v>
      </c>
      <c r="G124" s="162" t="s">
        <v>202</v>
      </c>
      <c r="H124" s="163">
        <v>30.5</v>
      </c>
      <c r="I124" s="163">
        <v>24.5</v>
      </c>
      <c r="J124" s="163" t="s">
        <v>746</v>
      </c>
      <c r="K124" s="149">
        <v>4</v>
      </c>
      <c r="L124" s="149">
        <v>2</v>
      </c>
      <c r="M124" s="177">
        <v>1</v>
      </c>
      <c r="N124" s="173">
        <v>1</v>
      </c>
      <c r="O124" s="173">
        <v>2</v>
      </c>
      <c r="P124" s="173">
        <v>4</v>
      </c>
      <c r="Q124" s="177">
        <v>6</v>
      </c>
      <c r="R124" s="174">
        <v>0</v>
      </c>
      <c r="S124" s="182">
        <v>1</v>
      </c>
      <c r="T124" s="183">
        <v>2</v>
      </c>
      <c r="U124" s="149"/>
      <c r="V124" s="149"/>
      <c r="W124" s="149"/>
      <c r="X124" s="149"/>
    </row>
    <row r="125" spans="2:24" x14ac:dyDescent="0.3">
      <c r="B125" s="162" t="s">
        <v>1381</v>
      </c>
      <c r="C125" s="131">
        <v>86460</v>
      </c>
      <c r="D125" s="162" t="s">
        <v>42</v>
      </c>
      <c r="E125" s="163">
        <v>970</v>
      </c>
      <c r="F125" s="163" t="s">
        <v>348</v>
      </c>
      <c r="G125" s="162" t="s">
        <v>202</v>
      </c>
      <c r="H125" s="163">
        <v>30.3</v>
      </c>
      <c r="I125" s="163">
        <v>22.8</v>
      </c>
      <c r="J125" s="163" t="s">
        <v>1333</v>
      </c>
      <c r="K125" s="151">
        <v>4</v>
      </c>
      <c r="L125" s="149">
        <v>2</v>
      </c>
      <c r="M125" s="177">
        <v>0</v>
      </c>
      <c r="N125" s="173">
        <v>0</v>
      </c>
      <c r="O125" s="173">
        <v>2</v>
      </c>
      <c r="P125" s="173">
        <v>6</v>
      </c>
      <c r="Q125" s="177">
        <v>6</v>
      </c>
      <c r="R125" s="174">
        <v>0</v>
      </c>
      <c r="S125" s="182">
        <v>1</v>
      </c>
      <c r="T125" s="183">
        <v>2</v>
      </c>
      <c r="U125" s="149"/>
      <c r="V125" s="149"/>
      <c r="W125" s="149"/>
      <c r="X125" s="149"/>
    </row>
    <row r="126" spans="2:24" x14ac:dyDescent="0.3">
      <c r="B126" s="162" t="s">
        <v>1382</v>
      </c>
      <c r="C126" s="131">
        <v>99810</v>
      </c>
      <c r="D126" s="162" t="s">
        <v>42</v>
      </c>
      <c r="E126" s="163">
        <v>970</v>
      </c>
      <c r="F126" s="163" t="s">
        <v>348</v>
      </c>
      <c r="G126" s="162" t="s">
        <v>202</v>
      </c>
      <c r="H126" s="163">
        <v>30.5</v>
      </c>
      <c r="I126" s="163">
        <v>22.9</v>
      </c>
      <c r="J126" s="163" t="s">
        <v>1333</v>
      </c>
      <c r="K126" s="151">
        <v>4</v>
      </c>
      <c r="L126" s="149">
        <v>2</v>
      </c>
      <c r="M126" s="177">
        <v>0</v>
      </c>
      <c r="N126" s="173">
        <v>0</v>
      </c>
      <c r="O126" s="173">
        <v>2</v>
      </c>
      <c r="P126" s="173">
        <v>6</v>
      </c>
      <c r="Q126" s="177">
        <v>6</v>
      </c>
      <c r="R126" s="174">
        <v>0</v>
      </c>
      <c r="S126" s="182">
        <v>1</v>
      </c>
      <c r="T126" s="183">
        <v>2</v>
      </c>
      <c r="U126" s="149"/>
      <c r="V126" s="149"/>
      <c r="W126" s="149"/>
      <c r="X126" s="149"/>
    </row>
    <row r="127" spans="2:24" x14ac:dyDescent="0.3">
      <c r="B127" s="162" t="s">
        <v>1385</v>
      </c>
      <c r="C127" s="131">
        <v>79000</v>
      </c>
      <c r="D127" s="162" t="s">
        <v>308</v>
      </c>
      <c r="E127" s="163">
        <v>970</v>
      </c>
      <c r="F127" s="163" t="s">
        <v>348</v>
      </c>
      <c r="G127" s="167" t="s">
        <v>202</v>
      </c>
      <c r="H127" s="151">
        <v>30.5</v>
      </c>
      <c r="I127" s="151">
        <v>22.5</v>
      </c>
      <c r="J127" s="163" t="s">
        <v>1333</v>
      </c>
      <c r="K127" s="151">
        <v>4</v>
      </c>
      <c r="L127" s="149">
        <v>2</v>
      </c>
      <c r="M127" s="177">
        <v>0</v>
      </c>
      <c r="N127" s="173">
        <v>0</v>
      </c>
      <c r="O127" s="173">
        <v>2</v>
      </c>
      <c r="P127" s="173">
        <v>6</v>
      </c>
      <c r="Q127" s="177">
        <v>6</v>
      </c>
      <c r="R127" s="174">
        <v>0</v>
      </c>
      <c r="S127" s="182">
        <v>1</v>
      </c>
      <c r="T127" s="183">
        <v>2</v>
      </c>
      <c r="U127" s="149"/>
      <c r="V127" s="149"/>
      <c r="W127" s="149"/>
      <c r="X127" s="149"/>
    </row>
    <row r="128" spans="2:24" x14ac:dyDescent="0.3">
      <c r="B128" s="162" t="s">
        <v>1386</v>
      </c>
      <c r="C128" s="131">
        <v>77000</v>
      </c>
      <c r="D128" s="162" t="s">
        <v>164</v>
      </c>
      <c r="E128" s="163">
        <v>970</v>
      </c>
      <c r="F128" s="163" t="s">
        <v>348</v>
      </c>
      <c r="G128" s="167" t="s">
        <v>202</v>
      </c>
      <c r="H128" s="163">
        <v>30.5</v>
      </c>
      <c r="I128" s="163">
        <v>24.4</v>
      </c>
      <c r="J128" s="163" t="s">
        <v>1333</v>
      </c>
      <c r="K128" s="151">
        <v>4</v>
      </c>
      <c r="L128" s="149">
        <v>2</v>
      </c>
      <c r="M128" s="177">
        <v>0</v>
      </c>
      <c r="N128" s="173">
        <v>0</v>
      </c>
      <c r="O128" s="173">
        <v>2</v>
      </c>
      <c r="P128" s="173">
        <v>6</v>
      </c>
      <c r="Q128" s="177">
        <v>6</v>
      </c>
      <c r="R128" s="174">
        <v>0</v>
      </c>
      <c r="S128" s="182">
        <v>1</v>
      </c>
      <c r="T128" s="183">
        <v>2</v>
      </c>
      <c r="U128" s="149"/>
      <c r="V128" s="149"/>
      <c r="W128" s="149"/>
      <c r="X128" s="149"/>
    </row>
    <row r="129" spans="2:24" x14ac:dyDescent="0.3">
      <c r="B129" s="162" t="s">
        <v>1387</v>
      </c>
      <c r="C129" s="131">
        <v>82000</v>
      </c>
      <c r="D129" s="162" t="s">
        <v>164</v>
      </c>
      <c r="E129" s="163">
        <v>970</v>
      </c>
      <c r="F129" s="163" t="s">
        <v>348</v>
      </c>
      <c r="G129" s="167" t="s">
        <v>202</v>
      </c>
      <c r="H129" s="163">
        <v>30.5</v>
      </c>
      <c r="I129" s="163">
        <v>24.4</v>
      </c>
      <c r="J129" s="163" t="s">
        <v>746</v>
      </c>
      <c r="K129" s="151">
        <v>4</v>
      </c>
      <c r="L129" s="149">
        <v>1</v>
      </c>
      <c r="M129" s="177">
        <v>0</v>
      </c>
      <c r="N129" s="173">
        <v>0</v>
      </c>
      <c r="O129" s="173">
        <v>2</v>
      </c>
      <c r="P129" s="173">
        <v>8</v>
      </c>
      <c r="Q129" s="177">
        <v>6</v>
      </c>
      <c r="R129" s="174">
        <v>0</v>
      </c>
      <c r="S129" s="182">
        <v>1</v>
      </c>
      <c r="T129" s="183">
        <v>2</v>
      </c>
      <c r="U129" s="149"/>
      <c r="V129" s="149"/>
      <c r="W129" s="149"/>
      <c r="X129" s="149"/>
    </row>
    <row r="130" spans="2:24" x14ac:dyDescent="0.3">
      <c r="B130" s="166" t="s">
        <v>918</v>
      </c>
      <c r="C130" s="131"/>
      <c r="E130" s="163"/>
      <c r="F130" s="163"/>
      <c r="G130" s="167"/>
      <c r="H130" s="151"/>
      <c r="I130" s="151"/>
      <c r="K130" s="151"/>
      <c r="L130" s="149"/>
      <c r="M130" s="177"/>
      <c r="N130" s="173"/>
      <c r="O130" s="173"/>
      <c r="P130" s="173"/>
      <c r="Q130" s="177"/>
      <c r="R130" s="174"/>
      <c r="S130" s="182"/>
      <c r="T130" s="183"/>
      <c r="U130" s="149"/>
      <c r="V130" s="149"/>
      <c r="W130" s="149"/>
      <c r="X130" s="149"/>
    </row>
    <row r="131" spans="2:24" x14ac:dyDescent="0.3">
      <c r="B131" s="161" t="s">
        <v>349</v>
      </c>
      <c r="C131" s="131"/>
      <c r="E131" s="163"/>
      <c r="F131" s="163"/>
      <c r="G131" s="167"/>
      <c r="H131" s="151"/>
      <c r="I131" s="151"/>
      <c r="K131" s="151"/>
      <c r="L131" s="149"/>
      <c r="M131" s="177"/>
      <c r="N131" s="173"/>
      <c r="O131" s="173"/>
      <c r="P131" s="173"/>
      <c r="Q131" s="177"/>
      <c r="R131" s="174"/>
      <c r="S131" s="182"/>
      <c r="T131" s="183"/>
      <c r="U131" s="149"/>
      <c r="V131" s="149"/>
      <c r="W131" s="149"/>
      <c r="X131" s="149"/>
    </row>
    <row r="132" spans="2:24" x14ac:dyDescent="0.3">
      <c r="B132" s="162" t="s">
        <v>1379</v>
      </c>
      <c r="C132" s="131">
        <v>197620</v>
      </c>
      <c r="D132" s="162" t="s">
        <v>164</v>
      </c>
      <c r="E132" s="163" t="s">
        <v>350</v>
      </c>
      <c r="F132" s="163" t="s">
        <v>348</v>
      </c>
      <c r="G132" s="167" t="s">
        <v>202</v>
      </c>
      <c r="H132" s="163">
        <v>30.5</v>
      </c>
      <c r="I132" s="163">
        <v>24.4</v>
      </c>
      <c r="J132" s="163" t="s">
        <v>1333</v>
      </c>
      <c r="K132" s="151">
        <v>4</v>
      </c>
      <c r="L132" s="149">
        <v>1</v>
      </c>
      <c r="M132" s="177">
        <v>1</v>
      </c>
      <c r="N132" s="173">
        <v>1</v>
      </c>
      <c r="O132" s="173">
        <v>2</v>
      </c>
      <c r="P132" s="173">
        <v>6</v>
      </c>
      <c r="Q132" s="177">
        <v>6</v>
      </c>
      <c r="R132" s="174">
        <v>0</v>
      </c>
      <c r="S132" s="182">
        <v>2</v>
      </c>
      <c r="T132" s="183">
        <v>2</v>
      </c>
      <c r="U132" s="149"/>
      <c r="V132" s="149"/>
      <c r="W132" s="149"/>
      <c r="X132" s="149"/>
    </row>
  </sheetData>
  <mergeCells count="2">
    <mergeCell ref="M2:P2"/>
    <mergeCell ref="Q2:R2"/>
  </mergeCells>
  <phoneticPr fontId="4" type="noConversion"/>
  <conditionalFormatting sqref="S1:T1 S3:T11 S2 S13:T31 S33:T34 S58:T58 S36:T39 S41:T56 S114:T118 S120:T123 S125:T128 S130:T1048576 S67:T73 S61:T65 S77:T80 S107:T112 S105:T105 S99:T103 S82:T97">
    <cfRule type="cellIs" dxfId="305" priority="66" operator="lessThanOrEqual">
      <formula>1</formula>
    </cfRule>
  </conditionalFormatting>
  <conditionalFormatting sqref="R1:R11 R13:R31 L13:P31 L33:P34 R33:R34 L58:P58 R58 L36:P39 R36:R39 R41:R56 L41:P56 R114:R118 L114:P118 R120:R123 L120:P123 L125:P128 R125:R128 R130:R1048576 L130:P1048576 R67:R73 L67:P73 L61:P65 R61:R65 L77:P80 R77:R80 L107:P112 R107:R112 L105:P105 R105 L99:P103 R99:R103 R82:R97 L82:P97">
    <cfRule type="cellIs" dxfId="304" priority="65" operator="lessThan">
      <formula>1</formula>
    </cfRule>
  </conditionalFormatting>
  <conditionalFormatting sqref="M1:P11">
    <cfRule type="cellIs" dxfId="303" priority="64" operator="lessThan">
      <formula>1</formula>
    </cfRule>
  </conditionalFormatting>
  <conditionalFormatting sqref="L1:L11">
    <cfRule type="cellIs" dxfId="302" priority="63" operator="lessThan">
      <formula>1</formula>
    </cfRule>
  </conditionalFormatting>
  <conditionalFormatting sqref="S12:T12">
    <cfRule type="cellIs" dxfId="301" priority="58" operator="lessThanOrEqual">
      <formula>1</formula>
    </cfRule>
  </conditionalFormatting>
  <conditionalFormatting sqref="R12">
    <cfRule type="cellIs" dxfId="300" priority="57" operator="lessThan">
      <formula>1</formula>
    </cfRule>
  </conditionalFormatting>
  <conditionalFormatting sqref="M12:P12">
    <cfRule type="cellIs" dxfId="299" priority="56" operator="lessThan">
      <formula>1</formula>
    </cfRule>
  </conditionalFormatting>
  <conditionalFormatting sqref="L12">
    <cfRule type="cellIs" dxfId="298" priority="55" operator="lessThan">
      <formula>1</formula>
    </cfRule>
  </conditionalFormatting>
  <conditionalFormatting sqref="S32:T32">
    <cfRule type="cellIs" dxfId="297" priority="54" operator="lessThanOrEqual">
      <formula>1</formula>
    </cfRule>
  </conditionalFormatting>
  <conditionalFormatting sqref="R32 L32:P32">
    <cfRule type="cellIs" dxfId="296" priority="53" operator="lessThan">
      <formula>1</formula>
    </cfRule>
  </conditionalFormatting>
  <conditionalFormatting sqref="S35:T35">
    <cfRule type="cellIs" dxfId="295" priority="52" operator="lessThanOrEqual">
      <formula>1</formula>
    </cfRule>
  </conditionalFormatting>
  <conditionalFormatting sqref="L35:P35 R35">
    <cfRule type="cellIs" dxfId="294" priority="51" operator="lessThan">
      <formula>1</formula>
    </cfRule>
  </conditionalFormatting>
  <conditionalFormatting sqref="S59:T59">
    <cfRule type="cellIs" dxfId="293" priority="40" operator="lessThanOrEqual">
      <formula>1</formula>
    </cfRule>
  </conditionalFormatting>
  <conditionalFormatting sqref="R59 L59:P59">
    <cfRule type="cellIs" dxfId="292" priority="39" operator="lessThan">
      <formula>1</formula>
    </cfRule>
  </conditionalFormatting>
  <conditionalFormatting sqref="S58:T58">
    <cfRule type="cellIs" dxfId="291" priority="46" operator="lessThanOrEqual">
      <formula>1</formula>
    </cfRule>
  </conditionalFormatting>
  <conditionalFormatting sqref="L58:P58 R58">
    <cfRule type="cellIs" dxfId="290" priority="45" operator="lessThan">
      <formula>1</formula>
    </cfRule>
  </conditionalFormatting>
  <conditionalFormatting sqref="S57:T57">
    <cfRule type="cellIs" dxfId="289" priority="44" operator="lessThanOrEqual">
      <formula>1</formula>
    </cfRule>
  </conditionalFormatting>
  <conditionalFormatting sqref="L57:P57 R57">
    <cfRule type="cellIs" dxfId="288" priority="43" operator="lessThan">
      <formula>1</formula>
    </cfRule>
  </conditionalFormatting>
  <conditionalFormatting sqref="L60:P60 R60">
    <cfRule type="cellIs" dxfId="287" priority="37" operator="lessThan">
      <formula>1</formula>
    </cfRule>
  </conditionalFormatting>
  <conditionalFormatting sqref="S60:T60">
    <cfRule type="cellIs" dxfId="286" priority="38" operator="lessThanOrEqual">
      <formula>1</formula>
    </cfRule>
  </conditionalFormatting>
  <conditionalFormatting sqref="S40:T40">
    <cfRule type="cellIs" dxfId="285" priority="34" operator="lessThanOrEqual">
      <formula>1</formula>
    </cfRule>
  </conditionalFormatting>
  <conditionalFormatting sqref="L40:P40 R40">
    <cfRule type="cellIs" dxfId="284" priority="33" operator="lessThan">
      <formula>1</formula>
    </cfRule>
  </conditionalFormatting>
  <conditionalFormatting sqref="S119:T119">
    <cfRule type="cellIs" dxfId="283" priority="32" operator="lessThanOrEqual">
      <formula>1</formula>
    </cfRule>
  </conditionalFormatting>
  <conditionalFormatting sqref="L119:P119 R119">
    <cfRule type="cellIs" dxfId="282" priority="31" operator="lessThan">
      <formula>1</formula>
    </cfRule>
  </conditionalFormatting>
  <conditionalFormatting sqref="S113:T113">
    <cfRule type="cellIs" dxfId="281" priority="30" operator="lessThanOrEqual">
      <formula>1</formula>
    </cfRule>
  </conditionalFormatting>
  <conditionalFormatting sqref="L113:P113 R113">
    <cfRule type="cellIs" dxfId="280" priority="29" operator="lessThan">
      <formula>1</formula>
    </cfRule>
  </conditionalFormatting>
  <conditionalFormatting sqref="S124:T124">
    <cfRule type="cellIs" dxfId="279" priority="28" operator="lessThanOrEqual">
      <formula>1</formula>
    </cfRule>
  </conditionalFormatting>
  <conditionalFormatting sqref="R124 L124:P124">
    <cfRule type="cellIs" dxfId="278" priority="27" operator="lessThan">
      <formula>1</formula>
    </cfRule>
  </conditionalFormatting>
  <conditionalFormatting sqref="S129:T129">
    <cfRule type="cellIs" dxfId="277" priority="26" operator="lessThanOrEqual">
      <formula>1</formula>
    </cfRule>
  </conditionalFormatting>
  <conditionalFormatting sqref="L129:P129 R129">
    <cfRule type="cellIs" dxfId="276" priority="25" operator="lessThan">
      <formula>1</formula>
    </cfRule>
  </conditionalFormatting>
  <conditionalFormatting sqref="S66:T66">
    <cfRule type="cellIs" dxfId="275" priority="24" operator="lessThanOrEqual">
      <formula>1</formula>
    </cfRule>
  </conditionalFormatting>
  <conditionalFormatting sqref="L66:P66 R66">
    <cfRule type="cellIs" dxfId="274" priority="23" operator="lessThan">
      <formula>1</formula>
    </cfRule>
  </conditionalFormatting>
  <conditionalFormatting sqref="S76:T76">
    <cfRule type="cellIs" dxfId="273" priority="16" operator="lessThanOrEqual">
      <formula>1</formula>
    </cfRule>
  </conditionalFormatting>
  <conditionalFormatting sqref="R76 L76:P76">
    <cfRule type="cellIs" dxfId="272" priority="15" operator="lessThan">
      <formula>1</formula>
    </cfRule>
  </conditionalFormatting>
  <conditionalFormatting sqref="S75:T75">
    <cfRule type="cellIs" dxfId="271" priority="20" operator="lessThanOrEqual">
      <formula>1</formula>
    </cfRule>
  </conditionalFormatting>
  <conditionalFormatting sqref="R75 M75:P75">
    <cfRule type="cellIs" dxfId="270" priority="19" operator="lessThan">
      <formula>1</formula>
    </cfRule>
  </conditionalFormatting>
  <conditionalFormatting sqref="S81:T81">
    <cfRule type="cellIs" dxfId="269" priority="10" operator="lessThanOrEqual">
      <formula>1</formula>
    </cfRule>
  </conditionalFormatting>
  <conditionalFormatting sqref="L75">
    <cfRule type="cellIs" dxfId="268" priority="11" operator="lessThan">
      <formula>1</formula>
    </cfRule>
  </conditionalFormatting>
  <conditionalFormatting sqref="L81:P81 R81">
    <cfRule type="cellIs" dxfId="267" priority="9" operator="lessThan">
      <formula>1</formula>
    </cfRule>
  </conditionalFormatting>
  <conditionalFormatting sqref="S74:T74">
    <cfRule type="cellIs" dxfId="266" priority="14" operator="lessThanOrEqual">
      <formula>1</formula>
    </cfRule>
  </conditionalFormatting>
  <conditionalFormatting sqref="R74 M74:P74">
    <cfRule type="cellIs" dxfId="265" priority="13" operator="lessThan">
      <formula>1</formula>
    </cfRule>
  </conditionalFormatting>
  <conditionalFormatting sqref="L74">
    <cfRule type="cellIs" dxfId="264" priority="12" operator="lessThan">
      <formula>1</formula>
    </cfRule>
  </conditionalFormatting>
  <conditionalFormatting sqref="S106:T106">
    <cfRule type="cellIs" dxfId="263" priority="8" operator="lessThanOrEqual">
      <formula>1</formula>
    </cfRule>
  </conditionalFormatting>
  <conditionalFormatting sqref="R106 L106:P106">
    <cfRule type="cellIs" dxfId="262" priority="7" operator="lessThan">
      <formula>1</formula>
    </cfRule>
  </conditionalFormatting>
  <conditionalFormatting sqref="S104:T104">
    <cfRule type="cellIs" dxfId="261" priority="6" operator="lessThanOrEqual">
      <formula>1</formula>
    </cfRule>
  </conditionalFormatting>
  <conditionalFormatting sqref="L104:P104 R104">
    <cfRule type="cellIs" dxfId="260" priority="5" operator="lessThan">
      <formula>1</formula>
    </cfRule>
  </conditionalFormatting>
  <conditionalFormatting sqref="S98:T98">
    <cfRule type="cellIs" dxfId="259" priority="4" operator="lessThanOrEqual">
      <formula>1</formula>
    </cfRule>
  </conditionalFormatting>
  <conditionalFormatting sqref="L98:P98 R98">
    <cfRule type="cellIs" dxfId="258" priority="3" operator="lessThan">
      <formula>1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59999389629810485"/>
  </sheetPr>
  <dimension ref="A1:N56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8" sqref="B8"/>
    </sheetView>
  </sheetViews>
  <sheetFormatPr defaultColWidth="9" defaultRowHeight="13.2" x14ac:dyDescent="0.3"/>
  <cols>
    <col min="1" max="1" width="2.5" style="124" bestFit="1" customWidth="1"/>
    <col min="2" max="2" width="52.8984375" style="124" bestFit="1" customWidth="1"/>
    <col min="3" max="3" width="9" style="124"/>
    <col min="4" max="4" width="9.19921875" style="124" bestFit="1" customWidth="1"/>
    <col min="5" max="5" width="7.3984375" style="194" bestFit="1" customWidth="1"/>
    <col min="6" max="6" width="8.19921875" style="243" bestFit="1" customWidth="1"/>
    <col min="7" max="7" width="7.5" style="194" bestFit="1" customWidth="1"/>
    <col min="8" max="8" width="9" style="162"/>
    <col min="9" max="9" width="8.69921875" style="124" bestFit="1" customWidth="1"/>
    <col min="10" max="10" width="11.8984375" style="252" bestFit="1" customWidth="1"/>
    <col min="11" max="11" width="5.296875" style="197" bestFit="1" customWidth="1"/>
    <col min="12" max="12" width="6.8984375" style="124" bestFit="1" customWidth="1"/>
    <col min="13" max="13" width="9" style="124"/>
    <col min="14" max="14" width="11.8984375" style="124" bestFit="1" customWidth="1"/>
    <col min="15" max="16384" width="9" style="124"/>
  </cols>
  <sheetData>
    <row r="1" spans="1:14" ht="24" customHeight="1" x14ac:dyDescent="0.3">
      <c r="A1" s="124">
        <v>3</v>
      </c>
    </row>
    <row r="2" spans="1:14" x14ac:dyDescent="0.3">
      <c r="B2" s="126" t="s">
        <v>0</v>
      </c>
      <c r="C2" s="135" t="s">
        <v>1476</v>
      </c>
      <c r="D2" s="127" t="s">
        <v>2</v>
      </c>
      <c r="E2" s="195" t="s">
        <v>1219</v>
      </c>
      <c r="F2" s="156" t="s">
        <v>1475</v>
      </c>
      <c r="G2" s="195" t="s">
        <v>1218</v>
      </c>
      <c r="H2" s="161" t="s">
        <v>210</v>
      </c>
      <c r="I2" s="127" t="s">
        <v>1125</v>
      </c>
      <c r="J2" s="128" t="s">
        <v>1126</v>
      </c>
      <c r="K2" s="198" t="s">
        <v>1127</v>
      </c>
      <c r="L2" s="247" t="s">
        <v>1471</v>
      </c>
      <c r="M2" s="127" t="s">
        <v>1499</v>
      </c>
      <c r="N2" s="247" t="s">
        <v>1472</v>
      </c>
    </row>
    <row r="3" spans="1:14" x14ac:dyDescent="0.3">
      <c r="B3" s="133" t="s">
        <v>1205</v>
      </c>
      <c r="C3" s="126"/>
      <c r="D3" s="127"/>
      <c r="E3" s="195"/>
      <c r="F3" s="156"/>
      <c r="G3" s="195"/>
      <c r="H3" s="161"/>
      <c r="I3" s="127"/>
      <c r="J3" s="128"/>
      <c r="K3" s="198"/>
      <c r="L3" s="247"/>
      <c r="M3" s="127"/>
      <c r="N3" s="247"/>
    </row>
    <row r="4" spans="1:14" x14ac:dyDescent="0.3">
      <c r="B4" s="126" t="s">
        <v>1203</v>
      </c>
      <c r="C4" s="126"/>
      <c r="D4" s="127"/>
      <c r="E4" s="195"/>
      <c r="F4" s="156"/>
      <c r="G4" s="195"/>
      <c r="H4" s="161"/>
      <c r="I4" s="127"/>
      <c r="J4" s="128"/>
      <c r="K4" s="198"/>
      <c r="L4" s="247"/>
      <c r="M4" s="127"/>
      <c r="N4" s="247"/>
    </row>
    <row r="5" spans="1:14" x14ac:dyDescent="0.3">
      <c r="B5" s="126" t="s">
        <v>1339</v>
      </c>
      <c r="C5" s="126"/>
      <c r="D5" s="236"/>
      <c r="E5" s="195"/>
      <c r="F5" s="156"/>
      <c r="G5" s="195"/>
      <c r="H5" s="161"/>
      <c r="I5" s="236"/>
      <c r="J5" s="128"/>
      <c r="K5" s="198"/>
      <c r="L5" s="247"/>
      <c r="M5" s="236"/>
      <c r="N5" s="247"/>
    </row>
    <row r="6" spans="1:14" x14ac:dyDescent="0.3">
      <c r="B6" s="126" t="s">
        <v>1337</v>
      </c>
      <c r="C6" s="126"/>
      <c r="D6" s="127"/>
      <c r="E6" s="195"/>
      <c r="F6" s="156"/>
      <c r="G6" s="195"/>
      <c r="H6" s="161"/>
      <c r="I6" s="127"/>
      <c r="J6" s="128"/>
      <c r="K6" s="198"/>
      <c r="L6" s="247"/>
      <c r="M6" s="127"/>
      <c r="N6" s="247"/>
    </row>
    <row r="7" spans="1:14" x14ac:dyDescent="0.3">
      <c r="B7" s="133" t="s">
        <v>1451</v>
      </c>
      <c r="C7" s="131">
        <v>18000</v>
      </c>
      <c r="D7" s="142" t="s">
        <v>1449</v>
      </c>
      <c r="E7" s="196">
        <f t="shared" ref="E7:E50" si="0">G7*K7</f>
        <v>4</v>
      </c>
      <c r="F7" s="143">
        <f t="shared" ref="F7:F25" si="1">C7/K7</f>
        <v>18000</v>
      </c>
      <c r="G7" s="196">
        <v>4</v>
      </c>
      <c r="H7" s="149" t="s">
        <v>1335</v>
      </c>
      <c r="I7" s="200">
        <v>2133</v>
      </c>
      <c r="J7" s="129"/>
      <c r="K7" s="199">
        <v>1</v>
      </c>
      <c r="L7" s="253" t="s">
        <v>1485</v>
      </c>
      <c r="M7" s="134"/>
      <c r="N7" s="134"/>
    </row>
    <row r="8" spans="1:14" x14ac:dyDescent="0.3">
      <c r="B8" s="133" t="s">
        <v>3095</v>
      </c>
      <c r="C8" s="131">
        <v>36900</v>
      </c>
      <c r="D8" s="142" t="s">
        <v>1449</v>
      </c>
      <c r="E8" s="196">
        <f t="shared" si="0"/>
        <v>8</v>
      </c>
      <c r="F8" s="143">
        <f t="shared" si="1"/>
        <v>36900</v>
      </c>
      <c r="G8" s="196">
        <v>8</v>
      </c>
      <c r="H8" s="149" t="s">
        <v>754</v>
      </c>
      <c r="I8" s="200">
        <v>2400</v>
      </c>
      <c r="J8" s="129"/>
      <c r="K8" s="199">
        <v>1</v>
      </c>
      <c r="L8" s="253" t="s">
        <v>1484</v>
      </c>
      <c r="M8" s="134"/>
      <c r="N8" s="134"/>
    </row>
    <row r="9" spans="1:14" x14ac:dyDescent="0.3">
      <c r="B9" s="133" t="s">
        <v>1450</v>
      </c>
      <c r="C9" s="131">
        <v>72100</v>
      </c>
      <c r="D9" s="142" t="s">
        <v>1449</v>
      </c>
      <c r="E9" s="196">
        <f t="shared" si="0"/>
        <v>16</v>
      </c>
      <c r="F9" s="143">
        <f t="shared" si="1"/>
        <v>72100</v>
      </c>
      <c r="G9" s="196">
        <v>16</v>
      </c>
      <c r="H9" s="149" t="s">
        <v>754</v>
      </c>
      <c r="I9" s="200">
        <v>2133</v>
      </c>
      <c r="J9" s="129"/>
      <c r="K9" s="199">
        <v>1</v>
      </c>
      <c r="L9" s="253" t="s">
        <v>1484</v>
      </c>
      <c r="M9" s="134"/>
      <c r="N9" s="134"/>
    </row>
    <row r="10" spans="1:14" x14ac:dyDescent="0.3">
      <c r="B10" s="133" t="s">
        <v>1505</v>
      </c>
      <c r="C10" s="131">
        <v>20000</v>
      </c>
      <c r="D10" s="142" t="s">
        <v>1492</v>
      </c>
      <c r="E10" s="196">
        <f t="shared" si="0"/>
        <v>4</v>
      </c>
      <c r="F10" s="143">
        <f t="shared" si="1"/>
        <v>20000</v>
      </c>
      <c r="G10" s="196">
        <v>4</v>
      </c>
      <c r="H10" s="149" t="s">
        <v>754</v>
      </c>
      <c r="I10" s="200">
        <v>2400</v>
      </c>
      <c r="J10" s="129" t="s">
        <v>1497</v>
      </c>
      <c r="K10" s="199">
        <v>1</v>
      </c>
      <c r="L10" s="254" t="s">
        <v>1506</v>
      </c>
      <c r="M10" s="134" t="s">
        <v>1515</v>
      </c>
      <c r="N10" s="134"/>
    </row>
    <row r="11" spans="1:14" x14ac:dyDescent="0.3">
      <c r="B11" s="133" t="s">
        <v>1500</v>
      </c>
      <c r="C11" s="131">
        <v>21220</v>
      </c>
      <c r="D11" s="142" t="s">
        <v>1492</v>
      </c>
      <c r="E11" s="196">
        <f t="shared" si="0"/>
        <v>4</v>
      </c>
      <c r="F11" s="143">
        <f t="shared" si="1"/>
        <v>21220</v>
      </c>
      <c r="G11" s="196">
        <v>4</v>
      </c>
      <c r="H11" s="149" t="s">
        <v>754</v>
      </c>
      <c r="I11" s="200">
        <v>2400</v>
      </c>
      <c r="J11" s="129" t="s">
        <v>1497</v>
      </c>
      <c r="K11" s="199">
        <v>1</v>
      </c>
      <c r="L11" s="254" t="s">
        <v>1506</v>
      </c>
      <c r="M11" s="250" t="s">
        <v>1508</v>
      </c>
      <c r="N11" s="134"/>
    </row>
    <row r="12" spans="1:14" x14ac:dyDescent="0.3">
      <c r="B12" s="133" t="s">
        <v>1496</v>
      </c>
      <c r="C12" s="131">
        <v>72800</v>
      </c>
      <c r="D12" s="142" t="s">
        <v>1492</v>
      </c>
      <c r="E12" s="196">
        <f t="shared" si="0"/>
        <v>16</v>
      </c>
      <c r="F12" s="143">
        <f t="shared" si="1"/>
        <v>72800</v>
      </c>
      <c r="G12" s="196">
        <v>16</v>
      </c>
      <c r="H12" s="149" t="s">
        <v>754</v>
      </c>
      <c r="I12" s="200">
        <v>2400</v>
      </c>
      <c r="J12" s="129" t="s">
        <v>1497</v>
      </c>
      <c r="K12" s="199">
        <v>1</v>
      </c>
      <c r="L12" s="254" t="s">
        <v>1507</v>
      </c>
      <c r="M12" s="134"/>
      <c r="N12" s="134"/>
    </row>
    <row r="13" spans="1:14" x14ac:dyDescent="0.3">
      <c r="B13" s="133" t="s">
        <v>1498</v>
      </c>
      <c r="C13" s="131">
        <v>77470</v>
      </c>
      <c r="D13" s="142" t="s">
        <v>1492</v>
      </c>
      <c r="E13" s="196">
        <f t="shared" si="0"/>
        <v>16</v>
      </c>
      <c r="F13" s="143">
        <f t="shared" si="1"/>
        <v>77470</v>
      </c>
      <c r="G13" s="196">
        <v>16</v>
      </c>
      <c r="H13" s="149" t="s">
        <v>754</v>
      </c>
      <c r="I13" s="200">
        <v>2400</v>
      </c>
      <c r="J13" s="129" t="s">
        <v>1497</v>
      </c>
      <c r="K13" s="199">
        <v>1</v>
      </c>
      <c r="L13" s="254" t="s">
        <v>1507</v>
      </c>
      <c r="M13" s="254" t="s">
        <v>1509</v>
      </c>
      <c r="N13" s="134"/>
    </row>
    <row r="14" spans="1:14" x14ac:dyDescent="0.3">
      <c r="B14" s="133" t="s">
        <v>1474</v>
      </c>
      <c r="C14" s="131">
        <v>274500</v>
      </c>
      <c r="D14" s="142" t="s">
        <v>1469</v>
      </c>
      <c r="E14" s="196">
        <f t="shared" si="0"/>
        <v>16</v>
      </c>
      <c r="F14" s="143">
        <f t="shared" si="1"/>
        <v>68625</v>
      </c>
      <c r="G14" s="196">
        <v>4</v>
      </c>
      <c r="H14" s="149" t="s">
        <v>754</v>
      </c>
      <c r="I14" s="200">
        <v>2133</v>
      </c>
      <c r="J14" s="129" t="s">
        <v>1479</v>
      </c>
      <c r="K14" s="199">
        <v>4</v>
      </c>
      <c r="L14" s="254" t="s">
        <v>1507</v>
      </c>
      <c r="M14" s="254" t="s">
        <v>1519</v>
      </c>
      <c r="N14" s="250" t="s">
        <v>1477</v>
      </c>
    </row>
    <row r="15" spans="1:14" x14ac:dyDescent="0.3">
      <c r="B15" s="133" t="s">
        <v>1468</v>
      </c>
      <c r="C15" s="131">
        <v>423000</v>
      </c>
      <c r="D15" s="142" t="s">
        <v>1469</v>
      </c>
      <c r="E15" s="196">
        <f t="shared" si="0"/>
        <v>16</v>
      </c>
      <c r="F15" s="143">
        <f t="shared" si="1"/>
        <v>105750</v>
      </c>
      <c r="G15" s="196">
        <v>4</v>
      </c>
      <c r="H15" s="149" t="s">
        <v>1470</v>
      </c>
      <c r="I15" s="200">
        <v>3000</v>
      </c>
      <c r="J15" s="129" t="s">
        <v>1480</v>
      </c>
      <c r="K15" s="199">
        <v>4</v>
      </c>
      <c r="L15" s="254" t="s">
        <v>1507</v>
      </c>
      <c r="M15" s="254" t="s">
        <v>1519</v>
      </c>
      <c r="N15" s="251" t="s">
        <v>1473</v>
      </c>
    </row>
    <row r="16" spans="1:14" x14ac:dyDescent="0.3">
      <c r="B16" s="133" t="s">
        <v>1478</v>
      </c>
      <c r="C16" s="131">
        <v>423000</v>
      </c>
      <c r="D16" s="142" t="s">
        <v>1469</v>
      </c>
      <c r="E16" s="196">
        <f t="shared" si="0"/>
        <v>16</v>
      </c>
      <c r="F16" s="143">
        <f t="shared" si="1"/>
        <v>105750</v>
      </c>
      <c r="G16" s="196">
        <v>4</v>
      </c>
      <c r="H16" s="149" t="s">
        <v>1470</v>
      </c>
      <c r="I16" s="200">
        <v>3000</v>
      </c>
      <c r="J16" s="129" t="s">
        <v>1481</v>
      </c>
      <c r="K16" s="199">
        <v>4</v>
      </c>
      <c r="L16" s="254" t="s">
        <v>1507</v>
      </c>
      <c r="M16" s="254" t="s">
        <v>1520</v>
      </c>
      <c r="N16" s="250" t="s">
        <v>1477</v>
      </c>
    </row>
    <row r="17" spans="2:14" x14ac:dyDescent="0.3">
      <c r="B17" s="133" t="s">
        <v>1524</v>
      </c>
      <c r="C17" s="131">
        <v>133000</v>
      </c>
      <c r="D17" s="142" t="s">
        <v>205</v>
      </c>
      <c r="E17" s="196">
        <f t="shared" si="0"/>
        <v>8</v>
      </c>
      <c r="F17" s="143">
        <f t="shared" si="1"/>
        <v>66500</v>
      </c>
      <c r="G17" s="196">
        <v>4</v>
      </c>
      <c r="H17" s="149" t="s">
        <v>1335</v>
      </c>
      <c r="I17" s="200">
        <v>2666</v>
      </c>
      <c r="J17" s="129" t="s">
        <v>1527</v>
      </c>
      <c r="K17" s="199">
        <v>2</v>
      </c>
      <c r="L17" s="254" t="s">
        <v>1507</v>
      </c>
      <c r="M17" s="250" t="s">
        <v>1526</v>
      </c>
      <c r="N17" s="134"/>
    </row>
    <row r="18" spans="2:14" x14ac:dyDescent="0.3">
      <c r="B18" s="133" t="s">
        <v>1525</v>
      </c>
      <c r="C18" s="131">
        <v>291120</v>
      </c>
      <c r="D18" s="142" t="s">
        <v>205</v>
      </c>
      <c r="E18" s="196">
        <f t="shared" si="0"/>
        <v>16</v>
      </c>
      <c r="F18" s="143">
        <f t="shared" si="1"/>
        <v>145560</v>
      </c>
      <c r="G18" s="196">
        <v>8</v>
      </c>
      <c r="H18" s="149" t="s">
        <v>1335</v>
      </c>
      <c r="I18" s="200">
        <v>2800</v>
      </c>
      <c r="J18" s="129" t="s">
        <v>1528</v>
      </c>
      <c r="K18" s="199">
        <v>2</v>
      </c>
      <c r="L18" s="254" t="s">
        <v>1507</v>
      </c>
      <c r="M18" s="250" t="s">
        <v>1526</v>
      </c>
      <c r="N18" s="134"/>
    </row>
    <row r="19" spans="2:14" x14ac:dyDescent="0.3">
      <c r="B19" s="133" t="s">
        <v>1521</v>
      </c>
      <c r="C19" s="131">
        <v>345940</v>
      </c>
      <c r="D19" s="142" t="s">
        <v>205</v>
      </c>
      <c r="E19" s="196">
        <f t="shared" si="0"/>
        <v>32</v>
      </c>
      <c r="F19" s="143">
        <f t="shared" si="1"/>
        <v>172970</v>
      </c>
      <c r="G19" s="196">
        <v>16</v>
      </c>
      <c r="H19" s="149" t="s">
        <v>754</v>
      </c>
      <c r="I19" s="200">
        <v>2800</v>
      </c>
      <c r="J19" s="129" t="s">
        <v>1522</v>
      </c>
      <c r="K19" s="199">
        <v>2</v>
      </c>
      <c r="L19" s="254" t="s">
        <v>1507</v>
      </c>
      <c r="M19" s="254" t="s">
        <v>1518</v>
      </c>
      <c r="N19" s="251" t="s">
        <v>1523</v>
      </c>
    </row>
    <row r="20" spans="2:14" x14ac:dyDescent="0.3">
      <c r="B20" s="133" t="s">
        <v>1516</v>
      </c>
      <c r="C20" s="131">
        <v>546960</v>
      </c>
      <c r="D20" s="142" t="s">
        <v>205</v>
      </c>
      <c r="E20" s="196">
        <f t="shared" si="0"/>
        <v>32</v>
      </c>
      <c r="F20" s="143">
        <f t="shared" si="1"/>
        <v>136740</v>
      </c>
      <c r="G20" s="196">
        <v>8</v>
      </c>
      <c r="H20" s="149" t="s">
        <v>1335</v>
      </c>
      <c r="I20" s="200">
        <v>3600</v>
      </c>
      <c r="J20" s="129" t="s">
        <v>1517</v>
      </c>
      <c r="K20" s="199">
        <v>4</v>
      </c>
      <c r="L20" s="254" t="s">
        <v>1507</v>
      </c>
      <c r="M20" s="254" t="s">
        <v>1518</v>
      </c>
      <c r="N20" s="251" t="s">
        <v>1523</v>
      </c>
    </row>
    <row r="21" spans="2:14" x14ac:dyDescent="0.3">
      <c r="B21" s="133" t="s">
        <v>1535</v>
      </c>
      <c r="C21" s="131">
        <v>21420</v>
      </c>
      <c r="D21" s="142" t="s">
        <v>1513</v>
      </c>
      <c r="E21" s="196">
        <f>G21*K21</f>
        <v>4</v>
      </c>
      <c r="F21" s="143">
        <f>C21/K21</f>
        <v>21420</v>
      </c>
      <c r="G21" s="196">
        <v>4</v>
      </c>
      <c r="H21" s="149" t="s">
        <v>754</v>
      </c>
      <c r="I21" s="200">
        <v>2400</v>
      </c>
      <c r="J21" s="129" t="s">
        <v>1536</v>
      </c>
      <c r="K21" s="199">
        <v>1</v>
      </c>
      <c r="L21" s="254" t="s">
        <v>1507</v>
      </c>
      <c r="M21" s="254" t="s">
        <v>1538</v>
      </c>
      <c r="N21" s="251"/>
    </row>
    <row r="22" spans="2:14" x14ac:dyDescent="0.3">
      <c r="B22" s="133" t="s">
        <v>1530</v>
      </c>
      <c r="C22" s="131">
        <v>75520</v>
      </c>
      <c r="D22" s="142" t="s">
        <v>1513</v>
      </c>
      <c r="E22" s="196">
        <f t="shared" si="0"/>
        <v>8</v>
      </c>
      <c r="F22" s="143">
        <f t="shared" si="1"/>
        <v>37760</v>
      </c>
      <c r="G22" s="196">
        <v>4</v>
      </c>
      <c r="H22" s="149" t="s">
        <v>1335</v>
      </c>
      <c r="I22" s="200">
        <v>3000</v>
      </c>
      <c r="J22" s="129" t="s">
        <v>1531</v>
      </c>
      <c r="K22" s="199">
        <v>2</v>
      </c>
      <c r="L22" s="254" t="s">
        <v>1507</v>
      </c>
      <c r="M22" s="250" t="s">
        <v>1526</v>
      </c>
      <c r="N22" s="134"/>
    </row>
    <row r="23" spans="2:14" x14ac:dyDescent="0.3">
      <c r="B23" s="133" t="s">
        <v>1529</v>
      </c>
      <c r="C23" s="131">
        <v>86000</v>
      </c>
      <c r="D23" s="142" t="s">
        <v>1513</v>
      </c>
      <c r="E23" s="196">
        <f t="shared" si="0"/>
        <v>8</v>
      </c>
      <c r="F23" s="143">
        <f t="shared" si="1"/>
        <v>43000</v>
      </c>
      <c r="G23" s="196">
        <v>4</v>
      </c>
      <c r="H23" s="149" t="s">
        <v>1335</v>
      </c>
      <c r="I23" s="200">
        <v>3000</v>
      </c>
      <c r="J23" s="129" t="s">
        <v>1532</v>
      </c>
      <c r="K23" s="199">
        <v>2</v>
      </c>
      <c r="L23" s="254" t="s">
        <v>1507</v>
      </c>
      <c r="M23" s="250" t="s">
        <v>1526</v>
      </c>
      <c r="N23" s="134"/>
    </row>
    <row r="24" spans="2:14" x14ac:dyDescent="0.3">
      <c r="B24" s="133" t="s">
        <v>1537</v>
      </c>
      <c r="C24" s="131">
        <v>54000</v>
      </c>
      <c r="D24" s="142" t="s">
        <v>1513</v>
      </c>
      <c r="E24" s="196">
        <f>G24*K24</f>
        <v>8</v>
      </c>
      <c r="F24" s="143">
        <f>C24/K24</f>
        <v>54000</v>
      </c>
      <c r="G24" s="196">
        <v>8</v>
      </c>
      <c r="H24" s="149" t="s">
        <v>754</v>
      </c>
      <c r="I24" s="200">
        <v>3000</v>
      </c>
      <c r="J24" s="129" t="s">
        <v>1536</v>
      </c>
      <c r="K24" s="199">
        <v>1</v>
      </c>
      <c r="L24" s="254" t="s">
        <v>1507</v>
      </c>
      <c r="M24" s="254" t="s">
        <v>1538</v>
      </c>
      <c r="N24" s="134"/>
    </row>
    <row r="25" spans="2:14" x14ac:dyDescent="0.3">
      <c r="B25" s="133" t="s">
        <v>1533</v>
      </c>
      <c r="C25" s="131">
        <v>120590</v>
      </c>
      <c r="D25" s="142" t="s">
        <v>1513</v>
      </c>
      <c r="E25" s="196">
        <f t="shared" si="0"/>
        <v>16</v>
      </c>
      <c r="F25" s="143">
        <f t="shared" si="1"/>
        <v>120590</v>
      </c>
      <c r="G25" s="196">
        <v>16</v>
      </c>
      <c r="H25" s="149" t="s">
        <v>1335</v>
      </c>
      <c r="I25" s="200">
        <v>2666</v>
      </c>
      <c r="J25" s="129" t="s">
        <v>1534</v>
      </c>
      <c r="K25" s="199">
        <v>1</v>
      </c>
      <c r="L25" s="254" t="s">
        <v>1507</v>
      </c>
      <c r="M25" s="250" t="s">
        <v>1526</v>
      </c>
      <c r="N25" s="134"/>
    </row>
    <row r="26" spans="2:14" x14ac:dyDescent="0.3">
      <c r="B26" s="126" t="s">
        <v>1128</v>
      </c>
      <c r="C26" s="126"/>
      <c r="D26" s="127"/>
      <c r="E26" s="196"/>
      <c r="F26" s="156"/>
      <c r="G26" s="195"/>
      <c r="H26" s="161"/>
      <c r="I26" s="201"/>
      <c r="J26" s="128"/>
      <c r="K26" s="198"/>
      <c r="L26" s="247"/>
      <c r="M26" s="127"/>
      <c r="N26" s="247"/>
    </row>
    <row r="27" spans="2:14" x14ac:dyDescent="0.3">
      <c r="B27" s="126" t="s">
        <v>1338</v>
      </c>
      <c r="C27" s="126"/>
      <c r="D27" s="127"/>
      <c r="E27" s="196"/>
      <c r="F27" s="156"/>
      <c r="G27" s="195"/>
      <c r="H27" s="161"/>
      <c r="I27" s="201"/>
      <c r="J27" s="128"/>
      <c r="K27" s="198"/>
      <c r="L27" s="247"/>
      <c r="M27" s="127"/>
      <c r="N27" s="247"/>
    </row>
    <row r="28" spans="2:14" x14ac:dyDescent="0.3">
      <c r="B28" s="133" t="s">
        <v>1465</v>
      </c>
      <c r="C28" s="131">
        <v>17900</v>
      </c>
      <c r="D28" s="142" t="s">
        <v>1449</v>
      </c>
      <c r="E28" s="196">
        <f t="shared" si="0"/>
        <v>4</v>
      </c>
      <c r="F28" s="143">
        <f t="shared" ref="F28:F38" si="2">C28/K28</f>
        <v>17900</v>
      </c>
      <c r="G28" s="196">
        <v>4</v>
      </c>
      <c r="H28" s="149" t="s">
        <v>1336</v>
      </c>
      <c r="I28" s="200">
        <v>1600</v>
      </c>
      <c r="J28" s="129" t="s">
        <v>1467</v>
      </c>
      <c r="K28" s="199">
        <v>1</v>
      </c>
      <c r="L28" s="253" t="s">
        <v>1484</v>
      </c>
      <c r="M28" s="134"/>
      <c r="N28" s="134"/>
    </row>
    <row r="29" spans="2:14" x14ac:dyDescent="0.3">
      <c r="B29" s="133" t="s">
        <v>1466</v>
      </c>
      <c r="C29" s="131">
        <v>37000</v>
      </c>
      <c r="D29" s="142" t="s">
        <v>1449</v>
      </c>
      <c r="E29" s="196">
        <f t="shared" si="0"/>
        <v>8</v>
      </c>
      <c r="F29" s="143">
        <f t="shared" si="2"/>
        <v>37000</v>
      </c>
      <c r="G29" s="196">
        <v>8</v>
      </c>
      <c r="H29" s="149" t="s">
        <v>1336</v>
      </c>
      <c r="I29" s="200">
        <v>1600</v>
      </c>
      <c r="J29" s="129"/>
      <c r="K29" s="199">
        <v>1</v>
      </c>
      <c r="L29" s="253" t="s">
        <v>1484</v>
      </c>
      <c r="M29" s="134"/>
      <c r="N29" s="134"/>
    </row>
    <row r="30" spans="2:14" x14ac:dyDescent="0.3">
      <c r="B30" s="133" t="s">
        <v>1493</v>
      </c>
      <c r="C30" s="131">
        <v>18000</v>
      </c>
      <c r="D30" s="142" t="s">
        <v>1492</v>
      </c>
      <c r="E30" s="196">
        <f>G30*K30</f>
        <v>4</v>
      </c>
      <c r="F30" s="143">
        <f t="shared" si="2"/>
        <v>18000</v>
      </c>
      <c r="G30" s="196">
        <v>4</v>
      </c>
      <c r="H30" s="149" t="s">
        <v>746</v>
      </c>
      <c r="I30" s="200">
        <v>1600</v>
      </c>
      <c r="J30" s="129" t="s">
        <v>1495</v>
      </c>
      <c r="K30" s="199">
        <v>1</v>
      </c>
      <c r="L30" s="254" t="s">
        <v>1507</v>
      </c>
      <c r="M30" s="134"/>
      <c r="N30" s="134"/>
    </row>
    <row r="31" spans="2:14" x14ac:dyDescent="0.3">
      <c r="B31" s="133" t="s">
        <v>1494</v>
      </c>
      <c r="C31" s="131">
        <v>36000</v>
      </c>
      <c r="D31" s="142" t="s">
        <v>1492</v>
      </c>
      <c r="E31" s="196">
        <f>G31*K31</f>
        <v>8</v>
      </c>
      <c r="F31" s="143">
        <f t="shared" si="2"/>
        <v>36000</v>
      </c>
      <c r="G31" s="196">
        <v>8</v>
      </c>
      <c r="H31" s="149" t="s">
        <v>746</v>
      </c>
      <c r="I31" s="200">
        <v>1600</v>
      </c>
      <c r="J31" s="129" t="s">
        <v>1495</v>
      </c>
      <c r="K31" s="199">
        <v>1</v>
      </c>
      <c r="L31" s="254" t="s">
        <v>1507</v>
      </c>
      <c r="M31" s="134"/>
      <c r="N31" s="134"/>
    </row>
    <row r="32" spans="2:14" x14ac:dyDescent="0.3">
      <c r="B32" s="133" t="s">
        <v>1482</v>
      </c>
      <c r="C32" s="131">
        <v>17000</v>
      </c>
      <c r="D32" s="142" t="s">
        <v>1469</v>
      </c>
      <c r="E32" s="196">
        <f t="shared" si="0"/>
        <v>4</v>
      </c>
      <c r="F32" s="143">
        <f t="shared" si="2"/>
        <v>17000</v>
      </c>
      <c r="G32" s="196">
        <v>4</v>
      </c>
      <c r="H32" s="149" t="s">
        <v>746</v>
      </c>
      <c r="I32" s="200">
        <v>1600</v>
      </c>
      <c r="J32" s="129" t="s">
        <v>1483</v>
      </c>
      <c r="K32" s="199">
        <v>1</v>
      </c>
      <c r="L32" s="254" t="s">
        <v>1507</v>
      </c>
      <c r="M32" s="134"/>
      <c r="N32" s="134"/>
    </row>
    <row r="33" spans="2:14" x14ac:dyDescent="0.3">
      <c r="B33" s="133" t="s">
        <v>1501</v>
      </c>
      <c r="C33" s="131">
        <v>37380</v>
      </c>
      <c r="D33" s="142" t="s">
        <v>1469</v>
      </c>
      <c r="E33" s="196">
        <f>G33*K33</f>
        <v>8</v>
      </c>
      <c r="F33" s="143">
        <f t="shared" si="2"/>
        <v>18690</v>
      </c>
      <c r="G33" s="196">
        <v>4</v>
      </c>
      <c r="H33" s="149" t="s">
        <v>746</v>
      </c>
      <c r="I33" s="200">
        <v>1866</v>
      </c>
      <c r="J33" s="129" t="s">
        <v>1502</v>
      </c>
      <c r="K33" s="199">
        <v>2</v>
      </c>
      <c r="L33" s="254" t="s">
        <v>1507</v>
      </c>
      <c r="M33" s="255" t="s">
        <v>1503</v>
      </c>
      <c r="N33" s="134"/>
    </row>
    <row r="34" spans="2:14" x14ac:dyDescent="0.3">
      <c r="B34" s="133" t="s">
        <v>1490</v>
      </c>
      <c r="C34" s="131">
        <v>51820</v>
      </c>
      <c r="D34" s="142" t="s">
        <v>1469</v>
      </c>
      <c r="E34" s="196">
        <f t="shared" si="0"/>
        <v>8</v>
      </c>
      <c r="F34" s="143">
        <f t="shared" si="2"/>
        <v>25910</v>
      </c>
      <c r="G34" s="196">
        <v>4</v>
      </c>
      <c r="H34" s="149" t="s">
        <v>746</v>
      </c>
      <c r="I34" s="200">
        <v>2800</v>
      </c>
      <c r="J34" s="129" t="s">
        <v>1491</v>
      </c>
      <c r="K34" s="199">
        <v>2</v>
      </c>
      <c r="L34" s="254" t="s">
        <v>1507</v>
      </c>
      <c r="M34" s="257" t="s">
        <v>1504</v>
      </c>
      <c r="N34" s="134"/>
    </row>
    <row r="35" spans="2:14" x14ac:dyDescent="0.3">
      <c r="B35" s="133" t="s">
        <v>1486</v>
      </c>
      <c r="C35" s="131">
        <v>42400</v>
      </c>
      <c r="D35" s="142" t="s">
        <v>1469</v>
      </c>
      <c r="E35" s="196">
        <f t="shared" si="0"/>
        <v>8</v>
      </c>
      <c r="F35" s="143">
        <f t="shared" si="2"/>
        <v>42400</v>
      </c>
      <c r="G35" s="196">
        <v>8</v>
      </c>
      <c r="H35" s="149" t="s">
        <v>746</v>
      </c>
      <c r="I35" s="200">
        <v>1600</v>
      </c>
      <c r="J35" s="129" t="s">
        <v>1487</v>
      </c>
      <c r="K35" s="199">
        <v>1</v>
      </c>
      <c r="L35" s="254" t="s">
        <v>1507</v>
      </c>
      <c r="M35" s="134"/>
      <c r="N35" s="134"/>
    </row>
    <row r="36" spans="2:14" x14ac:dyDescent="0.3">
      <c r="B36" s="133" t="s">
        <v>1488</v>
      </c>
      <c r="C36" s="131">
        <v>86920</v>
      </c>
      <c r="D36" s="142" t="s">
        <v>1469</v>
      </c>
      <c r="E36" s="196">
        <f t="shared" si="0"/>
        <v>16</v>
      </c>
      <c r="F36" s="143">
        <f t="shared" si="2"/>
        <v>43460</v>
      </c>
      <c r="G36" s="196">
        <v>8</v>
      </c>
      <c r="H36" s="149" t="s">
        <v>746</v>
      </c>
      <c r="I36" s="200">
        <v>1866</v>
      </c>
      <c r="J36" s="129" t="s">
        <v>1489</v>
      </c>
      <c r="K36" s="199">
        <v>2</v>
      </c>
      <c r="L36" s="254" t="s">
        <v>1507</v>
      </c>
      <c r="M36" s="257" t="s">
        <v>1504</v>
      </c>
      <c r="N36" s="134"/>
    </row>
    <row r="37" spans="2:14" x14ac:dyDescent="0.3">
      <c r="B37" s="133" t="s">
        <v>1512</v>
      </c>
      <c r="C37" s="131">
        <v>50300</v>
      </c>
      <c r="D37" s="142" t="s">
        <v>205</v>
      </c>
      <c r="E37" s="196">
        <f t="shared" si="0"/>
        <v>4</v>
      </c>
      <c r="F37" s="143">
        <f t="shared" si="2"/>
        <v>25150</v>
      </c>
      <c r="G37" s="196">
        <v>2</v>
      </c>
      <c r="H37" s="149" t="s">
        <v>1336</v>
      </c>
      <c r="I37" s="200">
        <v>2400</v>
      </c>
      <c r="J37" s="129" t="s">
        <v>1514</v>
      </c>
      <c r="K37" s="199">
        <v>2</v>
      </c>
      <c r="L37" s="253" t="s">
        <v>1484</v>
      </c>
      <c r="M37" s="251" t="s">
        <v>1473</v>
      </c>
      <c r="N37" s="134"/>
    </row>
    <row r="38" spans="2:14" x14ac:dyDescent="0.3">
      <c r="B38" s="133" t="s">
        <v>1510</v>
      </c>
      <c r="C38" s="131">
        <v>59000</v>
      </c>
      <c r="D38" s="142" t="s">
        <v>1513</v>
      </c>
      <c r="E38" s="196">
        <f t="shared" si="0"/>
        <v>8</v>
      </c>
      <c r="F38" s="143">
        <f t="shared" si="2"/>
        <v>29500</v>
      </c>
      <c r="G38" s="196">
        <v>4</v>
      </c>
      <c r="H38" s="149" t="s">
        <v>1336</v>
      </c>
      <c r="I38" s="200">
        <v>2400</v>
      </c>
      <c r="J38" s="129" t="s">
        <v>1511</v>
      </c>
      <c r="K38" s="199">
        <v>2</v>
      </c>
      <c r="L38" s="254" t="s">
        <v>1507</v>
      </c>
      <c r="M38" s="251" t="s">
        <v>1473</v>
      </c>
      <c r="N38" s="134"/>
    </row>
    <row r="39" spans="2:14" x14ac:dyDescent="0.3">
      <c r="B39" s="147" t="s">
        <v>1464</v>
      </c>
      <c r="C39" s="133"/>
      <c r="D39" s="131"/>
      <c r="E39" s="196"/>
    </row>
    <row r="40" spans="2:14" x14ac:dyDescent="0.3">
      <c r="B40" s="126" t="s">
        <v>1456</v>
      </c>
      <c r="C40" s="133"/>
      <c r="D40" s="131"/>
      <c r="E40" s="196"/>
    </row>
    <row r="41" spans="2:14" x14ac:dyDescent="0.3">
      <c r="B41" s="126" t="s">
        <v>1337</v>
      </c>
      <c r="C41" s="133"/>
      <c r="D41" s="131"/>
      <c r="E41" s="196"/>
    </row>
    <row r="42" spans="2:14" x14ac:dyDescent="0.3">
      <c r="B42" s="133" t="s">
        <v>1459</v>
      </c>
      <c r="C42" s="131">
        <v>18000</v>
      </c>
      <c r="D42" s="142" t="s">
        <v>1449</v>
      </c>
      <c r="E42" s="196">
        <f t="shared" si="0"/>
        <v>4</v>
      </c>
      <c r="F42" s="143">
        <f>C42/K42</f>
        <v>18000</v>
      </c>
      <c r="G42" s="196">
        <v>4</v>
      </c>
      <c r="H42" s="149" t="s">
        <v>1453</v>
      </c>
      <c r="I42" s="200">
        <v>2133</v>
      </c>
      <c r="J42" s="129"/>
      <c r="K42" s="199">
        <v>1</v>
      </c>
      <c r="L42" s="253" t="s">
        <v>1484</v>
      </c>
      <c r="M42" s="134"/>
      <c r="N42" s="134"/>
    </row>
    <row r="43" spans="2:14" x14ac:dyDescent="0.3">
      <c r="B43" s="133" t="s">
        <v>1457</v>
      </c>
      <c r="C43" s="131">
        <v>37500</v>
      </c>
      <c r="D43" s="142" t="s">
        <v>1449</v>
      </c>
      <c r="E43" s="196">
        <f t="shared" si="0"/>
        <v>8</v>
      </c>
      <c r="F43" s="143">
        <f>C43/K43</f>
        <v>37500</v>
      </c>
      <c r="G43" s="196">
        <v>8</v>
      </c>
      <c r="H43" s="149" t="s">
        <v>1453</v>
      </c>
      <c r="I43" s="200">
        <v>2133</v>
      </c>
      <c r="J43" s="129"/>
      <c r="K43" s="199">
        <v>1</v>
      </c>
      <c r="L43" s="253" t="s">
        <v>1484</v>
      </c>
      <c r="M43" s="134"/>
      <c r="N43" s="134"/>
    </row>
    <row r="44" spans="2:14" x14ac:dyDescent="0.3">
      <c r="B44" s="133" t="s">
        <v>1458</v>
      </c>
      <c r="C44" s="131">
        <v>75700</v>
      </c>
      <c r="D44" s="142" t="s">
        <v>1449</v>
      </c>
      <c r="E44" s="196">
        <f t="shared" si="0"/>
        <v>16</v>
      </c>
      <c r="F44" s="143">
        <f>C44/K44</f>
        <v>75700</v>
      </c>
      <c r="G44" s="196">
        <v>16</v>
      </c>
      <c r="H44" s="149" t="s">
        <v>1453</v>
      </c>
      <c r="I44" s="200">
        <v>2133</v>
      </c>
      <c r="J44" s="129"/>
      <c r="K44" s="199">
        <v>1</v>
      </c>
      <c r="L44" s="253" t="s">
        <v>1484</v>
      </c>
      <c r="M44" s="134"/>
      <c r="N44" s="134"/>
    </row>
    <row r="45" spans="2:14" x14ac:dyDescent="0.3">
      <c r="B45" s="126" t="s">
        <v>918</v>
      </c>
      <c r="C45" s="133"/>
      <c r="D45" s="131"/>
      <c r="E45" s="196"/>
    </row>
    <row r="46" spans="2:14" x14ac:dyDescent="0.3">
      <c r="B46" s="126" t="s">
        <v>1338</v>
      </c>
      <c r="C46" s="133"/>
      <c r="D46" s="131"/>
      <c r="E46" s="196"/>
    </row>
    <row r="47" spans="2:14" x14ac:dyDescent="0.3">
      <c r="B47" s="133" t="s">
        <v>1462</v>
      </c>
      <c r="C47" s="131">
        <v>18680</v>
      </c>
      <c r="D47" s="142" t="s">
        <v>1449</v>
      </c>
      <c r="E47" s="196">
        <f t="shared" si="0"/>
        <v>4</v>
      </c>
      <c r="F47" s="143">
        <f>C47/K47</f>
        <v>18680</v>
      </c>
      <c r="G47" s="196">
        <v>4</v>
      </c>
      <c r="H47" s="163" t="s">
        <v>1455</v>
      </c>
      <c r="I47" s="200">
        <v>1600</v>
      </c>
      <c r="J47" s="129"/>
      <c r="K47" s="199">
        <v>1</v>
      </c>
      <c r="L47" s="253" t="s">
        <v>1484</v>
      </c>
      <c r="M47" s="134"/>
      <c r="N47" s="134"/>
    </row>
    <row r="48" spans="2:14" x14ac:dyDescent="0.3">
      <c r="B48" s="133" t="s">
        <v>1460</v>
      </c>
      <c r="C48" s="131">
        <v>17400</v>
      </c>
      <c r="D48" s="142" t="s">
        <v>1449</v>
      </c>
      <c r="E48" s="196">
        <f t="shared" si="0"/>
        <v>4</v>
      </c>
      <c r="F48" s="143">
        <f>C48/K48</f>
        <v>17400</v>
      </c>
      <c r="G48" s="196">
        <v>4</v>
      </c>
      <c r="H48" s="163" t="s">
        <v>1455</v>
      </c>
      <c r="I48" s="200">
        <v>1600</v>
      </c>
      <c r="J48" s="129"/>
      <c r="K48" s="199">
        <v>1</v>
      </c>
      <c r="L48" s="253" t="s">
        <v>1484</v>
      </c>
      <c r="M48" s="134"/>
      <c r="N48" s="134"/>
    </row>
    <row r="49" spans="2:14" x14ac:dyDescent="0.3">
      <c r="B49" s="133" t="s">
        <v>1463</v>
      </c>
      <c r="C49" s="131">
        <v>36800</v>
      </c>
      <c r="D49" s="142" t="s">
        <v>1449</v>
      </c>
      <c r="E49" s="196">
        <f t="shared" si="0"/>
        <v>8</v>
      </c>
      <c r="F49" s="143">
        <f>C49/K49</f>
        <v>36800</v>
      </c>
      <c r="G49" s="196">
        <v>8</v>
      </c>
      <c r="H49" s="163" t="s">
        <v>1455</v>
      </c>
      <c r="I49" s="200">
        <v>1600</v>
      </c>
      <c r="J49" s="129"/>
      <c r="K49" s="199">
        <v>1</v>
      </c>
      <c r="L49" s="253" t="s">
        <v>1484</v>
      </c>
      <c r="M49" s="134"/>
      <c r="N49" s="134"/>
    </row>
    <row r="50" spans="2:14" x14ac:dyDescent="0.3">
      <c r="B50" s="133" t="s">
        <v>1461</v>
      </c>
      <c r="C50" s="131">
        <v>37500</v>
      </c>
      <c r="D50" s="142" t="s">
        <v>1449</v>
      </c>
      <c r="E50" s="196">
        <f t="shared" si="0"/>
        <v>8</v>
      </c>
      <c r="F50" s="143">
        <f>C50/K50</f>
        <v>37500</v>
      </c>
      <c r="G50" s="196">
        <v>8</v>
      </c>
      <c r="H50" s="163" t="s">
        <v>1455</v>
      </c>
      <c r="I50" s="200">
        <v>1600</v>
      </c>
      <c r="J50" s="129"/>
      <c r="K50" s="199">
        <v>1</v>
      </c>
      <c r="L50" s="253" t="s">
        <v>1484</v>
      </c>
      <c r="M50" s="134"/>
      <c r="N50" s="134"/>
    </row>
    <row r="51" spans="2:14" x14ac:dyDescent="0.3">
      <c r="B51" s="133"/>
      <c r="C51" s="133"/>
      <c r="D51" s="131"/>
    </row>
    <row r="52" spans="2:14" x14ac:dyDescent="0.3">
      <c r="B52" s="133"/>
      <c r="C52" s="133"/>
      <c r="D52" s="131"/>
    </row>
    <row r="53" spans="2:14" x14ac:dyDescent="0.3">
      <c r="B53" s="147"/>
      <c r="C53" s="133"/>
      <c r="D53" s="133"/>
    </row>
    <row r="54" spans="2:14" x14ac:dyDescent="0.3">
      <c r="B54" s="133"/>
      <c r="C54" s="133"/>
      <c r="D54" s="131"/>
    </row>
    <row r="55" spans="2:14" x14ac:dyDescent="0.3">
      <c r="B55" s="133"/>
      <c r="C55" s="133"/>
      <c r="D55" s="131"/>
    </row>
    <row r="56" spans="2:14" x14ac:dyDescent="0.3">
      <c r="B56" s="133"/>
      <c r="C56" s="133"/>
      <c r="D56" s="131"/>
    </row>
  </sheetData>
  <phoneticPr fontId="4" type="noConversion"/>
  <conditionalFormatting sqref="I7:I25">
    <cfRule type="colorScale" priority="4">
      <colorScale>
        <cfvo type="min"/>
        <cfvo type="max"/>
        <color theme="5" tint="0.79998168889431442"/>
        <color theme="6" tint="0.79998168889431442"/>
      </colorScale>
    </cfRule>
  </conditionalFormatting>
  <conditionalFormatting sqref="I28:I38">
    <cfRule type="colorScale" priority="3">
      <colorScale>
        <cfvo type="min"/>
        <cfvo type="max"/>
        <color theme="5" tint="0.79998168889431442"/>
        <color theme="6" tint="0.79998168889431442"/>
      </colorScale>
    </cfRule>
  </conditionalFormatting>
  <conditionalFormatting sqref="I42:I44">
    <cfRule type="colorScale" priority="2">
      <colorScale>
        <cfvo type="min"/>
        <cfvo type="max"/>
        <color theme="5" tint="0.79998168889431442"/>
        <color theme="6" tint="0.79998168889431442"/>
      </colorScale>
    </cfRule>
  </conditionalFormatting>
  <conditionalFormatting sqref="I47:I50">
    <cfRule type="colorScale" priority="1">
      <colorScale>
        <cfvo type="min"/>
        <cfvo type="max"/>
        <color theme="5" tint="0.79998168889431442"/>
        <color theme="6" tint="0.79998168889431442"/>
      </colorScale>
    </cfRule>
  </conditionalFormatting>
  <pageMargins left="0.7" right="0.7" top="0.75" bottom="0.75" header="0.3" footer="0.3"/>
  <ignoredErrors>
    <ignoredError sqref="J32:J33 J35:J36" twoDigitTextYear="1"/>
  </ignoredErrors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0.59999389629810485"/>
  </sheetPr>
  <dimension ref="A1:M32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" sqref="B1"/>
    </sheetView>
  </sheetViews>
  <sheetFormatPr defaultColWidth="9" defaultRowHeight="13.2" x14ac:dyDescent="0.3"/>
  <cols>
    <col min="1" max="1" width="2.796875" style="124" bestFit="1" customWidth="1"/>
    <col min="2" max="2" width="48.19921875" style="124" bestFit="1" customWidth="1"/>
    <col min="3" max="3" width="8.59765625" style="243" bestFit="1" customWidth="1"/>
    <col min="4" max="4" width="10.19921875" style="124" bestFit="1" customWidth="1"/>
    <col min="5" max="5" width="4.8984375" style="124" bestFit="1" customWidth="1"/>
    <col min="6" max="6" width="6.5" style="124" bestFit="1" customWidth="1"/>
    <col min="7" max="7" width="8.3984375" style="124" bestFit="1" customWidth="1"/>
    <col min="8" max="8" width="4.3984375" style="124" customWidth="1"/>
    <col min="9" max="9" width="7.19921875" style="124" bestFit="1" customWidth="1"/>
    <col min="10" max="10" width="6.296875" style="124" bestFit="1" customWidth="1"/>
    <col min="11" max="11" width="4.3984375" style="124" bestFit="1" customWidth="1"/>
    <col min="12" max="12" width="5.59765625" style="124" bestFit="1" customWidth="1"/>
    <col min="13" max="13" width="4.3984375" style="124" bestFit="1" customWidth="1"/>
    <col min="14" max="16384" width="9" style="124"/>
  </cols>
  <sheetData>
    <row r="1" spans="1:13" ht="24" customHeight="1" x14ac:dyDescent="0.3">
      <c r="A1" s="124">
        <v>10</v>
      </c>
      <c r="E1" s="692" t="s">
        <v>286</v>
      </c>
      <c r="F1" s="692"/>
      <c r="G1" s="692"/>
      <c r="H1" s="692"/>
      <c r="I1" s="261" t="s">
        <v>1561</v>
      </c>
    </row>
    <row r="2" spans="1:13" x14ac:dyDescent="0.3">
      <c r="B2" s="248" t="s">
        <v>1539</v>
      </c>
      <c r="C2" s="156" t="s">
        <v>197</v>
      </c>
      <c r="D2" s="248" t="s">
        <v>2</v>
      </c>
      <c r="E2" s="248" t="s">
        <v>295</v>
      </c>
      <c r="F2" s="248" t="s">
        <v>419</v>
      </c>
      <c r="G2" s="248" t="s">
        <v>1549</v>
      </c>
      <c r="H2" s="248" t="s">
        <v>1548</v>
      </c>
      <c r="I2" s="248" t="s">
        <v>287</v>
      </c>
      <c r="J2" s="248" t="s">
        <v>288</v>
      </c>
      <c r="K2" s="248" t="s">
        <v>289</v>
      </c>
      <c r="L2" s="248" t="s">
        <v>1554</v>
      </c>
      <c r="M2" s="248" t="s">
        <v>1550</v>
      </c>
    </row>
    <row r="3" spans="1:13" x14ac:dyDescent="0.3">
      <c r="B3" s="133" t="s">
        <v>1204</v>
      </c>
      <c r="C3" s="131"/>
      <c r="D3" s="133"/>
      <c r="E3" s="134" t="s">
        <v>1551</v>
      </c>
      <c r="F3" s="134" t="s">
        <v>1551</v>
      </c>
      <c r="G3" s="134" t="s">
        <v>1551</v>
      </c>
      <c r="H3" s="134" t="s">
        <v>1551</v>
      </c>
      <c r="I3" s="134"/>
      <c r="J3" s="134"/>
      <c r="K3" s="134"/>
      <c r="L3" s="134"/>
      <c r="M3" s="134"/>
    </row>
    <row r="4" spans="1:13" x14ac:dyDescent="0.3">
      <c r="B4" s="133" t="s">
        <v>1203</v>
      </c>
      <c r="C4" s="131"/>
      <c r="D4" s="133"/>
      <c r="E4" s="133"/>
      <c r="F4" s="133"/>
      <c r="G4" s="133"/>
      <c r="H4" s="133"/>
      <c r="I4" s="134"/>
      <c r="J4" s="134"/>
      <c r="K4" s="134"/>
      <c r="L4" s="134"/>
      <c r="M4" s="134"/>
    </row>
    <row r="5" spans="1:13" x14ac:dyDescent="0.3">
      <c r="B5" s="133" t="s">
        <v>1546</v>
      </c>
      <c r="C5" s="131">
        <v>26900</v>
      </c>
      <c r="D5" s="133" t="s">
        <v>151</v>
      </c>
      <c r="E5" s="134" t="s">
        <v>1541</v>
      </c>
      <c r="F5" s="134"/>
      <c r="G5" s="134" t="s">
        <v>1541</v>
      </c>
      <c r="H5" s="133"/>
      <c r="I5" s="134">
        <v>143</v>
      </c>
      <c r="J5" s="134">
        <v>92</v>
      </c>
      <c r="K5" s="134">
        <v>30</v>
      </c>
      <c r="L5" s="251" t="s">
        <v>1473</v>
      </c>
      <c r="M5" s="134"/>
    </row>
    <row r="6" spans="1:13" x14ac:dyDescent="0.3">
      <c r="B6" s="133" t="s">
        <v>1569</v>
      </c>
      <c r="C6" s="131">
        <v>72200</v>
      </c>
      <c r="D6" s="133" t="s">
        <v>1568</v>
      </c>
      <c r="E6" s="134" t="s">
        <v>1541</v>
      </c>
      <c r="F6" s="134" t="s">
        <v>1541</v>
      </c>
      <c r="G6" s="134" t="s">
        <v>1541</v>
      </c>
      <c r="H6" s="134"/>
      <c r="I6" s="134">
        <v>159</v>
      </c>
      <c r="J6" s="134">
        <v>120</v>
      </c>
      <c r="K6" s="134">
        <v>23</v>
      </c>
      <c r="L6" s="251" t="s">
        <v>1473</v>
      </c>
      <c r="M6" s="134" t="s">
        <v>1551</v>
      </c>
    </row>
    <row r="7" spans="1:13" x14ac:dyDescent="0.3">
      <c r="B7" s="133" t="s">
        <v>1576</v>
      </c>
      <c r="C7" s="131">
        <v>77900</v>
      </c>
      <c r="D7" s="133" t="s">
        <v>1568</v>
      </c>
      <c r="E7" s="134" t="s">
        <v>749</v>
      </c>
      <c r="F7" s="134" t="s">
        <v>749</v>
      </c>
      <c r="G7" s="134" t="s">
        <v>749</v>
      </c>
      <c r="H7" s="134"/>
      <c r="I7" s="134">
        <v>154</v>
      </c>
      <c r="J7" s="134" t="s">
        <v>1577</v>
      </c>
      <c r="K7" s="134">
        <v>39</v>
      </c>
      <c r="L7" s="250" t="s">
        <v>1477</v>
      </c>
      <c r="M7" s="134" t="s">
        <v>749</v>
      </c>
    </row>
    <row r="8" spans="1:13" x14ac:dyDescent="0.3">
      <c r="B8" s="133" t="s">
        <v>1570</v>
      </c>
      <c r="C8" s="131">
        <v>120000</v>
      </c>
      <c r="D8" s="133" t="s">
        <v>151</v>
      </c>
      <c r="E8" s="134" t="s">
        <v>749</v>
      </c>
      <c r="F8" s="134" t="s">
        <v>749</v>
      </c>
      <c r="G8" s="134" t="s">
        <v>749</v>
      </c>
      <c r="H8" s="134"/>
      <c r="I8" s="134">
        <v>172</v>
      </c>
      <c r="J8" s="134">
        <v>140</v>
      </c>
      <c r="K8" s="134">
        <v>36</v>
      </c>
      <c r="L8" s="250" t="s">
        <v>1477</v>
      </c>
      <c r="M8" s="134"/>
    </row>
    <row r="9" spans="1:13" x14ac:dyDescent="0.3">
      <c r="B9" s="133" t="s">
        <v>1575</v>
      </c>
      <c r="C9" s="131">
        <v>146480</v>
      </c>
      <c r="D9" s="133" t="s">
        <v>1568</v>
      </c>
      <c r="E9" s="134" t="s">
        <v>749</v>
      </c>
      <c r="F9" s="134" t="s">
        <v>749</v>
      </c>
      <c r="G9" s="134" t="s">
        <v>749</v>
      </c>
      <c r="H9" s="134"/>
      <c r="I9" s="134">
        <v>119</v>
      </c>
      <c r="J9" s="134" t="s">
        <v>1574</v>
      </c>
      <c r="K9" s="134">
        <v>27</v>
      </c>
      <c r="L9" s="134"/>
      <c r="M9" s="134" t="s">
        <v>749</v>
      </c>
    </row>
    <row r="10" spans="1:13" x14ac:dyDescent="0.3">
      <c r="B10" s="133" t="s">
        <v>1582</v>
      </c>
      <c r="C10" s="131">
        <v>169490</v>
      </c>
      <c r="D10" s="133" t="s">
        <v>151</v>
      </c>
      <c r="E10" s="134" t="s">
        <v>749</v>
      </c>
      <c r="F10" s="134" t="s">
        <v>749</v>
      </c>
      <c r="G10" s="134" t="s">
        <v>749</v>
      </c>
      <c r="H10" s="134"/>
      <c r="I10" s="134">
        <v>118.5</v>
      </c>
      <c r="J10" s="134" t="s">
        <v>1583</v>
      </c>
      <c r="K10" s="134">
        <v>30</v>
      </c>
      <c r="L10" s="134"/>
      <c r="M10" s="134" t="s">
        <v>749</v>
      </c>
    </row>
    <row r="11" spans="1:13" x14ac:dyDescent="0.3">
      <c r="B11" s="133" t="s">
        <v>1552</v>
      </c>
      <c r="C11" s="131">
        <v>25800</v>
      </c>
      <c r="D11" s="133" t="s">
        <v>170</v>
      </c>
      <c r="E11" s="134" t="s">
        <v>1541</v>
      </c>
      <c r="F11" s="134"/>
      <c r="G11" s="134" t="s">
        <v>1541</v>
      </c>
      <c r="H11" s="134"/>
      <c r="I11" s="134">
        <v>139</v>
      </c>
      <c r="J11" s="134">
        <v>92</v>
      </c>
      <c r="K11" s="134">
        <v>28</v>
      </c>
      <c r="L11" s="251" t="s">
        <v>1473</v>
      </c>
      <c r="M11" s="134"/>
    </row>
    <row r="12" spans="1:13" x14ac:dyDescent="0.3">
      <c r="B12" s="133" t="s">
        <v>1571</v>
      </c>
      <c r="C12" s="131">
        <v>65700</v>
      </c>
      <c r="D12" s="133" t="s">
        <v>170</v>
      </c>
      <c r="E12" s="134" t="s">
        <v>1541</v>
      </c>
      <c r="F12" s="134" t="s">
        <v>1541</v>
      </c>
      <c r="G12" s="134" t="s">
        <v>1541</v>
      </c>
      <c r="H12" s="134"/>
      <c r="I12" s="134">
        <v>157</v>
      </c>
      <c r="J12" s="134">
        <v>135</v>
      </c>
      <c r="K12" s="134">
        <v>30</v>
      </c>
      <c r="L12" s="251" t="s">
        <v>1473</v>
      </c>
      <c r="M12" s="134"/>
    </row>
    <row r="13" spans="1:13" x14ac:dyDescent="0.3">
      <c r="B13" s="133" t="s">
        <v>1573</v>
      </c>
      <c r="C13" s="131">
        <v>67200</v>
      </c>
      <c r="D13" s="133" t="s">
        <v>170</v>
      </c>
      <c r="E13" s="134" t="s">
        <v>1541</v>
      </c>
      <c r="F13" s="134" t="s">
        <v>1541</v>
      </c>
      <c r="G13" s="134" t="s">
        <v>1541</v>
      </c>
      <c r="H13" s="134"/>
      <c r="I13" s="134">
        <v>157</v>
      </c>
      <c r="J13" s="134">
        <v>135</v>
      </c>
      <c r="K13" s="134">
        <v>30</v>
      </c>
      <c r="L13" s="250" t="s">
        <v>1477</v>
      </c>
      <c r="M13" s="134"/>
    </row>
    <row r="14" spans="1:13" x14ac:dyDescent="0.3">
      <c r="B14" s="133" t="s">
        <v>1572</v>
      </c>
      <c r="C14" s="131">
        <v>75200</v>
      </c>
      <c r="D14" s="133" t="s">
        <v>170</v>
      </c>
      <c r="E14" s="134" t="s">
        <v>749</v>
      </c>
      <c r="F14" s="134" t="s">
        <v>749</v>
      </c>
      <c r="G14" s="134" t="s">
        <v>749</v>
      </c>
      <c r="H14" s="134"/>
      <c r="I14" s="134">
        <v>159</v>
      </c>
      <c r="J14" s="146">
        <v>140120</v>
      </c>
      <c r="K14" s="134">
        <v>27</v>
      </c>
      <c r="L14" s="251" t="s">
        <v>1473</v>
      </c>
      <c r="M14" s="134"/>
    </row>
    <row r="15" spans="1:13" x14ac:dyDescent="0.3">
      <c r="B15" s="133" t="s">
        <v>1553</v>
      </c>
      <c r="C15" s="131">
        <v>28790</v>
      </c>
      <c r="D15" s="133" t="s">
        <v>293</v>
      </c>
      <c r="E15" s="134" t="s">
        <v>749</v>
      </c>
      <c r="F15" s="134" t="s">
        <v>749</v>
      </c>
      <c r="G15" s="134" t="s">
        <v>749</v>
      </c>
      <c r="H15" s="134"/>
      <c r="I15" s="134">
        <v>140</v>
      </c>
      <c r="J15" s="134">
        <v>92</v>
      </c>
      <c r="K15" s="134">
        <v>27.1</v>
      </c>
      <c r="L15" s="251" t="s">
        <v>1473</v>
      </c>
      <c r="M15" s="134"/>
    </row>
    <row r="16" spans="1:13" x14ac:dyDescent="0.3">
      <c r="B16" s="133" t="s">
        <v>1567</v>
      </c>
      <c r="C16" s="131">
        <v>32900</v>
      </c>
      <c r="D16" s="133" t="s">
        <v>293</v>
      </c>
      <c r="E16" s="134" t="s">
        <v>749</v>
      </c>
      <c r="F16" s="134"/>
      <c r="G16" s="134"/>
      <c r="H16" s="134"/>
      <c r="I16" s="134">
        <v>35</v>
      </c>
      <c r="J16" s="134">
        <v>80</v>
      </c>
      <c r="K16" s="134">
        <v>27</v>
      </c>
      <c r="L16" s="134"/>
      <c r="M16" s="134"/>
    </row>
    <row r="17" spans="2:13" x14ac:dyDescent="0.3">
      <c r="B17" s="133" t="s">
        <v>1566</v>
      </c>
      <c r="C17" s="131">
        <v>33920</v>
      </c>
      <c r="D17" s="133" t="s">
        <v>293</v>
      </c>
      <c r="E17" s="134" t="s">
        <v>749</v>
      </c>
      <c r="F17" s="134"/>
      <c r="G17" s="134"/>
      <c r="H17" s="134"/>
      <c r="I17" s="134">
        <v>58</v>
      </c>
      <c r="J17" s="134">
        <v>92</v>
      </c>
      <c r="K17" s="134">
        <v>27</v>
      </c>
      <c r="L17" s="134"/>
      <c r="M17" s="134"/>
    </row>
    <row r="18" spans="2:13" x14ac:dyDescent="0.3">
      <c r="B18" s="133" t="s">
        <v>3113</v>
      </c>
      <c r="C18" s="131">
        <v>36400</v>
      </c>
      <c r="D18" s="133" t="s">
        <v>293</v>
      </c>
      <c r="E18" s="134" t="s">
        <v>749</v>
      </c>
      <c r="F18" s="134" t="s">
        <v>749</v>
      </c>
      <c r="G18" s="134" t="s">
        <v>749</v>
      </c>
      <c r="H18" s="134"/>
      <c r="I18" s="134">
        <v>155</v>
      </c>
      <c r="J18" s="134">
        <v>130</v>
      </c>
      <c r="K18" s="134">
        <v>32</v>
      </c>
      <c r="L18" s="251" t="s">
        <v>1473</v>
      </c>
      <c r="M18" s="134"/>
    </row>
    <row r="19" spans="2:13" x14ac:dyDescent="0.3">
      <c r="B19" s="133" t="s">
        <v>1579</v>
      </c>
      <c r="C19" s="131">
        <v>24700</v>
      </c>
      <c r="D19" s="133" t="s">
        <v>290</v>
      </c>
      <c r="E19" s="134" t="s">
        <v>749</v>
      </c>
      <c r="F19" s="134"/>
      <c r="G19" s="134"/>
      <c r="H19" s="134"/>
      <c r="I19" s="134">
        <v>159.5</v>
      </c>
      <c r="J19" s="134">
        <v>120</v>
      </c>
      <c r="K19" s="134">
        <v>30</v>
      </c>
      <c r="L19" s="251" t="s">
        <v>1473</v>
      </c>
      <c r="M19" s="134"/>
    </row>
    <row r="20" spans="2:13" x14ac:dyDescent="0.3">
      <c r="B20" s="133" t="s">
        <v>1580</v>
      </c>
      <c r="C20" s="131">
        <v>39000</v>
      </c>
      <c r="D20" s="133" t="s">
        <v>290</v>
      </c>
      <c r="E20" s="134" t="s">
        <v>749</v>
      </c>
      <c r="F20" s="134" t="s">
        <v>749</v>
      </c>
      <c r="G20" s="134" t="s">
        <v>749</v>
      </c>
      <c r="H20" s="134"/>
      <c r="I20" s="134">
        <v>147</v>
      </c>
      <c r="J20" s="134" t="s">
        <v>1581</v>
      </c>
      <c r="K20" s="134">
        <v>24</v>
      </c>
      <c r="L20" s="251" t="s">
        <v>1473</v>
      </c>
      <c r="M20" s="134"/>
    </row>
    <row r="21" spans="2:13" x14ac:dyDescent="0.3">
      <c r="B21" s="133" t="s">
        <v>1578</v>
      </c>
      <c r="C21" s="131">
        <v>145000</v>
      </c>
      <c r="D21" s="133" t="s">
        <v>290</v>
      </c>
      <c r="E21" s="134" t="s">
        <v>749</v>
      </c>
      <c r="F21" s="134" t="s">
        <v>749</v>
      </c>
      <c r="G21" s="134" t="s">
        <v>749</v>
      </c>
      <c r="H21" s="134"/>
      <c r="I21" s="134">
        <v>120</v>
      </c>
      <c r="J21" s="134" t="s">
        <v>1574</v>
      </c>
      <c r="K21" s="134">
        <v>31.3</v>
      </c>
      <c r="L21" s="134"/>
      <c r="M21" s="134"/>
    </row>
    <row r="22" spans="2:13" x14ac:dyDescent="0.3">
      <c r="B22" s="133" t="s">
        <v>1585</v>
      </c>
      <c r="C22" s="131">
        <v>146000</v>
      </c>
      <c r="D22" s="133" t="s">
        <v>1584</v>
      </c>
      <c r="E22" s="134" t="s">
        <v>749</v>
      </c>
      <c r="F22" s="134"/>
      <c r="G22" s="134" t="s">
        <v>749</v>
      </c>
      <c r="H22" s="134"/>
      <c r="I22" s="134">
        <v>123</v>
      </c>
      <c r="J22" s="134">
        <v>120</v>
      </c>
      <c r="K22" s="134">
        <v>37.700000000000003</v>
      </c>
      <c r="L22" s="134"/>
      <c r="M22" s="134" t="s">
        <v>749</v>
      </c>
    </row>
    <row r="23" spans="2:13" x14ac:dyDescent="0.3">
      <c r="B23" s="133" t="s">
        <v>1586</v>
      </c>
      <c r="C23" s="131">
        <v>183470</v>
      </c>
      <c r="D23" s="133" t="s">
        <v>1584</v>
      </c>
      <c r="E23" s="134" t="s">
        <v>749</v>
      </c>
      <c r="F23" s="134" t="s">
        <v>749</v>
      </c>
      <c r="G23" s="134" t="s">
        <v>749</v>
      </c>
      <c r="H23" s="134"/>
      <c r="I23" s="134">
        <v>125</v>
      </c>
      <c r="J23" s="134" t="s">
        <v>1587</v>
      </c>
      <c r="K23" s="134">
        <v>37.700000000000003</v>
      </c>
      <c r="L23" s="134"/>
      <c r="M23" s="134" t="s">
        <v>749</v>
      </c>
    </row>
    <row r="24" spans="2:13" x14ac:dyDescent="0.3">
      <c r="B24" s="133" t="s">
        <v>1588</v>
      </c>
      <c r="C24" s="131">
        <v>202000</v>
      </c>
      <c r="D24" s="133" t="s">
        <v>1584</v>
      </c>
      <c r="E24" s="134" t="s">
        <v>749</v>
      </c>
      <c r="F24" s="134" t="s">
        <v>749</v>
      </c>
      <c r="G24" s="134" t="s">
        <v>749</v>
      </c>
      <c r="H24" s="134"/>
      <c r="I24" s="134">
        <v>140</v>
      </c>
      <c r="J24" s="134" t="s">
        <v>1589</v>
      </c>
      <c r="K24" s="134">
        <v>45</v>
      </c>
      <c r="L24" s="134"/>
      <c r="M24" s="134" t="s">
        <v>749</v>
      </c>
    </row>
    <row r="25" spans="2:13" x14ac:dyDescent="0.3">
      <c r="B25" s="133" t="s">
        <v>1590</v>
      </c>
      <c r="C25" s="131">
        <v>117970</v>
      </c>
      <c r="D25" s="133" t="s">
        <v>1591</v>
      </c>
      <c r="E25" s="134" t="s">
        <v>749</v>
      </c>
      <c r="F25" s="134" t="s">
        <v>749</v>
      </c>
      <c r="G25" s="134" t="s">
        <v>749</v>
      </c>
      <c r="H25" s="134"/>
      <c r="I25" s="134">
        <v>155</v>
      </c>
      <c r="J25" s="134">
        <v>140</v>
      </c>
      <c r="K25" s="134">
        <v>24.6</v>
      </c>
      <c r="L25" s="134"/>
      <c r="M25" s="134"/>
    </row>
    <row r="26" spans="2:13" x14ac:dyDescent="0.3">
      <c r="B26" s="133" t="s">
        <v>1557</v>
      </c>
      <c r="C26" s="131">
        <v>120000</v>
      </c>
      <c r="D26" s="133" t="s">
        <v>291</v>
      </c>
      <c r="E26" s="134" t="s">
        <v>1541</v>
      </c>
      <c r="F26" s="134" t="s">
        <v>749</v>
      </c>
      <c r="G26" s="134" t="s">
        <v>1541</v>
      </c>
      <c r="H26" s="134"/>
      <c r="I26" s="134">
        <v>170</v>
      </c>
      <c r="J26" s="134">
        <v>120</v>
      </c>
      <c r="K26" s="134">
        <v>24.9</v>
      </c>
      <c r="L26" s="134"/>
      <c r="M26" s="134"/>
    </row>
    <row r="27" spans="2:13" x14ac:dyDescent="0.3">
      <c r="B27" s="133" t="s">
        <v>1558</v>
      </c>
      <c r="C27" s="131">
        <v>135000</v>
      </c>
      <c r="D27" s="133" t="s">
        <v>291</v>
      </c>
      <c r="E27" s="134" t="s">
        <v>1541</v>
      </c>
      <c r="F27" s="134" t="s">
        <v>1541</v>
      </c>
      <c r="G27" s="134" t="s">
        <v>1541</v>
      </c>
      <c r="H27" s="134"/>
      <c r="I27" s="134">
        <v>168</v>
      </c>
      <c r="J27" s="134" t="s">
        <v>292</v>
      </c>
      <c r="K27" s="134">
        <v>45</v>
      </c>
      <c r="L27" s="134"/>
      <c r="M27" s="134"/>
    </row>
    <row r="28" spans="2:13" x14ac:dyDescent="0.3">
      <c r="B28" s="133" t="s">
        <v>1560</v>
      </c>
      <c r="C28" s="131">
        <v>73000</v>
      </c>
      <c r="D28" s="133" t="s">
        <v>291</v>
      </c>
      <c r="E28" s="134" t="s">
        <v>1541</v>
      </c>
      <c r="F28" s="134" t="s">
        <v>749</v>
      </c>
      <c r="G28" s="134" t="s">
        <v>1541</v>
      </c>
      <c r="H28" s="134"/>
      <c r="I28" s="134">
        <v>167</v>
      </c>
      <c r="J28" s="134">
        <v>140</v>
      </c>
      <c r="K28" s="134">
        <v>21</v>
      </c>
      <c r="L28" s="134"/>
      <c r="M28" s="134"/>
    </row>
    <row r="29" spans="2:13" x14ac:dyDescent="0.3">
      <c r="B29" s="133" t="s">
        <v>1559</v>
      </c>
      <c r="C29" s="131">
        <v>86100</v>
      </c>
      <c r="D29" s="133" t="s">
        <v>291</v>
      </c>
      <c r="E29" s="134" t="s">
        <v>749</v>
      </c>
      <c r="F29" s="134" t="s">
        <v>749</v>
      </c>
      <c r="G29" s="134" t="s">
        <v>749</v>
      </c>
      <c r="H29" s="134"/>
      <c r="I29" s="134">
        <v>180</v>
      </c>
      <c r="J29" s="262" t="s">
        <v>1564</v>
      </c>
      <c r="K29" s="262" t="s">
        <v>1565</v>
      </c>
      <c r="L29" s="134"/>
      <c r="M29" s="134"/>
    </row>
    <row r="30" spans="2:13" x14ac:dyDescent="0.3">
      <c r="B30" s="133" t="s">
        <v>1563</v>
      </c>
      <c r="C30" s="131">
        <v>62000</v>
      </c>
      <c r="D30" s="133" t="s">
        <v>291</v>
      </c>
      <c r="E30" s="134" t="s">
        <v>749</v>
      </c>
      <c r="F30" s="134"/>
      <c r="G30" s="134" t="s">
        <v>749</v>
      </c>
      <c r="H30" s="134"/>
      <c r="I30" s="134">
        <v>58</v>
      </c>
      <c r="J30" s="134">
        <v>100</v>
      </c>
      <c r="K30" s="134">
        <v>30</v>
      </c>
      <c r="L30" s="134"/>
      <c r="M30" s="134"/>
    </row>
    <row r="31" spans="2:13" x14ac:dyDescent="0.3">
      <c r="B31" s="133" t="s">
        <v>1562</v>
      </c>
      <c r="C31" s="131">
        <v>84000</v>
      </c>
      <c r="D31" s="133" t="s">
        <v>291</v>
      </c>
      <c r="E31" s="134" t="s">
        <v>749</v>
      </c>
      <c r="F31" s="134"/>
      <c r="G31" s="134" t="s">
        <v>749</v>
      </c>
      <c r="H31" s="134"/>
      <c r="I31" s="134">
        <v>73</v>
      </c>
      <c r="J31" s="134">
        <v>140</v>
      </c>
      <c r="K31" s="134">
        <v>30.6</v>
      </c>
      <c r="L31" s="134"/>
      <c r="M31" s="134"/>
    </row>
    <row r="32" spans="2:13" x14ac:dyDescent="0.3">
      <c r="B32" s="133"/>
      <c r="C32" s="131"/>
      <c r="D32" s="133"/>
      <c r="E32" s="134"/>
      <c r="F32" s="134"/>
      <c r="G32" s="134"/>
      <c r="H32" s="134"/>
      <c r="I32" s="134"/>
      <c r="J32" s="134"/>
      <c r="K32" s="134"/>
      <c r="L32" s="134"/>
      <c r="M32" s="134"/>
    </row>
  </sheetData>
  <mergeCells count="1">
    <mergeCell ref="E1:H1"/>
  </mergeCells>
  <phoneticPr fontId="4" type="noConversion"/>
  <conditionalFormatting sqref="I1:I1048576">
    <cfRule type="colorScale" priority="1">
      <colorScale>
        <cfvo type="percent" val="50"/>
        <cfvo type="percent" val="100"/>
        <color theme="6" tint="0.79998168889431442"/>
        <color theme="5" tint="0.79998168889431442"/>
      </colorScale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8" tint="0.59999389629810485"/>
  </sheetPr>
  <dimension ref="A1:S226"/>
  <sheetViews>
    <sheetView showRowColHeaders="0" zoomScale="115" zoomScaleNormal="115"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B28" sqref="B28"/>
    </sheetView>
  </sheetViews>
  <sheetFormatPr defaultColWidth="9" defaultRowHeight="13.2" x14ac:dyDescent="0.3"/>
  <cols>
    <col min="1" max="1" width="2.5" style="124" bestFit="1" customWidth="1"/>
    <col min="2" max="2" width="50" style="124" bestFit="1" customWidth="1"/>
    <col min="3" max="3" width="9.59765625" style="124" bestFit="1" customWidth="1"/>
    <col min="4" max="4" width="7.3984375" style="124" bestFit="1" customWidth="1"/>
    <col min="5" max="5" width="9.09765625" style="125" bestFit="1" customWidth="1"/>
    <col min="6" max="6" width="9.296875" style="125" bestFit="1" customWidth="1"/>
    <col min="7" max="7" width="6.59765625" style="124" bestFit="1" customWidth="1"/>
    <col min="8" max="8" width="5.59765625" style="124" bestFit="1" customWidth="1"/>
    <col min="9" max="9" width="7" style="124" bestFit="1" customWidth="1"/>
    <col min="10" max="10" width="5.3984375" style="124" bestFit="1" customWidth="1"/>
    <col min="11" max="12" width="4.5" style="124" bestFit="1" customWidth="1"/>
    <col min="13" max="13" width="6" style="124" bestFit="1" customWidth="1"/>
    <col min="14" max="14" width="5.8984375" style="124" bestFit="1" customWidth="1"/>
    <col min="15" max="15" width="3.8984375" style="124" bestFit="1" customWidth="1"/>
    <col min="16" max="16" width="3.5" style="124" bestFit="1" customWidth="1"/>
    <col min="17" max="17" width="5.3984375" style="124" bestFit="1" customWidth="1"/>
    <col min="18" max="18" width="3.5" style="124" bestFit="1" customWidth="1"/>
    <col min="19" max="19" width="3.69921875" style="124" bestFit="1" customWidth="1"/>
    <col min="20" max="16384" width="9" style="124"/>
  </cols>
  <sheetData>
    <row r="1" spans="1:19" ht="24" customHeight="1" x14ac:dyDescent="0.3">
      <c r="A1" s="124">
        <v>4</v>
      </c>
    </row>
    <row r="2" spans="1:19" x14ac:dyDescent="0.3">
      <c r="B2" s="135" t="s">
        <v>0</v>
      </c>
      <c r="C2" s="140" t="s">
        <v>197</v>
      </c>
      <c r="D2" s="127" t="s">
        <v>1299</v>
      </c>
      <c r="E2" s="135" t="s">
        <v>2</v>
      </c>
      <c r="F2" s="135" t="s">
        <v>1193</v>
      </c>
      <c r="G2" s="135" t="s">
        <v>351</v>
      </c>
      <c r="H2" s="135" t="s">
        <v>352</v>
      </c>
      <c r="I2" s="135" t="s">
        <v>353</v>
      </c>
      <c r="J2" s="135" t="s">
        <v>156</v>
      </c>
      <c r="K2" s="135" t="s">
        <v>1194</v>
      </c>
      <c r="L2" s="135" t="s">
        <v>1195</v>
      </c>
      <c r="M2" s="135" t="s">
        <v>354</v>
      </c>
      <c r="N2" s="135" t="s">
        <v>11</v>
      </c>
      <c r="O2" s="135" t="s">
        <v>12</v>
      </c>
      <c r="P2" s="135" t="s">
        <v>355</v>
      </c>
      <c r="Q2" s="135" t="s">
        <v>13</v>
      </c>
      <c r="R2" s="135" t="s">
        <v>355</v>
      </c>
      <c r="S2" s="135" t="s">
        <v>14</v>
      </c>
    </row>
    <row r="3" spans="1:19" x14ac:dyDescent="0.3">
      <c r="B3" s="130" t="s">
        <v>1202</v>
      </c>
      <c r="C3" s="140"/>
      <c r="D3" s="140"/>
      <c r="E3" s="135"/>
      <c r="F3" s="134" t="s">
        <v>1270</v>
      </c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</row>
    <row r="4" spans="1:19" x14ac:dyDescent="0.3">
      <c r="B4" s="141" t="s">
        <v>1203</v>
      </c>
      <c r="C4" s="140"/>
      <c r="D4" s="140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5"/>
    </row>
    <row r="5" spans="1:19" x14ac:dyDescent="0.3">
      <c r="B5" s="260" t="s">
        <v>356</v>
      </c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</row>
    <row r="6" spans="1:19" x14ac:dyDescent="0.3">
      <c r="B6" s="142" t="s">
        <v>1655</v>
      </c>
      <c r="C6" s="131">
        <v>108400</v>
      </c>
      <c r="D6" s="131" t="s">
        <v>1300</v>
      </c>
      <c r="E6" s="134" t="s">
        <v>1680</v>
      </c>
      <c r="F6" s="134" t="s">
        <v>1254</v>
      </c>
      <c r="G6" s="134">
        <v>1072</v>
      </c>
      <c r="H6" s="391">
        <f>G6</f>
        <v>1072</v>
      </c>
      <c r="I6" s="134">
        <v>5000</v>
      </c>
      <c r="J6" s="134">
        <v>187</v>
      </c>
      <c r="K6" s="134">
        <v>1</v>
      </c>
      <c r="L6" s="134">
        <v>0</v>
      </c>
      <c r="M6" s="134">
        <v>64</v>
      </c>
      <c r="N6" s="134">
        <v>1</v>
      </c>
      <c r="O6" s="134">
        <v>2</v>
      </c>
      <c r="P6" s="134"/>
      <c r="Q6" s="134">
        <v>1</v>
      </c>
      <c r="R6" s="134"/>
      <c r="S6" s="134"/>
    </row>
    <row r="7" spans="1:19" x14ac:dyDescent="0.3">
      <c r="B7" s="142" t="s">
        <v>918</v>
      </c>
      <c r="C7" s="131"/>
      <c r="D7" s="131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</row>
    <row r="8" spans="1:19" x14ac:dyDescent="0.3">
      <c r="B8" s="142" t="s">
        <v>1687</v>
      </c>
      <c r="C8" s="131">
        <v>116960</v>
      </c>
      <c r="D8" s="131" t="s">
        <v>1300</v>
      </c>
      <c r="E8" s="134" t="s">
        <v>358</v>
      </c>
      <c r="F8" s="134" t="s">
        <v>1255</v>
      </c>
      <c r="G8" s="134">
        <v>1020</v>
      </c>
      <c r="H8" s="134">
        <v>1085</v>
      </c>
      <c r="I8" s="134">
        <v>5010</v>
      </c>
      <c r="J8" s="134">
        <v>150</v>
      </c>
      <c r="K8" s="134">
        <v>1</v>
      </c>
      <c r="L8" s="134">
        <v>0</v>
      </c>
      <c r="M8" s="134">
        <v>55</v>
      </c>
      <c r="N8" s="134"/>
      <c r="O8" s="134">
        <v>1</v>
      </c>
      <c r="P8" s="134"/>
      <c r="Q8" s="134">
        <v>1</v>
      </c>
      <c r="R8" s="134"/>
      <c r="S8" s="134">
        <v>1</v>
      </c>
    </row>
    <row r="9" spans="1:19" x14ac:dyDescent="0.3">
      <c r="B9" s="142" t="s">
        <v>1685</v>
      </c>
      <c r="C9" s="131">
        <v>115970</v>
      </c>
      <c r="D9" s="131" t="s">
        <v>1300</v>
      </c>
      <c r="E9" s="134" t="s">
        <v>360</v>
      </c>
      <c r="F9" s="134" t="s">
        <v>1255</v>
      </c>
      <c r="G9" s="134">
        <v>1072</v>
      </c>
      <c r="H9" s="134">
        <v>1150</v>
      </c>
      <c r="I9" s="134">
        <v>5400</v>
      </c>
      <c r="J9" s="134">
        <v>182</v>
      </c>
      <c r="K9" s="134">
        <v>1</v>
      </c>
      <c r="L9" s="134">
        <v>0</v>
      </c>
      <c r="M9" s="134">
        <v>55</v>
      </c>
      <c r="N9" s="134">
        <v>1</v>
      </c>
      <c r="O9" s="134">
        <v>1</v>
      </c>
      <c r="P9" s="134"/>
      <c r="Q9" s="134">
        <v>1</v>
      </c>
      <c r="R9" s="134"/>
      <c r="S9" s="134"/>
    </row>
    <row r="10" spans="1:19" x14ac:dyDescent="0.3">
      <c r="B10" s="269" t="s">
        <v>1686</v>
      </c>
      <c r="C10" s="131">
        <v>123000</v>
      </c>
      <c r="D10" s="131" t="s">
        <v>1300</v>
      </c>
      <c r="E10" s="134" t="s">
        <v>361</v>
      </c>
      <c r="F10" s="134" t="s">
        <v>1255</v>
      </c>
      <c r="G10" s="134">
        <v>1202</v>
      </c>
      <c r="H10" s="134">
        <v>1281</v>
      </c>
      <c r="I10" s="134">
        <v>5400</v>
      </c>
      <c r="J10" s="134">
        <v>235</v>
      </c>
      <c r="K10" s="134">
        <v>1</v>
      </c>
      <c r="L10" s="134">
        <v>0</v>
      </c>
      <c r="M10" s="134">
        <v>55</v>
      </c>
      <c r="N10" s="134"/>
      <c r="O10" s="134">
        <v>2</v>
      </c>
      <c r="P10" s="134"/>
      <c r="Q10" s="134">
        <v>1</v>
      </c>
      <c r="R10" s="134"/>
      <c r="S10" s="134">
        <v>1</v>
      </c>
    </row>
    <row r="11" spans="1:19" x14ac:dyDescent="0.3">
      <c r="B11" s="142" t="s">
        <v>918</v>
      </c>
      <c r="C11" s="131"/>
      <c r="D11" s="131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</row>
    <row r="12" spans="1:19" x14ac:dyDescent="0.3">
      <c r="B12" s="142" t="s">
        <v>1684</v>
      </c>
      <c r="C12" s="131">
        <v>149000</v>
      </c>
      <c r="D12" s="131" t="s">
        <v>887</v>
      </c>
      <c r="E12" s="134" t="s">
        <v>42</v>
      </c>
      <c r="F12" s="134" t="s">
        <v>1256</v>
      </c>
      <c r="G12" s="134">
        <v>1072</v>
      </c>
      <c r="H12" s="134">
        <v>1150</v>
      </c>
      <c r="I12" s="134">
        <v>5400</v>
      </c>
      <c r="J12" s="134">
        <v>218</v>
      </c>
      <c r="K12" s="134">
        <v>1</v>
      </c>
      <c r="L12" s="134">
        <v>0</v>
      </c>
      <c r="M12" s="134">
        <v>60</v>
      </c>
      <c r="N12" s="134">
        <v>1</v>
      </c>
      <c r="O12" s="134">
        <v>2</v>
      </c>
      <c r="P12" s="134"/>
      <c r="Q12" s="134">
        <v>1</v>
      </c>
      <c r="R12" s="134"/>
      <c r="S12" s="134"/>
    </row>
    <row r="13" spans="1:19" x14ac:dyDescent="0.3">
      <c r="B13" s="142" t="s">
        <v>1688</v>
      </c>
      <c r="C13" s="131">
        <v>159000</v>
      </c>
      <c r="D13" s="131" t="s">
        <v>1300</v>
      </c>
      <c r="E13" s="134" t="s">
        <v>42</v>
      </c>
      <c r="F13" s="134" t="s">
        <v>1256</v>
      </c>
      <c r="G13" s="134">
        <v>1124</v>
      </c>
      <c r="H13" s="134">
        <v>1202</v>
      </c>
      <c r="I13" s="134">
        <v>5400</v>
      </c>
      <c r="J13" s="134">
        <v>195</v>
      </c>
      <c r="K13" s="134">
        <v>1</v>
      </c>
      <c r="L13" s="134">
        <v>0</v>
      </c>
      <c r="M13" s="134">
        <v>60</v>
      </c>
      <c r="N13" s="134"/>
      <c r="O13" s="134">
        <v>2</v>
      </c>
      <c r="P13" s="134"/>
      <c r="Q13" s="134">
        <v>1</v>
      </c>
      <c r="R13" s="134"/>
      <c r="S13" s="134">
        <v>1</v>
      </c>
    </row>
    <row r="14" spans="1:19" x14ac:dyDescent="0.3">
      <c r="B14" s="142" t="s">
        <v>1677</v>
      </c>
      <c r="C14" s="131">
        <v>132000</v>
      </c>
      <c r="D14" s="131" t="s">
        <v>887</v>
      </c>
      <c r="E14" s="134" t="s">
        <v>1679</v>
      </c>
      <c r="F14" s="134" t="s">
        <v>1256</v>
      </c>
      <c r="G14" s="134">
        <v>1020</v>
      </c>
      <c r="H14" s="134">
        <v>1085</v>
      </c>
      <c r="I14" s="134">
        <v>5400</v>
      </c>
      <c r="J14" s="134">
        <v>190</v>
      </c>
      <c r="K14" s="134">
        <v>1</v>
      </c>
      <c r="L14" s="134">
        <v>0</v>
      </c>
      <c r="M14" s="134">
        <v>60</v>
      </c>
      <c r="N14" s="134">
        <v>1</v>
      </c>
      <c r="O14" s="134">
        <v>2</v>
      </c>
      <c r="P14" s="134"/>
      <c r="Q14" s="134">
        <v>1</v>
      </c>
      <c r="R14" s="134"/>
      <c r="S14" s="134"/>
    </row>
    <row r="15" spans="1:19" x14ac:dyDescent="0.3">
      <c r="B15" s="142" t="s">
        <v>1673</v>
      </c>
      <c r="C15" s="131">
        <v>127000</v>
      </c>
      <c r="D15" s="131" t="s">
        <v>1300</v>
      </c>
      <c r="E15" s="134" t="s">
        <v>1680</v>
      </c>
      <c r="F15" s="134" t="s">
        <v>1256</v>
      </c>
      <c r="G15" s="134">
        <v>1033</v>
      </c>
      <c r="H15" s="134">
        <v>1111</v>
      </c>
      <c r="I15" s="134">
        <v>5400</v>
      </c>
      <c r="J15" s="134">
        <v>173</v>
      </c>
      <c r="K15" s="134">
        <v>1</v>
      </c>
      <c r="L15" s="134">
        <v>0</v>
      </c>
      <c r="M15" s="134">
        <v>60</v>
      </c>
      <c r="N15" s="134"/>
      <c r="O15" s="134">
        <v>2</v>
      </c>
      <c r="P15" s="134"/>
      <c r="Q15" s="134">
        <v>2</v>
      </c>
      <c r="R15" s="134"/>
      <c r="S15" s="134"/>
    </row>
    <row r="16" spans="1:19" x14ac:dyDescent="0.3">
      <c r="B16" s="142" t="s">
        <v>1678</v>
      </c>
      <c r="C16" s="131">
        <v>145200</v>
      </c>
      <c r="D16" s="131" t="s">
        <v>887</v>
      </c>
      <c r="E16" s="134" t="s">
        <v>1680</v>
      </c>
      <c r="F16" s="134" t="s">
        <v>1256</v>
      </c>
      <c r="G16" s="134">
        <v>1033</v>
      </c>
      <c r="H16" s="134">
        <v>1111</v>
      </c>
      <c r="I16" s="134">
        <v>5400</v>
      </c>
      <c r="J16" s="134">
        <v>160</v>
      </c>
      <c r="K16" s="134">
        <v>1</v>
      </c>
      <c r="L16" s="134">
        <v>0</v>
      </c>
      <c r="M16" s="134">
        <v>60</v>
      </c>
      <c r="N16" s="134"/>
      <c r="O16" s="134">
        <v>1</v>
      </c>
      <c r="P16" s="134"/>
      <c r="Q16" s="134">
        <v>2</v>
      </c>
      <c r="R16" s="134"/>
      <c r="S16" s="134">
        <v>1</v>
      </c>
    </row>
    <row r="17" spans="2:19" x14ac:dyDescent="0.3">
      <c r="B17" s="142" t="s">
        <v>1671</v>
      </c>
      <c r="C17" s="131">
        <v>153300</v>
      </c>
      <c r="D17" s="131" t="s">
        <v>1300</v>
      </c>
      <c r="E17" s="134" t="s">
        <v>1680</v>
      </c>
      <c r="F17" s="134" t="s">
        <v>1256</v>
      </c>
      <c r="G17" s="134">
        <v>1033</v>
      </c>
      <c r="H17" s="134">
        <v>1111</v>
      </c>
      <c r="I17" s="134">
        <v>5400</v>
      </c>
      <c r="J17" s="134">
        <v>186</v>
      </c>
      <c r="K17" s="134">
        <v>1</v>
      </c>
      <c r="L17" s="134">
        <v>0</v>
      </c>
      <c r="M17" s="134">
        <v>60</v>
      </c>
      <c r="N17" s="134"/>
      <c r="O17" s="134">
        <v>2</v>
      </c>
      <c r="P17" s="134"/>
      <c r="Q17" s="134">
        <v>2</v>
      </c>
      <c r="R17" s="134"/>
      <c r="S17" s="134"/>
    </row>
    <row r="18" spans="2:19" x14ac:dyDescent="0.3">
      <c r="B18" s="142" t="s">
        <v>3215</v>
      </c>
      <c r="C18" s="131">
        <v>117850</v>
      </c>
      <c r="D18" s="131" t="s">
        <v>1300</v>
      </c>
      <c r="E18" s="134" t="s">
        <v>357</v>
      </c>
      <c r="F18" s="134" t="s">
        <v>1256</v>
      </c>
      <c r="G18" s="134">
        <v>1046</v>
      </c>
      <c r="H18" s="134">
        <v>1124</v>
      </c>
      <c r="I18" s="134">
        <v>5400</v>
      </c>
      <c r="J18" s="134">
        <v>165</v>
      </c>
      <c r="K18" s="134">
        <v>1</v>
      </c>
      <c r="L18" s="134">
        <v>0</v>
      </c>
      <c r="M18" s="134">
        <v>60</v>
      </c>
      <c r="N18" s="134"/>
      <c r="O18" s="134">
        <v>2</v>
      </c>
      <c r="P18" s="134">
        <v>1</v>
      </c>
      <c r="Q18" s="134"/>
      <c r="R18" s="134"/>
      <c r="S18" s="134"/>
    </row>
    <row r="19" spans="2:19" x14ac:dyDescent="0.3">
      <c r="B19" s="142" t="s">
        <v>3216</v>
      </c>
      <c r="C19" s="131">
        <v>127000</v>
      </c>
      <c r="D19" s="131" t="s">
        <v>887</v>
      </c>
      <c r="E19" s="134" t="s">
        <v>357</v>
      </c>
      <c r="F19" s="134" t="s">
        <v>1256</v>
      </c>
      <c r="G19" s="134">
        <v>1046</v>
      </c>
      <c r="H19" s="134">
        <v>1124</v>
      </c>
      <c r="I19" s="134">
        <v>5400</v>
      </c>
      <c r="J19" s="134">
        <v>165</v>
      </c>
      <c r="K19" s="134">
        <v>1</v>
      </c>
      <c r="L19" s="134">
        <v>0</v>
      </c>
      <c r="M19" s="134">
        <v>60</v>
      </c>
      <c r="N19" s="134"/>
      <c r="O19" s="134">
        <v>2</v>
      </c>
      <c r="P19" s="134">
        <v>1</v>
      </c>
      <c r="Q19" s="134"/>
      <c r="R19" s="134"/>
      <c r="S19" s="134"/>
    </row>
    <row r="20" spans="2:19" x14ac:dyDescent="0.3">
      <c r="B20" s="142" t="s">
        <v>1683</v>
      </c>
      <c r="C20" s="131">
        <v>123200</v>
      </c>
      <c r="D20" s="131" t="s">
        <v>1300</v>
      </c>
      <c r="E20" s="134" t="s">
        <v>358</v>
      </c>
      <c r="F20" s="134" t="s">
        <v>1256</v>
      </c>
      <c r="G20" s="134">
        <v>1020</v>
      </c>
      <c r="H20" s="134">
        <v>1085</v>
      </c>
      <c r="I20" s="134">
        <v>5400</v>
      </c>
      <c r="J20" s="134">
        <v>150</v>
      </c>
      <c r="K20" s="134">
        <v>1</v>
      </c>
      <c r="L20" s="134">
        <v>0</v>
      </c>
      <c r="M20" s="134">
        <v>60</v>
      </c>
      <c r="N20" s="134"/>
      <c r="O20" s="134">
        <v>1</v>
      </c>
      <c r="P20" s="134"/>
      <c r="Q20" s="134">
        <v>1</v>
      </c>
      <c r="R20" s="134"/>
      <c r="S20" s="134">
        <v>1</v>
      </c>
    </row>
    <row r="21" spans="2:19" x14ac:dyDescent="0.3">
      <c r="B21" s="142" t="s">
        <v>1682</v>
      </c>
      <c r="C21" s="131">
        <v>128400</v>
      </c>
      <c r="D21" s="131" t="s">
        <v>1300</v>
      </c>
      <c r="E21" s="134" t="s">
        <v>308</v>
      </c>
      <c r="F21" s="134" t="s">
        <v>1256</v>
      </c>
      <c r="G21" s="134">
        <v>1050</v>
      </c>
      <c r="H21" s="134">
        <v>1137</v>
      </c>
      <c r="I21" s="134">
        <v>5400</v>
      </c>
      <c r="J21" s="134">
        <v>165</v>
      </c>
      <c r="K21" s="134">
        <v>1</v>
      </c>
      <c r="L21" s="134">
        <v>0</v>
      </c>
      <c r="M21" s="134">
        <v>60</v>
      </c>
      <c r="N21" s="134">
        <v>1</v>
      </c>
      <c r="O21" s="134">
        <v>1</v>
      </c>
      <c r="P21" s="134"/>
      <c r="Q21" s="134">
        <v>1</v>
      </c>
      <c r="R21" s="134"/>
      <c r="S21" s="134"/>
    </row>
    <row r="22" spans="2:19" x14ac:dyDescent="0.3">
      <c r="B22" s="142" t="s">
        <v>1674</v>
      </c>
      <c r="C22" s="131">
        <v>120900</v>
      </c>
      <c r="D22" s="131" t="s">
        <v>1300</v>
      </c>
      <c r="E22" s="134" t="s">
        <v>359</v>
      </c>
      <c r="F22" s="134" t="s">
        <v>1256</v>
      </c>
      <c r="G22" s="134">
        <v>1033</v>
      </c>
      <c r="H22" s="134">
        <v>1111</v>
      </c>
      <c r="I22" s="134">
        <v>5400</v>
      </c>
      <c r="J22" s="134">
        <v>114.8</v>
      </c>
      <c r="K22" s="134">
        <v>1</v>
      </c>
      <c r="L22" s="134">
        <v>0</v>
      </c>
      <c r="M22" s="134">
        <v>60</v>
      </c>
      <c r="N22" s="134"/>
      <c r="O22" s="134">
        <v>2</v>
      </c>
      <c r="P22" s="134">
        <v>1</v>
      </c>
      <c r="Q22" s="134"/>
      <c r="R22" s="134"/>
      <c r="S22" s="134"/>
    </row>
    <row r="23" spans="2:19" x14ac:dyDescent="0.3">
      <c r="B23" s="142" t="s">
        <v>1670</v>
      </c>
      <c r="C23" s="131">
        <v>129700</v>
      </c>
      <c r="D23" s="131" t="s">
        <v>1300</v>
      </c>
      <c r="E23" s="134" t="s">
        <v>359</v>
      </c>
      <c r="F23" s="134" t="s">
        <v>1256</v>
      </c>
      <c r="G23" s="134">
        <v>1033</v>
      </c>
      <c r="H23" s="134">
        <v>1111</v>
      </c>
      <c r="I23" s="134">
        <v>5400</v>
      </c>
      <c r="J23" s="134">
        <v>114.8</v>
      </c>
      <c r="K23" s="134">
        <v>1</v>
      </c>
      <c r="L23" s="134">
        <v>0</v>
      </c>
      <c r="M23" s="134">
        <v>60</v>
      </c>
      <c r="N23" s="134"/>
      <c r="O23" s="134">
        <v>2</v>
      </c>
      <c r="P23" s="134">
        <v>1</v>
      </c>
      <c r="Q23" s="134"/>
      <c r="R23" s="134"/>
      <c r="S23" s="134"/>
    </row>
    <row r="24" spans="2:19" x14ac:dyDescent="0.3">
      <c r="B24" s="142" t="s">
        <v>1681</v>
      </c>
      <c r="C24" s="131">
        <v>138900</v>
      </c>
      <c r="D24" s="131" t="s">
        <v>1300</v>
      </c>
      <c r="E24" s="134" t="s">
        <v>359</v>
      </c>
      <c r="F24" s="134" t="s">
        <v>1256</v>
      </c>
      <c r="G24" s="134">
        <v>1046</v>
      </c>
      <c r="H24" s="134">
        <v>1124</v>
      </c>
      <c r="I24" s="134">
        <v>5400</v>
      </c>
      <c r="J24" s="134">
        <v>198.1</v>
      </c>
      <c r="K24" s="134">
        <v>1</v>
      </c>
      <c r="L24" s="134">
        <v>0</v>
      </c>
      <c r="M24" s="134">
        <v>60</v>
      </c>
      <c r="N24" s="134"/>
      <c r="O24" s="134">
        <v>2</v>
      </c>
      <c r="P24" s="134"/>
      <c r="Q24" s="134">
        <v>1</v>
      </c>
      <c r="R24" s="134"/>
      <c r="S24" s="134">
        <v>1</v>
      </c>
    </row>
    <row r="25" spans="2:19" x14ac:dyDescent="0.3">
      <c r="B25" s="142" t="s">
        <v>1675</v>
      </c>
      <c r="C25" s="131">
        <v>135900</v>
      </c>
      <c r="D25" s="131" t="s">
        <v>1300</v>
      </c>
      <c r="E25" s="134" t="s">
        <v>360</v>
      </c>
      <c r="F25" s="134" t="s">
        <v>1256</v>
      </c>
      <c r="G25" s="134">
        <v>1072</v>
      </c>
      <c r="H25" s="134">
        <v>1150</v>
      </c>
      <c r="I25" s="134">
        <v>5400</v>
      </c>
      <c r="J25" s="134">
        <v>182</v>
      </c>
      <c r="K25" s="134">
        <v>1</v>
      </c>
      <c r="L25" s="134">
        <v>0</v>
      </c>
      <c r="M25" s="134">
        <v>60</v>
      </c>
      <c r="N25" s="134">
        <v>1</v>
      </c>
      <c r="O25" s="134">
        <v>1</v>
      </c>
      <c r="P25" s="134"/>
      <c r="Q25" s="134">
        <v>1</v>
      </c>
      <c r="R25" s="134"/>
      <c r="S25" s="134"/>
    </row>
    <row r="26" spans="2:19" x14ac:dyDescent="0.3">
      <c r="B26" s="142" t="s">
        <v>1672</v>
      </c>
      <c r="C26" s="131">
        <v>115700</v>
      </c>
      <c r="D26" s="131" t="s">
        <v>1300</v>
      </c>
      <c r="E26" s="134" t="s">
        <v>361</v>
      </c>
      <c r="F26" s="134" t="s">
        <v>1256</v>
      </c>
      <c r="G26" s="134">
        <v>1087</v>
      </c>
      <c r="H26" s="134">
        <v>1239</v>
      </c>
      <c r="I26" s="134">
        <v>5010</v>
      </c>
      <c r="J26" s="134">
        <v>215</v>
      </c>
      <c r="K26" s="134">
        <v>1</v>
      </c>
      <c r="L26" s="134">
        <v>0</v>
      </c>
      <c r="M26" s="134">
        <v>55</v>
      </c>
      <c r="N26" s="134">
        <v>1</v>
      </c>
      <c r="O26" s="134">
        <v>1</v>
      </c>
      <c r="P26" s="134"/>
      <c r="Q26" s="134">
        <v>1</v>
      </c>
      <c r="R26" s="134"/>
      <c r="S26" s="134"/>
    </row>
    <row r="27" spans="2:19" x14ac:dyDescent="0.3">
      <c r="B27" s="142" t="s">
        <v>1669</v>
      </c>
      <c r="C27" s="131">
        <v>150300</v>
      </c>
      <c r="D27" s="131" t="s">
        <v>1300</v>
      </c>
      <c r="E27" s="134" t="s">
        <v>361</v>
      </c>
      <c r="F27" s="134" t="s">
        <v>1256</v>
      </c>
      <c r="G27" s="134">
        <v>1202</v>
      </c>
      <c r="H27" s="134">
        <v>1281</v>
      </c>
      <c r="I27" s="134">
        <v>6008</v>
      </c>
      <c r="J27" s="134">
        <v>216</v>
      </c>
      <c r="K27" s="134">
        <v>1</v>
      </c>
      <c r="L27" s="134">
        <v>0</v>
      </c>
      <c r="M27" s="134">
        <v>60</v>
      </c>
      <c r="N27" s="134"/>
      <c r="O27" s="134">
        <v>2</v>
      </c>
      <c r="P27" s="134">
        <v>1</v>
      </c>
      <c r="Q27" s="134"/>
      <c r="R27" s="134"/>
      <c r="S27" s="134"/>
    </row>
    <row r="28" spans="2:19" x14ac:dyDescent="0.3">
      <c r="B28" s="142" t="s">
        <v>3146</v>
      </c>
      <c r="C28" s="131">
        <v>130300</v>
      </c>
      <c r="D28" s="131" t="s">
        <v>1300</v>
      </c>
      <c r="E28" s="134" t="s">
        <v>361</v>
      </c>
      <c r="F28" s="134" t="s">
        <v>1256</v>
      </c>
      <c r="G28" s="134">
        <v>1202</v>
      </c>
      <c r="H28" s="134">
        <v>1280</v>
      </c>
      <c r="I28" s="134">
        <v>5400</v>
      </c>
      <c r="J28" s="134">
        <v>238</v>
      </c>
      <c r="K28" s="134">
        <v>1</v>
      </c>
      <c r="L28" s="134">
        <v>0</v>
      </c>
      <c r="M28" s="134">
        <v>60</v>
      </c>
      <c r="N28" s="134"/>
      <c r="O28" s="134">
        <v>2</v>
      </c>
      <c r="P28" s="134"/>
      <c r="Q28" s="134">
        <v>1</v>
      </c>
      <c r="R28" s="134"/>
      <c r="S28" s="134">
        <v>1</v>
      </c>
    </row>
    <row r="29" spans="2:19" x14ac:dyDescent="0.3">
      <c r="B29" s="142" t="s">
        <v>1676</v>
      </c>
      <c r="C29" s="131">
        <v>144800</v>
      </c>
      <c r="D29" s="131" t="s">
        <v>1300</v>
      </c>
      <c r="E29" s="134" t="s">
        <v>361</v>
      </c>
      <c r="F29" s="134" t="s">
        <v>1256</v>
      </c>
      <c r="G29" s="134">
        <v>1202</v>
      </c>
      <c r="H29" s="134">
        <v>1281</v>
      </c>
      <c r="I29" s="134">
        <v>5400</v>
      </c>
      <c r="J29" s="134">
        <v>235</v>
      </c>
      <c r="K29" s="134">
        <v>1</v>
      </c>
      <c r="L29" s="134">
        <v>0</v>
      </c>
      <c r="M29" s="134">
        <v>60</v>
      </c>
      <c r="N29" s="134"/>
      <c r="O29" s="134">
        <v>2</v>
      </c>
      <c r="P29" s="134"/>
      <c r="Q29" s="134">
        <v>1</v>
      </c>
      <c r="R29" s="134"/>
      <c r="S29" s="134">
        <v>1</v>
      </c>
    </row>
    <row r="30" spans="2:19" x14ac:dyDescent="0.3">
      <c r="B30" s="142" t="s">
        <v>918</v>
      </c>
      <c r="C30" s="131"/>
      <c r="D30" s="131"/>
      <c r="E30" s="134"/>
      <c r="F30" s="134"/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</row>
    <row r="31" spans="2:19" x14ac:dyDescent="0.3">
      <c r="B31" s="142" t="s">
        <v>1666</v>
      </c>
      <c r="C31" s="131">
        <v>126610</v>
      </c>
      <c r="D31" s="131" t="s">
        <v>771</v>
      </c>
      <c r="E31" s="134" t="s">
        <v>1680</v>
      </c>
      <c r="F31" s="134" t="s">
        <v>1258</v>
      </c>
      <c r="G31" s="134">
        <v>1200</v>
      </c>
      <c r="H31" s="391">
        <f>G31</f>
        <v>1200</v>
      </c>
      <c r="I31" s="134">
        <v>6500</v>
      </c>
      <c r="J31" s="134">
        <v>146</v>
      </c>
      <c r="K31" s="134">
        <v>1</v>
      </c>
      <c r="L31" s="134">
        <v>0</v>
      </c>
      <c r="M31" s="474">
        <v>100</v>
      </c>
      <c r="N31" s="134"/>
      <c r="O31" s="134">
        <v>2</v>
      </c>
      <c r="P31" s="134"/>
      <c r="Q31" s="134">
        <v>1</v>
      </c>
      <c r="R31" s="134"/>
      <c r="S31" s="134">
        <v>1</v>
      </c>
    </row>
    <row r="32" spans="2:19" x14ac:dyDescent="0.3">
      <c r="B32" s="142" t="s">
        <v>1667</v>
      </c>
      <c r="C32" s="131">
        <v>127000</v>
      </c>
      <c r="D32" s="131" t="s">
        <v>771</v>
      </c>
      <c r="E32" s="134" t="s">
        <v>308</v>
      </c>
      <c r="F32" s="134" t="s">
        <v>1258</v>
      </c>
      <c r="G32" s="134">
        <v>1100</v>
      </c>
      <c r="H32" s="391">
        <f>G32</f>
        <v>1100</v>
      </c>
      <c r="I32" s="134">
        <v>6500</v>
      </c>
      <c r="J32" s="134">
        <v>162</v>
      </c>
      <c r="K32" s="134">
        <v>1</v>
      </c>
      <c r="L32" s="134">
        <v>0</v>
      </c>
      <c r="M32" s="134">
        <v>100</v>
      </c>
      <c r="N32" s="134"/>
      <c r="O32" s="134">
        <v>1</v>
      </c>
      <c r="P32" s="134"/>
      <c r="Q32" s="134">
        <v>1</v>
      </c>
      <c r="R32" s="134"/>
      <c r="S32" s="134">
        <v>1</v>
      </c>
    </row>
    <row r="33" spans="2:19" x14ac:dyDescent="0.3">
      <c r="B33" s="142" t="s">
        <v>1668</v>
      </c>
      <c r="C33" s="131">
        <v>136000</v>
      </c>
      <c r="D33" s="131" t="s">
        <v>771</v>
      </c>
      <c r="E33" s="134" t="s">
        <v>363</v>
      </c>
      <c r="F33" s="134" t="s">
        <v>1258</v>
      </c>
      <c r="G33" s="134">
        <v>1060</v>
      </c>
      <c r="H33" s="391">
        <f>G33</f>
        <v>1060</v>
      </c>
      <c r="I33" s="134">
        <v>6600</v>
      </c>
      <c r="J33" s="134">
        <v>210</v>
      </c>
      <c r="K33" s="134">
        <v>1</v>
      </c>
      <c r="L33" s="134">
        <v>0</v>
      </c>
      <c r="M33" s="134">
        <v>100</v>
      </c>
      <c r="N33" s="134"/>
      <c r="O33" s="134">
        <v>2</v>
      </c>
      <c r="P33" s="134"/>
      <c r="Q33" s="134">
        <v>1</v>
      </c>
      <c r="R33" s="134"/>
      <c r="S33" s="134">
        <v>1</v>
      </c>
    </row>
    <row r="34" spans="2:19" x14ac:dyDescent="0.3">
      <c r="B34" s="142" t="s">
        <v>918</v>
      </c>
      <c r="C34" s="131"/>
      <c r="D34" s="131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</row>
    <row r="35" spans="2:19" x14ac:dyDescent="0.3">
      <c r="B35" s="260" t="s">
        <v>1656</v>
      </c>
      <c r="C35" s="131"/>
      <c r="D35" s="131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</row>
    <row r="36" spans="2:19" x14ac:dyDescent="0.3">
      <c r="B36" s="142" t="s">
        <v>1696</v>
      </c>
      <c r="C36" s="131">
        <v>197500</v>
      </c>
      <c r="D36" s="131" t="s">
        <v>1300</v>
      </c>
      <c r="E36" s="134" t="s">
        <v>42</v>
      </c>
      <c r="F36" s="134" t="s">
        <v>1257</v>
      </c>
      <c r="G36" s="134">
        <v>1140</v>
      </c>
      <c r="H36" s="134">
        <v>1329</v>
      </c>
      <c r="I36" s="134">
        <v>6610</v>
      </c>
      <c r="J36" s="134">
        <v>220</v>
      </c>
      <c r="K36" s="134">
        <v>1</v>
      </c>
      <c r="L36" s="134">
        <v>0</v>
      </c>
      <c r="M36" s="134">
        <v>90</v>
      </c>
      <c r="N36" s="134"/>
      <c r="O36" s="134">
        <v>2</v>
      </c>
      <c r="P36" s="134"/>
      <c r="Q36" s="134">
        <v>1</v>
      </c>
      <c r="R36" s="134"/>
      <c r="S36" s="134">
        <v>1</v>
      </c>
    </row>
    <row r="37" spans="2:19" x14ac:dyDescent="0.3">
      <c r="B37" s="142" t="s">
        <v>1690</v>
      </c>
      <c r="C37" s="131">
        <v>177000</v>
      </c>
      <c r="D37" s="131" t="s">
        <v>887</v>
      </c>
      <c r="E37" s="134" t="s">
        <v>1679</v>
      </c>
      <c r="F37" s="134" t="s">
        <v>1257</v>
      </c>
      <c r="G37" s="134">
        <v>1038</v>
      </c>
      <c r="H37" s="134">
        <v>1216</v>
      </c>
      <c r="I37" s="134">
        <v>6610</v>
      </c>
      <c r="J37" s="134">
        <v>225</v>
      </c>
      <c r="K37" s="134">
        <v>1</v>
      </c>
      <c r="L37" s="134">
        <v>0</v>
      </c>
      <c r="M37" s="134">
        <v>75</v>
      </c>
      <c r="N37" s="134"/>
      <c r="O37" s="134">
        <v>2</v>
      </c>
      <c r="P37" s="134"/>
      <c r="Q37" s="134">
        <v>1</v>
      </c>
      <c r="R37" s="134"/>
      <c r="S37" s="134">
        <v>1</v>
      </c>
    </row>
    <row r="38" spans="2:19" x14ac:dyDescent="0.3">
      <c r="B38" s="142" t="s">
        <v>1697</v>
      </c>
      <c r="C38" s="131">
        <v>184900</v>
      </c>
      <c r="D38" s="131" t="s">
        <v>1300</v>
      </c>
      <c r="E38" s="134" t="s">
        <v>1680</v>
      </c>
      <c r="F38" s="134" t="s">
        <v>1257</v>
      </c>
      <c r="G38" s="134">
        <v>1064</v>
      </c>
      <c r="H38" s="134">
        <v>1241</v>
      </c>
      <c r="I38" s="134">
        <v>6610</v>
      </c>
      <c r="J38" s="134">
        <v>170</v>
      </c>
      <c r="K38" s="134">
        <v>1</v>
      </c>
      <c r="L38" s="134">
        <v>0</v>
      </c>
      <c r="M38" s="134">
        <v>90</v>
      </c>
      <c r="N38" s="134"/>
      <c r="O38" s="134">
        <v>2</v>
      </c>
      <c r="P38" s="134"/>
      <c r="Q38" s="134">
        <v>1</v>
      </c>
      <c r="R38" s="134"/>
      <c r="S38" s="134">
        <v>1</v>
      </c>
    </row>
    <row r="39" spans="2:19" x14ac:dyDescent="0.3">
      <c r="B39" s="142" t="s">
        <v>1695</v>
      </c>
      <c r="C39" s="131">
        <v>189500</v>
      </c>
      <c r="D39" s="131" t="s">
        <v>1300</v>
      </c>
      <c r="E39" s="134" t="s">
        <v>1680</v>
      </c>
      <c r="F39" s="134" t="s">
        <v>1257</v>
      </c>
      <c r="G39" s="134">
        <v>1102</v>
      </c>
      <c r="H39" s="134">
        <v>1279</v>
      </c>
      <c r="I39" s="134">
        <v>6610</v>
      </c>
      <c r="J39" s="134">
        <v>195</v>
      </c>
      <c r="K39" s="134">
        <v>1</v>
      </c>
      <c r="L39" s="134">
        <v>0</v>
      </c>
      <c r="M39" s="134">
        <v>90</v>
      </c>
      <c r="N39" s="134"/>
      <c r="O39" s="134">
        <v>2</v>
      </c>
      <c r="P39" s="134"/>
      <c r="Q39" s="134">
        <v>1</v>
      </c>
      <c r="R39" s="134"/>
      <c r="S39" s="134">
        <v>1</v>
      </c>
    </row>
    <row r="40" spans="2:19" x14ac:dyDescent="0.3">
      <c r="B40" s="142" t="s">
        <v>3144</v>
      </c>
      <c r="C40" s="131">
        <v>179000</v>
      </c>
      <c r="D40" s="131" t="s">
        <v>1300</v>
      </c>
      <c r="E40" s="134" t="s">
        <v>358</v>
      </c>
      <c r="F40" s="134" t="s">
        <v>1257</v>
      </c>
      <c r="G40" s="134">
        <v>1038</v>
      </c>
      <c r="H40" s="134">
        <v>1216</v>
      </c>
      <c r="I40" s="134">
        <v>6610</v>
      </c>
      <c r="J40" s="134">
        <v>183</v>
      </c>
      <c r="K40" s="134">
        <v>1</v>
      </c>
      <c r="L40" s="134">
        <v>0</v>
      </c>
      <c r="M40" s="134">
        <v>90</v>
      </c>
      <c r="N40" s="134"/>
      <c r="O40" s="134">
        <v>1</v>
      </c>
      <c r="P40" s="134"/>
      <c r="Q40" s="134">
        <v>1</v>
      </c>
      <c r="R40" s="134"/>
      <c r="S40" s="134">
        <v>1</v>
      </c>
    </row>
    <row r="41" spans="2:19" x14ac:dyDescent="0.3">
      <c r="B41" s="142" t="s">
        <v>3145</v>
      </c>
      <c r="C41" s="131">
        <v>183900</v>
      </c>
      <c r="D41" s="131" t="s">
        <v>1300</v>
      </c>
      <c r="E41" s="134" t="s">
        <v>359</v>
      </c>
      <c r="F41" s="134" t="s">
        <v>1257</v>
      </c>
      <c r="G41" s="134">
        <v>1102</v>
      </c>
      <c r="H41" s="134">
        <v>1279</v>
      </c>
      <c r="I41" s="134">
        <v>6804</v>
      </c>
      <c r="J41" s="134">
        <v>205</v>
      </c>
      <c r="K41" s="134">
        <v>1</v>
      </c>
      <c r="L41" s="134">
        <v>0</v>
      </c>
      <c r="M41" s="134">
        <v>90</v>
      </c>
      <c r="N41" s="134"/>
      <c r="O41" s="134">
        <v>2</v>
      </c>
      <c r="P41" s="134"/>
      <c r="Q41" s="134">
        <v>1</v>
      </c>
      <c r="R41" s="134"/>
      <c r="S41" s="134">
        <v>1</v>
      </c>
    </row>
    <row r="42" spans="2:19" x14ac:dyDescent="0.3">
      <c r="B42" s="142" t="s">
        <v>1693</v>
      </c>
      <c r="C42" s="131">
        <v>205700</v>
      </c>
      <c r="D42" s="131" t="s">
        <v>1300</v>
      </c>
      <c r="E42" s="134" t="s">
        <v>359</v>
      </c>
      <c r="F42" s="134" t="s">
        <v>1257</v>
      </c>
      <c r="G42" s="134">
        <v>1203</v>
      </c>
      <c r="H42" s="134">
        <v>1405</v>
      </c>
      <c r="I42" s="134">
        <v>7020</v>
      </c>
      <c r="J42" s="134">
        <v>208</v>
      </c>
      <c r="K42" s="134">
        <v>1</v>
      </c>
      <c r="L42" s="134">
        <v>0</v>
      </c>
      <c r="M42" s="134">
        <v>90</v>
      </c>
      <c r="N42" s="134"/>
      <c r="O42" s="134">
        <v>2</v>
      </c>
      <c r="P42" s="134"/>
      <c r="Q42" s="134">
        <v>1</v>
      </c>
      <c r="R42" s="134"/>
      <c r="S42" s="134">
        <v>1</v>
      </c>
    </row>
    <row r="43" spans="2:19" x14ac:dyDescent="0.3">
      <c r="B43" s="142" t="s">
        <v>1692</v>
      </c>
      <c r="C43" s="131">
        <v>175500</v>
      </c>
      <c r="D43" s="131" t="s">
        <v>887</v>
      </c>
      <c r="E43" s="134" t="s">
        <v>360</v>
      </c>
      <c r="F43" s="134" t="s">
        <v>1257</v>
      </c>
      <c r="G43" s="134">
        <v>1038</v>
      </c>
      <c r="H43" s="134">
        <v>1216</v>
      </c>
      <c r="I43" s="134">
        <v>6610</v>
      </c>
      <c r="J43" s="134">
        <v>180</v>
      </c>
      <c r="K43" s="134">
        <v>1</v>
      </c>
      <c r="L43" s="134">
        <v>0</v>
      </c>
      <c r="M43" s="134">
        <v>90</v>
      </c>
      <c r="N43" s="134"/>
      <c r="O43" s="134">
        <v>1</v>
      </c>
      <c r="P43" s="134"/>
      <c r="Q43" s="134">
        <v>1</v>
      </c>
      <c r="R43" s="134"/>
      <c r="S43" s="134">
        <v>3</v>
      </c>
    </row>
    <row r="44" spans="2:19" x14ac:dyDescent="0.3">
      <c r="B44" s="142" t="s">
        <v>1691</v>
      </c>
      <c r="C44" s="131">
        <v>177500</v>
      </c>
      <c r="D44" s="131" t="s">
        <v>887</v>
      </c>
      <c r="E44" s="134" t="s">
        <v>360</v>
      </c>
      <c r="F44" s="134" t="s">
        <v>1257</v>
      </c>
      <c r="G44" s="134">
        <v>1114</v>
      </c>
      <c r="H44" s="134">
        <v>1329</v>
      </c>
      <c r="I44" s="134">
        <v>6610</v>
      </c>
      <c r="J44" s="134">
        <v>230</v>
      </c>
      <c r="K44" s="134">
        <v>1</v>
      </c>
      <c r="L44" s="134">
        <v>0</v>
      </c>
      <c r="M44" s="134">
        <v>90</v>
      </c>
      <c r="N44" s="134"/>
      <c r="O44" s="134">
        <v>1</v>
      </c>
      <c r="P44" s="134"/>
      <c r="Q44" s="134">
        <v>1</v>
      </c>
      <c r="R44" s="134"/>
      <c r="S44" s="134">
        <v>1</v>
      </c>
    </row>
    <row r="45" spans="2:19" x14ac:dyDescent="0.3">
      <c r="B45" s="142" t="s">
        <v>1689</v>
      </c>
      <c r="C45" s="131">
        <v>187700</v>
      </c>
      <c r="D45" s="131" t="s">
        <v>1300</v>
      </c>
      <c r="E45" s="134" t="s">
        <v>361</v>
      </c>
      <c r="F45" s="134" t="s">
        <v>1257</v>
      </c>
      <c r="G45" s="134">
        <v>1064</v>
      </c>
      <c r="H45" s="134">
        <v>1242</v>
      </c>
      <c r="I45" s="134">
        <v>6610</v>
      </c>
      <c r="J45" s="134">
        <v>217</v>
      </c>
      <c r="K45" s="134">
        <v>1</v>
      </c>
      <c r="L45" s="134">
        <v>0</v>
      </c>
      <c r="M45" s="134">
        <v>90</v>
      </c>
      <c r="N45" s="134"/>
      <c r="O45" s="134">
        <v>2</v>
      </c>
      <c r="P45" s="134"/>
      <c r="Q45" s="134">
        <v>1</v>
      </c>
      <c r="R45" s="134"/>
      <c r="S45" s="134">
        <v>1</v>
      </c>
    </row>
    <row r="46" spans="2:19" x14ac:dyDescent="0.3">
      <c r="B46" s="142" t="s">
        <v>1698</v>
      </c>
      <c r="C46" s="131">
        <v>217100</v>
      </c>
      <c r="D46" s="131" t="s">
        <v>1300</v>
      </c>
      <c r="E46" s="134" t="s">
        <v>361</v>
      </c>
      <c r="F46" s="134" t="s">
        <v>1257</v>
      </c>
      <c r="G46" s="134">
        <v>1152</v>
      </c>
      <c r="H46" s="134">
        <v>1342</v>
      </c>
      <c r="I46" s="134">
        <v>7200</v>
      </c>
      <c r="J46" s="134">
        <v>245</v>
      </c>
      <c r="K46" s="134">
        <v>1</v>
      </c>
      <c r="L46" s="134">
        <v>0</v>
      </c>
      <c r="M46" s="134">
        <v>90</v>
      </c>
      <c r="N46" s="134"/>
      <c r="O46" s="134">
        <v>2</v>
      </c>
      <c r="P46" s="134"/>
      <c r="Q46" s="134">
        <v>1</v>
      </c>
      <c r="R46" s="134"/>
      <c r="S46" s="134">
        <v>1</v>
      </c>
    </row>
    <row r="47" spans="2:19" x14ac:dyDescent="0.3">
      <c r="B47" s="142" t="s">
        <v>1694</v>
      </c>
      <c r="C47" s="131">
        <v>182800</v>
      </c>
      <c r="D47" s="131" t="s">
        <v>1300</v>
      </c>
      <c r="E47" s="134" t="s">
        <v>361</v>
      </c>
      <c r="F47" s="134" t="s">
        <v>1257</v>
      </c>
      <c r="G47" s="134">
        <v>1114</v>
      </c>
      <c r="H47" s="134">
        <v>1304</v>
      </c>
      <c r="I47" s="134">
        <v>6610</v>
      </c>
      <c r="J47" s="134">
        <v>180</v>
      </c>
      <c r="K47" s="134">
        <v>1</v>
      </c>
      <c r="L47" s="134">
        <v>0</v>
      </c>
      <c r="M47" s="134">
        <v>90</v>
      </c>
      <c r="N47" s="134"/>
      <c r="O47" s="134">
        <v>1</v>
      </c>
      <c r="P47" s="134"/>
      <c r="Q47" s="134">
        <v>1</v>
      </c>
      <c r="R47" s="134"/>
      <c r="S47" s="134">
        <v>3</v>
      </c>
    </row>
    <row r="48" spans="2:19" x14ac:dyDescent="0.3">
      <c r="B48" s="142" t="s">
        <v>918</v>
      </c>
      <c r="C48" s="131"/>
      <c r="D48" s="131"/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</row>
    <row r="49" spans="2:19" x14ac:dyDescent="0.3">
      <c r="B49" s="142" t="s">
        <v>1699</v>
      </c>
      <c r="C49" s="131">
        <v>179100</v>
      </c>
      <c r="D49" s="131" t="s">
        <v>1301</v>
      </c>
      <c r="E49" s="134" t="s">
        <v>1680</v>
      </c>
      <c r="F49" s="134" t="s">
        <v>1259</v>
      </c>
      <c r="G49" s="134">
        <v>1015</v>
      </c>
      <c r="H49" s="391">
        <f>G49</f>
        <v>1015</v>
      </c>
      <c r="I49" s="134">
        <v>5600</v>
      </c>
      <c r="J49" s="134">
        <v>183</v>
      </c>
      <c r="K49" s="134">
        <v>1</v>
      </c>
      <c r="L49" s="134">
        <v>0</v>
      </c>
      <c r="M49" s="474">
        <v>110</v>
      </c>
      <c r="N49" s="134"/>
      <c r="O49" s="134">
        <v>2</v>
      </c>
      <c r="P49" s="134"/>
      <c r="Q49" s="134">
        <v>1</v>
      </c>
      <c r="R49" s="134"/>
      <c r="S49" s="134">
        <v>1</v>
      </c>
    </row>
    <row r="50" spans="2:19" x14ac:dyDescent="0.3">
      <c r="B50" s="142" t="s">
        <v>1700</v>
      </c>
      <c r="C50" s="131">
        <v>182100</v>
      </c>
      <c r="D50" s="131" t="s">
        <v>1301</v>
      </c>
      <c r="E50" s="134" t="s">
        <v>308</v>
      </c>
      <c r="F50" s="134" t="s">
        <v>1259</v>
      </c>
      <c r="G50" s="134">
        <v>970</v>
      </c>
      <c r="H50" s="134">
        <v>1020</v>
      </c>
      <c r="I50" s="134">
        <v>5600</v>
      </c>
      <c r="J50" s="134">
        <v>255</v>
      </c>
      <c r="K50" s="134">
        <v>1</v>
      </c>
      <c r="L50" s="134">
        <v>0</v>
      </c>
      <c r="M50" s="134">
        <v>110</v>
      </c>
      <c r="N50" s="134"/>
      <c r="O50" s="134">
        <v>2</v>
      </c>
      <c r="P50" s="134"/>
      <c r="Q50" s="134">
        <v>1</v>
      </c>
      <c r="R50" s="134"/>
      <c r="S50" s="134">
        <v>1</v>
      </c>
    </row>
    <row r="51" spans="2:19" x14ac:dyDescent="0.3">
      <c r="B51" s="142" t="s">
        <v>918</v>
      </c>
      <c r="C51" s="131"/>
      <c r="D51" s="131"/>
      <c r="E51" s="134"/>
      <c r="F51" s="134"/>
      <c r="G51" s="134"/>
      <c r="H51" s="134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</row>
    <row r="52" spans="2:19" x14ac:dyDescent="0.3">
      <c r="B52" s="142" t="s">
        <v>1701</v>
      </c>
      <c r="C52" s="131">
        <v>208500</v>
      </c>
      <c r="D52" s="131" t="s">
        <v>771</v>
      </c>
      <c r="E52" s="134" t="s">
        <v>362</v>
      </c>
      <c r="F52" s="134" t="s">
        <v>1260</v>
      </c>
      <c r="G52" s="134">
        <v>1070</v>
      </c>
      <c r="H52" s="391">
        <f>G52</f>
        <v>1070</v>
      </c>
      <c r="I52" s="134">
        <v>5600</v>
      </c>
      <c r="J52" s="134">
        <v>264</v>
      </c>
      <c r="K52" s="134">
        <v>2</v>
      </c>
      <c r="L52" s="134">
        <v>0</v>
      </c>
      <c r="M52" s="134">
        <v>180</v>
      </c>
      <c r="N52" s="134"/>
      <c r="O52" s="134">
        <v>2</v>
      </c>
      <c r="P52" s="134"/>
      <c r="Q52" s="134">
        <v>1</v>
      </c>
      <c r="R52" s="134"/>
      <c r="S52" s="134">
        <v>1</v>
      </c>
    </row>
    <row r="53" spans="2:19" x14ac:dyDescent="0.3">
      <c r="B53" s="142" t="s">
        <v>918</v>
      </c>
      <c r="C53" s="131"/>
      <c r="D53" s="131"/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</row>
    <row r="54" spans="2:19" x14ac:dyDescent="0.3">
      <c r="B54" s="142" t="s">
        <v>1709</v>
      </c>
      <c r="C54" s="131">
        <v>182900</v>
      </c>
      <c r="D54" s="131" t="s">
        <v>771</v>
      </c>
      <c r="E54" s="134" t="s">
        <v>771</v>
      </c>
      <c r="F54" s="134" t="s">
        <v>1658</v>
      </c>
      <c r="G54" s="134">
        <v>1236</v>
      </c>
      <c r="H54" s="134">
        <v>1256</v>
      </c>
      <c r="I54" s="134">
        <v>7000</v>
      </c>
      <c r="J54" s="134">
        <v>194</v>
      </c>
      <c r="K54" s="134">
        <v>1</v>
      </c>
      <c r="L54" s="134">
        <v>0</v>
      </c>
      <c r="M54" s="474">
        <v>75</v>
      </c>
      <c r="N54" s="134"/>
      <c r="O54" s="134">
        <v>1</v>
      </c>
      <c r="P54" s="134"/>
      <c r="Q54" s="134">
        <v>1</v>
      </c>
      <c r="R54" s="134"/>
      <c r="S54" s="134">
        <v>1</v>
      </c>
    </row>
    <row r="55" spans="2:19" x14ac:dyDescent="0.3">
      <c r="B55" s="142" t="s">
        <v>1706</v>
      </c>
      <c r="C55" s="131">
        <v>143500</v>
      </c>
      <c r="D55" s="131" t="s">
        <v>771</v>
      </c>
      <c r="E55" s="134" t="s">
        <v>1680</v>
      </c>
      <c r="F55" s="134" t="s">
        <v>1658</v>
      </c>
      <c r="G55" s="134">
        <v>1212</v>
      </c>
      <c r="H55" s="391">
        <f>G55</f>
        <v>1212</v>
      </c>
      <c r="I55" s="134">
        <v>7000</v>
      </c>
      <c r="J55" s="134">
        <v>191</v>
      </c>
      <c r="K55" s="134">
        <v>1</v>
      </c>
      <c r="L55" s="134">
        <v>0</v>
      </c>
      <c r="M55" s="134">
        <v>75</v>
      </c>
      <c r="N55" s="134"/>
      <c r="O55" s="134">
        <v>1</v>
      </c>
      <c r="P55" s="134"/>
      <c r="Q55" s="134">
        <v>1</v>
      </c>
      <c r="R55" s="134"/>
      <c r="S55" s="134">
        <v>1</v>
      </c>
    </row>
    <row r="56" spans="2:19" x14ac:dyDescent="0.3">
      <c r="B56" s="142" t="s">
        <v>1707</v>
      </c>
      <c r="C56" s="131">
        <v>166900</v>
      </c>
      <c r="D56" s="131" t="s">
        <v>771</v>
      </c>
      <c r="E56" s="134" t="s">
        <v>1680</v>
      </c>
      <c r="F56" s="134" t="s">
        <v>1658</v>
      </c>
      <c r="G56" s="134">
        <v>1212</v>
      </c>
      <c r="H56" s="391">
        <f>G56</f>
        <v>1212</v>
      </c>
      <c r="I56" s="134">
        <v>7000</v>
      </c>
      <c r="J56" s="134">
        <v>191</v>
      </c>
      <c r="K56" s="134">
        <v>1</v>
      </c>
      <c r="L56" s="134">
        <v>0</v>
      </c>
      <c r="M56" s="134">
        <v>75</v>
      </c>
      <c r="N56" s="134"/>
      <c r="O56" s="134">
        <v>1</v>
      </c>
      <c r="P56" s="134"/>
      <c r="Q56" s="134">
        <v>1</v>
      </c>
      <c r="R56" s="134"/>
      <c r="S56" s="134">
        <v>1</v>
      </c>
    </row>
    <row r="57" spans="2:19" x14ac:dyDescent="0.3">
      <c r="B57" s="142" t="s">
        <v>1704</v>
      </c>
      <c r="C57" s="131">
        <v>130900</v>
      </c>
      <c r="D57" s="131" t="s">
        <v>771</v>
      </c>
      <c r="E57" s="134" t="s">
        <v>1705</v>
      </c>
      <c r="F57" s="134" t="s">
        <v>1658</v>
      </c>
      <c r="G57" s="134">
        <v>1090</v>
      </c>
      <c r="H57" s="134">
        <v>1220</v>
      </c>
      <c r="I57" s="134">
        <v>7000</v>
      </c>
      <c r="J57" s="134">
        <v>170</v>
      </c>
      <c r="K57" s="134">
        <v>1</v>
      </c>
      <c r="L57" s="134">
        <v>0</v>
      </c>
      <c r="M57" s="134">
        <v>75</v>
      </c>
      <c r="N57" s="134"/>
      <c r="O57" s="134">
        <v>1</v>
      </c>
      <c r="P57" s="134"/>
      <c r="Q57" s="134">
        <v>1</v>
      </c>
      <c r="R57" s="134"/>
      <c r="S57" s="134">
        <v>1</v>
      </c>
    </row>
    <row r="58" spans="2:19" x14ac:dyDescent="0.3">
      <c r="B58" s="142" t="s">
        <v>1722</v>
      </c>
      <c r="C58" s="131">
        <v>139300</v>
      </c>
      <c r="D58" s="131" t="s">
        <v>771</v>
      </c>
      <c r="E58" s="134" t="s">
        <v>362</v>
      </c>
      <c r="F58" s="134" t="s">
        <v>1658</v>
      </c>
      <c r="G58" s="134">
        <v>1090</v>
      </c>
      <c r="H58" s="134">
        <v>1210</v>
      </c>
      <c r="I58" s="134">
        <v>7000</v>
      </c>
      <c r="J58" s="134">
        <v>216</v>
      </c>
      <c r="K58" s="134">
        <v>0</v>
      </c>
      <c r="L58" s="134">
        <v>0</v>
      </c>
      <c r="M58" s="134">
        <v>75</v>
      </c>
      <c r="N58" s="134"/>
      <c r="O58" s="134">
        <v>1</v>
      </c>
      <c r="P58" s="134"/>
      <c r="Q58" s="134">
        <v>1</v>
      </c>
      <c r="R58" s="134"/>
      <c r="S58" s="134">
        <v>1</v>
      </c>
    </row>
    <row r="59" spans="2:19" x14ac:dyDescent="0.3">
      <c r="B59" s="142" t="s">
        <v>3143</v>
      </c>
      <c r="C59" s="131">
        <v>166800</v>
      </c>
      <c r="D59" s="131" t="s">
        <v>771</v>
      </c>
      <c r="E59" s="134" t="s">
        <v>362</v>
      </c>
      <c r="F59" s="134" t="s">
        <v>1658</v>
      </c>
      <c r="G59" s="134">
        <v>1175</v>
      </c>
      <c r="H59" s="134">
        <v>1250</v>
      </c>
      <c r="I59" s="134">
        <v>7000</v>
      </c>
      <c r="J59" s="134">
        <v>221</v>
      </c>
      <c r="K59" s="134">
        <v>1</v>
      </c>
      <c r="L59" s="134">
        <v>0</v>
      </c>
      <c r="M59" s="134">
        <v>75</v>
      </c>
      <c r="N59" s="134"/>
      <c r="O59" s="134">
        <v>1</v>
      </c>
      <c r="P59" s="134"/>
      <c r="Q59" s="134">
        <v>1</v>
      </c>
      <c r="R59" s="134"/>
      <c r="S59" s="134">
        <v>1</v>
      </c>
    </row>
    <row r="60" spans="2:19" x14ac:dyDescent="0.3">
      <c r="B60" s="142" t="s">
        <v>1708</v>
      </c>
      <c r="C60" s="131">
        <v>142800</v>
      </c>
      <c r="D60" s="131" t="s">
        <v>771</v>
      </c>
      <c r="E60" s="134" t="s">
        <v>1703</v>
      </c>
      <c r="F60" s="134" t="s">
        <v>1658</v>
      </c>
      <c r="G60" s="134">
        <v>1220</v>
      </c>
      <c r="H60" s="391">
        <f>G60</f>
        <v>1220</v>
      </c>
      <c r="I60" s="134">
        <v>7000</v>
      </c>
      <c r="J60" s="134">
        <v>238</v>
      </c>
      <c r="K60" s="134">
        <v>1</v>
      </c>
      <c r="L60" s="134">
        <v>0</v>
      </c>
      <c r="M60" s="474">
        <v>75</v>
      </c>
      <c r="N60" s="134"/>
      <c r="O60" s="134">
        <v>1</v>
      </c>
      <c r="P60" s="134"/>
      <c r="Q60" s="134">
        <v>1</v>
      </c>
      <c r="R60" s="134"/>
      <c r="S60" s="134">
        <v>1</v>
      </c>
    </row>
    <row r="61" spans="2:19" x14ac:dyDescent="0.3">
      <c r="B61" s="142" t="s">
        <v>1702</v>
      </c>
      <c r="C61" s="131">
        <v>161300</v>
      </c>
      <c r="D61" s="131" t="s">
        <v>771</v>
      </c>
      <c r="E61" s="134" t="s">
        <v>1703</v>
      </c>
      <c r="F61" s="134" t="s">
        <v>1658</v>
      </c>
      <c r="G61" s="134">
        <v>1220</v>
      </c>
      <c r="H61" s="391">
        <f>G61</f>
        <v>1220</v>
      </c>
      <c r="I61" s="134">
        <v>7000</v>
      </c>
      <c r="J61" s="134">
        <v>238</v>
      </c>
      <c r="K61" s="134">
        <v>1</v>
      </c>
      <c r="L61" s="134">
        <v>0</v>
      </c>
      <c r="M61" s="474">
        <v>75</v>
      </c>
      <c r="N61" s="134"/>
      <c r="O61" s="134">
        <v>1</v>
      </c>
      <c r="P61" s="134"/>
      <c r="Q61" s="134">
        <v>1</v>
      </c>
      <c r="R61" s="134"/>
      <c r="S61" s="134">
        <v>1</v>
      </c>
    </row>
    <row r="62" spans="2:19" x14ac:dyDescent="0.3">
      <c r="B62" s="142" t="s">
        <v>918</v>
      </c>
      <c r="C62" s="131"/>
      <c r="D62" s="131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</row>
    <row r="63" spans="2:19" x14ac:dyDescent="0.3">
      <c r="B63" s="142" t="s">
        <v>1723</v>
      </c>
      <c r="C63" s="131">
        <v>281200</v>
      </c>
      <c r="D63" s="131" t="s">
        <v>771</v>
      </c>
      <c r="E63" s="134" t="s">
        <v>1721</v>
      </c>
      <c r="F63" s="134" t="s">
        <v>1657</v>
      </c>
      <c r="G63" s="134">
        <v>1250</v>
      </c>
      <c r="H63" s="134">
        <v>1270</v>
      </c>
      <c r="I63" s="134">
        <v>6600</v>
      </c>
      <c r="J63" s="134">
        <v>243</v>
      </c>
      <c r="K63" s="134">
        <v>1</v>
      </c>
      <c r="L63" s="134">
        <v>0</v>
      </c>
      <c r="M63" s="134">
        <v>120</v>
      </c>
      <c r="N63" s="134"/>
      <c r="O63" s="134">
        <v>2</v>
      </c>
      <c r="P63" s="134"/>
      <c r="Q63" s="134">
        <v>1</v>
      </c>
      <c r="R63" s="134"/>
      <c r="S63" s="134">
        <v>1</v>
      </c>
    </row>
    <row r="64" spans="2:19" x14ac:dyDescent="0.3">
      <c r="B64" s="142" t="s">
        <v>1712</v>
      </c>
      <c r="C64" s="131">
        <v>254000</v>
      </c>
      <c r="D64" s="131" t="s">
        <v>771</v>
      </c>
      <c r="E64" s="134" t="s">
        <v>1720</v>
      </c>
      <c r="F64" s="134" t="s">
        <v>1657</v>
      </c>
      <c r="G64" s="134">
        <v>1230</v>
      </c>
      <c r="H64" s="391">
        <f>G64</f>
        <v>1230</v>
      </c>
      <c r="I64" s="134">
        <v>6600</v>
      </c>
      <c r="J64" s="134">
        <v>232</v>
      </c>
      <c r="K64" s="134">
        <v>0</v>
      </c>
      <c r="L64" s="134">
        <v>1</v>
      </c>
      <c r="M64" s="474">
        <v>120</v>
      </c>
      <c r="N64" s="134"/>
      <c r="O64" s="134">
        <v>1</v>
      </c>
      <c r="P64" s="134"/>
      <c r="Q64" s="134">
        <v>1</v>
      </c>
      <c r="R64" s="134"/>
      <c r="S64" s="134">
        <v>3</v>
      </c>
    </row>
    <row r="65" spans="2:19" x14ac:dyDescent="0.3">
      <c r="B65" s="142" t="s">
        <v>1710</v>
      </c>
      <c r="C65" s="131">
        <v>256000</v>
      </c>
      <c r="D65" s="131" t="s">
        <v>771</v>
      </c>
      <c r="E65" s="134" t="s">
        <v>1719</v>
      </c>
      <c r="F65" s="134" t="s">
        <v>1657</v>
      </c>
      <c r="G65" s="134">
        <v>926</v>
      </c>
      <c r="H65" s="134">
        <v>1256</v>
      </c>
      <c r="I65" s="134">
        <v>7000</v>
      </c>
      <c r="J65" s="134">
        <v>240</v>
      </c>
      <c r="K65" s="134">
        <v>1</v>
      </c>
      <c r="L65" s="134">
        <v>0</v>
      </c>
      <c r="M65" s="134">
        <v>120</v>
      </c>
      <c r="N65" s="134"/>
      <c r="O65" s="134">
        <v>1</v>
      </c>
      <c r="P65" s="134"/>
      <c r="Q65" s="134">
        <v>1</v>
      </c>
      <c r="R65" s="134"/>
      <c r="S65" s="134">
        <v>3</v>
      </c>
    </row>
    <row r="66" spans="2:19" x14ac:dyDescent="0.3">
      <c r="B66" s="142" t="s">
        <v>1714</v>
      </c>
      <c r="C66" s="131">
        <v>262200</v>
      </c>
      <c r="D66" s="131" t="s">
        <v>771</v>
      </c>
      <c r="E66" s="134" t="s">
        <v>1718</v>
      </c>
      <c r="F66" s="134" t="s">
        <v>1657</v>
      </c>
      <c r="G66" s="134">
        <v>1206</v>
      </c>
      <c r="H66" s="134">
        <v>1254</v>
      </c>
      <c r="I66" s="134">
        <v>6700</v>
      </c>
      <c r="J66" s="134">
        <v>276</v>
      </c>
      <c r="K66" s="134">
        <v>0</v>
      </c>
      <c r="L66" s="134">
        <v>1</v>
      </c>
      <c r="M66" s="134">
        <v>110</v>
      </c>
      <c r="N66" s="134"/>
      <c r="O66" s="134">
        <v>1</v>
      </c>
      <c r="P66" s="134"/>
      <c r="Q66" s="134">
        <v>2</v>
      </c>
      <c r="R66" s="134"/>
      <c r="S66" s="134">
        <v>2</v>
      </c>
    </row>
    <row r="67" spans="2:19" x14ac:dyDescent="0.3">
      <c r="B67" s="142" t="s">
        <v>1711</v>
      </c>
      <c r="C67" s="131">
        <v>295900</v>
      </c>
      <c r="D67" s="131" t="s">
        <v>771</v>
      </c>
      <c r="E67" s="134" t="s">
        <v>1718</v>
      </c>
      <c r="F67" s="134" t="s">
        <v>1657</v>
      </c>
      <c r="G67" s="134">
        <v>1206</v>
      </c>
      <c r="H67" s="134">
        <v>1254</v>
      </c>
      <c r="I67" s="134">
        <v>6700</v>
      </c>
      <c r="J67" s="134">
        <v>276</v>
      </c>
      <c r="K67" s="134">
        <v>0</v>
      </c>
      <c r="L67" s="134">
        <v>1</v>
      </c>
      <c r="M67" s="134">
        <v>110</v>
      </c>
      <c r="N67" s="134"/>
      <c r="O67" s="134">
        <v>1</v>
      </c>
      <c r="P67" s="134"/>
      <c r="Q67" s="134">
        <v>2</v>
      </c>
      <c r="R67" s="134"/>
      <c r="S67" s="134">
        <v>2</v>
      </c>
    </row>
    <row r="68" spans="2:19" x14ac:dyDescent="0.3">
      <c r="B68" s="142" t="s">
        <v>1713</v>
      </c>
      <c r="C68" s="131">
        <v>240000</v>
      </c>
      <c r="D68" s="131" t="s">
        <v>771</v>
      </c>
      <c r="E68" s="134" t="s">
        <v>362</v>
      </c>
      <c r="F68" s="134" t="s">
        <v>1657</v>
      </c>
      <c r="G68" s="134">
        <v>932</v>
      </c>
      <c r="H68" s="134">
        <v>1216</v>
      </c>
      <c r="I68" s="134">
        <v>7000</v>
      </c>
      <c r="J68" s="134">
        <v>242.5</v>
      </c>
      <c r="K68" s="134">
        <v>1</v>
      </c>
      <c r="L68" s="134">
        <v>0</v>
      </c>
      <c r="M68" s="474">
        <v>120</v>
      </c>
      <c r="N68" s="134"/>
      <c r="O68" s="134"/>
      <c r="P68" s="134"/>
      <c r="Q68" s="134">
        <v>1</v>
      </c>
      <c r="R68" s="134"/>
      <c r="S68" s="134">
        <v>3</v>
      </c>
    </row>
    <row r="69" spans="2:19" x14ac:dyDescent="0.3">
      <c r="B69" s="142" t="s">
        <v>3142</v>
      </c>
      <c r="C69" s="131">
        <v>259100</v>
      </c>
      <c r="D69" s="131" t="s">
        <v>771</v>
      </c>
      <c r="E69" s="134" t="s">
        <v>362</v>
      </c>
      <c r="F69" s="134" t="s">
        <v>1657</v>
      </c>
      <c r="G69" s="134">
        <v>1143</v>
      </c>
      <c r="H69" s="134">
        <v>1260</v>
      </c>
      <c r="I69" s="134">
        <v>7000</v>
      </c>
      <c r="J69" s="134">
        <v>240</v>
      </c>
      <c r="K69" s="134">
        <v>0</v>
      </c>
      <c r="L69" s="134">
        <v>1</v>
      </c>
      <c r="M69" s="474">
        <v>120</v>
      </c>
      <c r="N69" s="134"/>
      <c r="O69" s="134">
        <v>1</v>
      </c>
      <c r="P69" s="134"/>
      <c r="Q69" s="134">
        <v>2</v>
      </c>
      <c r="R69" s="134"/>
      <c r="S69" s="134">
        <v>2</v>
      </c>
    </row>
    <row r="70" spans="2:19" x14ac:dyDescent="0.3">
      <c r="B70" s="142" t="s">
        <v>1716</v>
      </c>
      <c r="C70" s="131">
        <v>256000</v>
      </c>
      <c r="D70" s="131" t="s">
        <v>771</v>
      </c>
      <c r="E70" s="134" t="s">
        <v>1717</v>
      </c>
      <c r="F70" s="134" t="s">
        <v>1657</v>
      </c>
      <c r="G70" s="134">
        <v>1226</v>
      </c>
      <c r="H70" s="391">
        <f>G70</f>
        <v>1226</v>
      </c>
      <c r="I70" s="134">
        <v>7000</v>
      </c>
      <c r="J70" s="134">
        <v>240</v>
      </c>
      <c r="K70" s="134">
        <v>1</v>
      </c>
      <c r="L70" s="134">
        <v>0</v>
      </c>
      <c r="M70" s="474">
        <v>120</v>
      </c>
      <c r="N70" s="134"/>
      <c r="O70" s="134">
        <v>1</v>
      </c>
      <c r="P70" s="134"/>
      <c r="Q70" s="134">
        <v>1</v>
      </c>
      <c r="R70" s="134"/>
      <c r="S70" s="134">
        <v>3</v>
      </c>
    </row>
    <row r="71" spans="2:19" x14ac:dyDescent="0.3">
      <c r="B71" s="142" t="s">
        <v>1715</v>
      </c>
      <c r="C71" s="131">
        <v>262900</v>
      </c>
      <c r="D71" s="131" t="s">
        <v>771</v>
      </c>
      <c r="E71" s="134" t="s">
        <v>1717</v>
      </c>
      <c r="F71" s="134" t="s">
        <v>1657</v>
      </c>
      <c r="G71" s="134">
        <v>1256</v>
      </c>
      <c r="H71" s="391">
        <f>G71</f>
        <v>1256</v>
      </c>
      <c r="I71" s="134">
        <v>7000</v>
      </c>
      <c r="J71" s="134">
        <v>240</v>
      </c>
      <c r="K71" s="134">
        <v>1</v>
      </c>
      <c r="L71" s="134">
        <v>0</v>
      </c>
      <c r="M71" s="474">
        <v>120</v>
      </c>
      <c r="N71" s="134"/>
      <c r="O71" s="134">
        <v>1</v>
      </c>
      <c r="P71" s="134"/>
      <c r="Q71" s="134">
        <v>1</v>
      </c>
      <c r="R71" s="134"/>
      <c r="S71" s="134">
        <v>3</v>
      </c>
    </row>
    <row r="72" spans="2:19" x14ac:dyDescent="0.3">
      <c r="B72" s="142" t="s">
        <v>918</v>
      </c>
      <c r="C72" s="131"/>
      <c r="D72" s="131"/>
      <c r="E72" s="134"/>
      <c r="F72" s="134"/>
      <c r="G72" s="134"/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34"/>
      <c r="S72" s="134"/>
    </row>
    <row r="73" spans="2:19" x14ac:dyDescent="0.3">
      <c r="B73" s="260" t="s">
        <v>364</v>
      </c>
      <c r="C73" s="131"/>
      <c r="D73" s="131"/>
      <c r="E73" s="134"/>
      <c r="F73" s="134"/>
      <c r="G73" s="134"/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</row>
    <row r="74" spans="2:19" x14ac:dyDescent="0.3">
      <c r="B74" s="142" t="s">
        <v>1730</v>
      </c>
      <c r="C74" s="131">
        <v>344700</v>
      </c>
      <c r="D74" s="131" t="s">
        <v>887</v>
      </c>
      <c r="E74" s="134" t="s">
        <v>42</v>
      </c>
      <c r="F74" s="134" t="s">
        <v>1261</v>
      </c>
      <c r="G74" s="134">
        <v>1088</v>
      </c>
      <c r="H74" s="134">
        <v>1228</v>
      </c>
      <c r="I74" s="134">
        <v>7010</v>
      </c>
      <c r="J74" s="134">
        <v>170</v>
      </c>
      <c r="K74" s="134">
        <v>0</v>
      </c>
      <c r="L74" s="134">
        <v>1</v>
      </c>
      <c r="M74" s="134">
        <v>148</v>
      </c>
      <c r="N74" s="134"/>
      <c r="O74" s="134">
        <v>2</v>
      </c>
      <c r="P74" s="134"/>
      <c r="Q74" s="134">
        <v>1</v>
      </c>
      <c r="R74" s="134"/>
      <c r="S74" s="134">
        <v>1</v>
      </c>
    </row>
    <row r="75" spans="2:19" x14ac:dyDescent="0.3">
      <c r="B75" s="142" t="s">
        <v>1725</v>
      </c>
      <c r="C75" s="131">
        <v>327500</v>
      </c>
      <c r="D75" s="131" t="s">
        <v>887</v>
      </c>
      <c r="E75" s="134" t="s">
        <v>42</v>
      </c>
      <c r="F75" s="134" t="s">
        <v>1261</v>
      </c>
      <c r="G75" s="134">
        <v>1114</v>
      </c>
      <c r="H75" s="134">
        <v>1253</v>
      </c>
      <c r="I75" s="134">
        <v>7010</v>
      </c>
      <c r="J75" s="134">
        <v>290</v>
      </c>
      <c r="K75" s="134">
        <v>0</v>
      </c>
      <c r="L75" s="134">
        <v>1</v>
      </c>
      <c r="M75" s="474">
        <v>150</v>
      </c>
      <c r="N75" s="134"/>
      <c r="O75" s="134">
        <v>2</v>
      </c>
      <c r="P75" s="134"/>
      <c r="Q75" s="134">
        <v>1</v>
      </c>
      <c r="R75" s="134"/>
      <c r="S75" s="134">
        <v>1</v>
      </c>
    </row>
    <row r="76" spans="2:19" x14ac:dyDescent="0.3">
      <c r="B76" s="142" t="s">
        <v>1724</v>
      </c>
      <c r="C76" s="131">
        <v>384400</v>
      </c>
      <c r="D76" s="131" t="s">
        <v>887</v>
      </c>
      <c r="E76" s="134" t="s">
        <v>1680</v>
      </c>
      <c r="F76" s="134" t="s">
        <v>1261</v>
      </c>
      <c r="G76" s="134">
        <v>1190</v>
      </c>
      <c r="H76" s="134">
        <v>1342</v>
      </c>
      <c r="I76" s="134">
        <v>7100</v>
      </c>
      <c r="J76" s="134">
        <v>280</v>
      </c>
      <c r="K76" s="134">
        <v>0</v>
      </c>
      <c r="L76" s="134">
        <v>2</v>
      </c>
      <c r="M76" s="474">
        <v>150</v>
      </c>
      <c r="N76" s="134"/>
      <c r="O76" s="134">
        <v>1</v>
      </c>
      <c r="P76" s="134"/>
      <c r="Q76" s="134">
        <v>1</v>
      </c>
      <c r="R76" s="134"/>
      <c r="S76" s="134">
        <v>3</v>
      </c>
    </row>
    <row r="77" spans="2:19" x14ac:dyDescent="0.3">
      <c r="B77" s="142" t="s">
        <v>3140</v>
      </c>
      <c r="C77" s="131">
        <v>289000</v>
      </c>
      <c r="D77" s="131" t="s">
        <v>887</v>
      </c>
      <c r="E77" s="134" t="s">
        <v>357</v>
      </c>
      <c r="F77" s="134" t="s">
        <v>1261</v>
      </c>
      <c r="G77" s="134">
        <v>1088</v>
      </c>
      <c r="H77" s="134">
        <v>1228</v>
      </c>
      <c r="I77" s="134">
        <v>7010</v>
      </c>
      <c r="J77" s="134">
        <v>213</v>
      </c>
      <c r="K77" s="134">
        <v>2</v>
      </c>
      <c r="L77" s="134">
        <v>0</v>
      </c>
      <c r="M77" s="134">
        <v>150</v>
      </c>
      <c r="N77" s="134"/>
      <c r="O77" s="134">
        <v>2</v>
      </c>
      <c r="P77" s="134"/>
      <c r="Q77" s="134">
        <v>1</v>
      </c>
      <c r="R77" s="134"/>
      <c r="S77" s="134">
        <v>1</v>
      </c>
    </row>
    <row r="78" spans="2:19" x14ac:dyDescent="0.3">
      <c r="B78" s="142" t="s">
        <v>1727</v>
      </c>
      <c r="C78" s="131">
        <v>307800</v>
      </c>
      <c r="D78" s="131" t="s">
        <v>887</v>
      </c>
      <c r="E78" s="134" t="s">
        <v>360</v>
      </c>
      <c r="F78" s="134" t="s">
        <v>1261</v>
      </c>
      <c r="G78" s="134">
        <v>1126</v>
      </c>
      <c r="H78" s="134">
        <v>1266</v>
      </c>
      <c r="I78" s="134">
        <v>7010</v>
      </c>
      <c r="J78" s="134">
        <v>178</v>
      </c>
      <c r="K78" s="134">
        <v>2</v>
      </c>
      <c r="L78" s="134">
        <v>0</v>
      </c>
      <c r="M78" s="134">
        <v>150</v>
      </c>
      <c r="N78" s="134"/>
      <c r="O78" s="134">
        <v>2</v>
      </c>
      <c r="P78" s="134"/>
      <c r="Q78" s="134">
        <v>1</v>
      </c>
      <c r="R78" s="134"/>
      <c r="S78" s="134">
        <v>1</v>
      </c>
    </row>
    <row r="79" spans="2:19" x14ac:dyDescent="0.3">
      <c r="B79" s="142" t="s">
        <v>1728</v>
      </c>
      <c r="C79" s="131">
        <v>313100</v>
      </c>
      <c r="D79" s="131" t="s">
        <v>887</v>
      </c>
      <c r="E79" s="134" t="s">
        <v>360</v>
      </c>
      <c r="F79" s="134" t="s">
        <v>1261</v>
      </c>
      <c r="G79" s="134">
        <v>1164</v>
      </c>
      <c r="H79" s="134">
        <v>1317</v>
      </c>
      <c r="I79" s="134">
        <v>7010</v>
      </c>
      <c r="J79" s="134">
        <v>258</v>
      </c>
      <c r="K79" s="134">
        <v>1</v>
      </c>
      <c r="L79" s="134">
        <v>1</v>
      </c>
      <c r="M79" s="134">
        <v>145</v>
      </c>
      <c r="N79" s="134"/>
      <c r="O79" s="134">
        <v>2</v>
      </c>
      <c r="P79" s="134"/>
      <c r="Q79" s="134">
        <v>1</v>
      </c>
      <c r="R79" s="134"/>
      <c r="S79" s="134">
        <v>1</v>
      </c>
    </row>
    <row r="80" spans="2:19" x14ac:dyDescent="0.3">
      <c r="B80" s="142" t="s">
        <v>1726</v>
      </c>
      <c r="C80" s="131">
        <v>325200</v>
      </c>
      <c r="D80" s="131" t="s">
        <v>887</v>
      </c>
      <c r="E80" s="134" t="s">
        <v>360</v>
      </c>
      <c r="F80" s="134" t="s">
        <v>1261</v>
      </c>
      <c r="G80" s="134">
        <v>1178</v>
      </c>
      <c r="H80" s="134">
        <v>1329</v>
      </c>
      <c r="I80" s="134">
        <v>7000</v>
      </c>
      <c r="J80" s="134">
        <v>257</v>
      </c>
      <c r="K80" s="134">
        <v>1</v>
      </c>
      <c r="L80" s="134">
        <v>1</v>
      </c>
      <c r="M80" s="134">
        <v>145</v>
      </c>
      <c r="N80" s="134"/>
      <c r="O80" s="134">
        <v>2</v>
      </c>
      <c r="P80" s="134"/>
      <c r="Q80" s="134">
        <v>1</v>
      </c>
      <c r="R80" s="134"/>
      <c r="S80" s="134">
        <v>1</v>
      </c>
    </row>
    <row r="81" spans="2:19" x14ac:dyDescent="0.3">
      <c r="B81" s="142" t="s">
        <v>1729</v>
      </c>
      <c r="C81" s="131">
        <v>486970</v>
      </c>
      <c r="D81" s="131" t="s">
        <v>887</v>
      </c>
      <c r="E81" s="134" t="s">
        <v>360</v>
      </c>
      <c r="F81" s="134" t="s">
        <v>1261</v>
      </c>
      <c r="G81" s="134">
        <v>1228</v>
      </c>
      <c r="H81" s="134">
        <v>1380</v>
      </c>
      <c r="I81" s="134">
        <v>7010</v>
      </c>
      <c r="J81" s="134">
        <v>294</v>
      </c>
      <c r="K81" s="134">
        <v>0</v>
      </c>
      <c r="L81" s="134">
        <v>2</v>
      </c>
      <c r="M81" s="134">
        <v>145</v>
      </c>
      <c r="N81" s="134"/>
      <c r="O81" s="134">
        <v>1</v>
      </c>
      <c r="P81" s="134"/>
      <c r="Q81" s="134">
        <v>1</v>
      </c>
      <c r="R81" s="134"/>
      <c r="S81" s="134">
        <v>3</v>
      </c>
    </row>
    <row r="82" spans="2:19" x14ac:dyDescent="0.3">
      <c r="B82" s="142" t="s">
        <v>1731</v>
      </c>
      <c r="C82" s="131">
        <v>337200</v>
      </c>
      <c r="D82" s="131" t="s">
        <v>887</v>
      </c>
      <c r="E82" s="134" t="s">
        <v>361</v>
      </c>
      <c r="F82" s="134" t="s">
        <v>1261</v>
      </c>
      <c r="G82" s="134">
        <v>1126</v>
      </c>
      <c r="H82" s="134">
        <v>1266</v>
      </c>
      <c r="I82" s="134">
        <v>7010</v>
      </c>
      <c r="J82" s="134">
        <v>253</v>
      </c>
      <c r="K82" s="134">
        <v>1</v>
      </c>
      <c r="L82" s="134">
        <v>1</v>
      </c>
      <c r="M82" s="134">
        <v>150</v>
      </c>
      <c r="N82" s="134"/>
      <c r="O82" s="134">
        <v>2</v>
      </c>
      <c r="P82" s="134"/>
      <c r="Q82" s="134">
        <v>1</v>
      </c>
      <c r="R82" s="134"/>
      <c r="S82" s="134">
        <v>1</v>
      </c>
    </row>
    <row r="83" spans="2:19" x14ac:dyDescent="0.3">
      <c r="B83" s="142" t="s">
        <v>918</v>
      </c>
      <c r="C83" s="131"/>
      <c r="D83" s="131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</row>
    <row r="84" spans="2:19" x14ac:dyDescent="0.3">
      <c r="B84" s="142" t="s">
        <v>1779</v>
      </c>
      <c r="C84" s="131">
        <v>291600</v>
      </c>
      <c r="D84" s="131" t="s">
        <v>887</v>
      </c>
      <c r="E84" s="134" t="s">
        <v>1772</v>
      </c>
      <c r="F84" s="134" t="s">
        <v>1661</v>
      </c>
      <c r="G84" s="134">
        <v>1569</v>
      </c>
      <c r="H84" s="134">
        <v>1784</v>
      </c>
      <c r="I84" s="134">
        <v>8008</v>
      </c>
      <c r="J84" s="134">
        <v>242</v>
      </c>
      <c r="K84" s="134">
        <v>1</v>
      </c>
      <c r="L84" s="134">
        <v>0</v>
      </c>
      <c r="M84" s="134">
        <v>120</v>
      </c>
      <c r="N84" s="134"/>
      <c r="O84" s="134">
        <v>1</v>
      </c>
      <c r="P84" s="134"/>
      <c r="Q84" s="134">
        <v>1</v>
      </c>
      <c r="R84" s="134"/>
      <c r="S84" s="134">
        <v>3</v>
      </c>
    </row>
    <row r="85" spans="2:19" x14ac:dyDescent="0.3">
      <c r="B85" s="142" t="s">
        <v>1766</v>
      </c>
      <c r="C85" s="131">
        <v>261900</v>
      </c>
      <c r="D85" s="131" t="s">
        <v>887</v>
      </c>
      <c r="E85" s="134" t="s">
        <v>1679</v>
      </c>
      <c r="F85" s="134" t="s">
        <v>1661</v>
      </c>
      <c r="G85" s="134">
        <v>1506</v>
      </c>
      <c r="H85" s="134">
        <v>1708</v>
      </c>
      <c r="I85" s="134">
        <v>8008</v>
      </c>
      <c r="J85" s="134">
        <v>260</v>
      </c>
      <c r="K85" s="134">
        <v>1</v>
      </c>
      <c r="L85" s="134">
        <v>0</v>
      </c>
      <c r="M85" s="134">
        <v>120</v>
      </c>
      <c r="N85" s="134"/>
      <c r="O85" s="134">
        <v>1</v>
      </c>
      <c r="P85" s="134"/>
      <c r="Q85" s="134">
        <v>1</v>
      </c>
      <c r="R85" s="134"/>
      <c r="S85" s="134">
        <v>3</v>
      </c>
    </row>
    <row r="86" spans="2:19" x14ac:dyDescent="0.3">
      <c r="B86" s="142" t="s">
        <v>1775</v>
      </c>
      <c r="C86" s="131">
        <v>264600</v>
      </c>
      <c r="D86" s="131" t="s">
        <v>887</v>
      </c>
      <c r="E86" s="134" t="s">
        <v>1679</v>
      </c>
      <c r="F86" s="134" t="s">
        <v>1661</v>
      </c>
      <c r="G86" s="134">
        <v>1506</v>
      </c>
      <c r="H86" s="134">
        <v>1708</v>
      </c>
      <c r="I86" s="134">
        <v>8008</v>
      </c>
      <c r="J86" s="134">
        <v>240</v>
      </c>
      <c r="K86" s="134">
        <v>1</v>
      </c>
      <c r="L86" s="134">
        <v>0</v>
      </c>
      <c r="M86" s="134">
        <v>120</v>
      </c>
      <c r="N86" s="134"/>
      <c r="O86" s="134">
        <v>1</v>
      </c>
      <c r="P86" s="134"/>
      <c r="Q86" s="134">
        <v>1</v>
      </c>
      <c r="R86" s="134"/>
      <c r="S86" s="134">
        <v>3</v>
      </c>
    </row>
    <row r="87" spans="2:19" x14ac:dyDescent="0.3">
      <c r="B87" s="142" t="s">
        <v>1768</v>
      </c>
      <c r="C87" s="131">
        <v>273800</v>
      </c>
      <c r="D87" s="131" t="s">
        <v>887</v>
      </c>
      <c r="E87" s="134" t="s">
        <v>1679</v>
      </c>
      <c r="F87" s="134" t="s">
        <v>1661</v>
      </c>
      <c r="G87" s="134">
        <v>1594</v>
      </c>
      <c r="H87" s="134">
        <v>1809</v>
      </c>
      <c r="I87" s="134">
        <v>8008</v>
      </c>
      <c r="J87" s="134">
        <v>300</v>
      </c>
      <c r="K87" s="134">
        <v>2</v>
      </c>
      <c r="L87" s="134">
        <v>0</v>
      </c>
      <c r="M87" s="134">
        <v>120</v>
      </c>
      <c r="N87" s="134"/>
      <c r="O87" s="134">
        <v>1</v>
      </c>
      <c r="P87" s="134"/>
      <c r="Q87" s="134">
        <v>1</v>
      </c>
      <c r="R87" s="134"/>
      <c r="S87" s="134">
        <v>3</v>
      </c>
    </row>
    <row r="88" spans="2:19" x14ac:dyDescent="0.3">
      <c r="B88" s="142" t="s">
        <v>1758</v>
      </c>
      <c r="C88" s="131">
        <v>261000</v>
      </c>
      <c r="D88" s="131" t="s">
        <v>887</v>
      </c>
      <c r="E88" s="134" t="s">
        <v>1720</v>
      </c>
      <c r="F88" s="134" t="s">
        <v>1661</v>
      </c>
      <c r="G88" s="134">
        <v>1531</v>
      </c>
      <c r="H88" s="134">
        <v>1746</v>
      </c>
      <c r="I88" s="134">
        <v>8008</v>
      </c>
      <c r="J88" s="134">
        <v>170</v>
      </c>
      <c r="K88" s="134">
        <v>1</v>
      </c>
      <c r="L88" s="134">
        <v>0</v>
      </c>
      <c r="M88" s="134">
        <v>140</v>
      </c>
      <c r="N88" s="134"/>
      <c r="O88" s="134">
        <v>2</v>
      </c>
      <c r="P88" s="134"/>
      <c r="Q88" s="134">
        <v>1</v>
      </c>
      <c r="R88" s="134"/>
      <c r="S88" s="134">
        <v>1</v>
      </c>
    </row>
    <row r="89" spans="2:19" x14ac:dyDescent="0.3">
      <c r="B89" s="142" t="s">
        <v>3138</v>
      </c>
      <c r="C89" s="131">
        <v>269200</v>
      </c>
      <c r="D89" s="131" t="s">
        <v>887</v>
      </c>
      <c r="E89" s="134" t="s">
        <v>1720</v>
      </c>
      <c r="F89" s="134" t="s">
        <v>1661</v>
      </c>
      <c r="G89" s="134">
        <v>1556</v>
      </c>
      <c r="H89" s="134">
        <v>1771</v>
      </c>
      <c r="I89" s="134">
        <v>8008</v>
      </c>
      <c r="J89" s="134">
        <v>223</v>
      </c>
      <c r="K89" s="134">
        <v>1</v>
      </c>
      <c r="L89" s="134">
        <v>0</v>
      </c>
      <c r="M89" s="134">
        <v>147</v>
      </c>
      <c r="N89" s="134"/>
      <c r="O89" s="134">
        <v>2</v>
      </c>
      <c r="P89" s="134"/>
      <c r="Q89" s="134">
        <v>1</v>
      </c>
      <c r="R89" s="134"/>
      <c r="S89" s="134">
        <v>1</v>
      </c>
    </row>
    <row r="90" spans="2:19" x14ac:dyDescent="0.3">
      <c r="B90" s="142" t="s">
        <v>1767</v>
      </c>
      <c r="C90" s="131">
        <v>292600</v>
      </c>
      <c r="D90" s="131" t="s">
        <v>887</v>
      </c>
      <c r="E90" s="134" t="s">
        <v>1720</v>
      </c>
      <c r="F90" s="134" t="s">
        <v>1661</v>
      </c>
      <c r="G90" s="134">
        <v>1594</v>
      </c>
      <c r="H90" s="134">
        <v>1809</v>
      </c>
      <c r="I90" s="134">
        <v>8008</v>
      </c>
      <c r="J90" s="134">
        <v>278</v>
      </c>
      <c r="K90" s="134">
        <v>1</v>
      </c>
      <c r="L90" s="134">
        <v>0</v>
      </c>
      <c r="M90" s="474">
        <v>140</v>
      </c>
      <c r="N90" s="134"/>
      <c r="O90" s="134">
        <v>1</v>
      </c>
      <c r="P90" s="134"/>
      <c r="Q90" s="134">
        <v>1</v>
      </c>
      <c r="R90" s="134"/>
      <c r="S90" s="134">
        <v>3</v>
      </c>
    </row>
    <row r="91" spans="2:19" x14ac:dyDescent="0.3">
      <c r="B91" s="142" t="s">
        <v>1755</v>
      </c>
      <c r="C91" s="131">
        <v>297500</v>
      </c>
      <c r="D91" s="131" t="s">
        <v>887</v>
      </c>
      <c r="E91" s="134" t="s">
        <v>1371</v>
      </c>
      <c r="F91" s="134" t="s">
        <v>1661</v>
      </c>
      <c r="G91" s="134">
        <v>1594</v>
      </c>
      <c r="H91" s="134">
        <v>1809</v>
      </c>
      <c r="I91" s="134">
        <v>8100</v>
      </c>
      <c r="J91" s="134">
        <v>277</v>
      </c>
      <c r="K91" s="134">
        <v>0</v>
      </c>
      <c r="L91" s="134">
        <v>1</v>
      </c>
      <c r="M91" s="134">
        <v>120</v>
      </c>
      <c r="N91" s="134"/>
      <c r="O91" s="134">
        <v>1</v>
      </c>
      <c r="P91" s="134"/>
      <c r="Q91" s="134">
        <v>1</v>
      </c>
      <c r="R91" s="134"/>
      <c r="S91" s="134">
        <v>3</v>
      </c>
    </row>
    <row r="92" spans="2:19" x14ac:dyDescent="0.3">
      <c r="B92" s="142" t="s">
        <v>1734</v>
      </c>
      <c r="C92" s="131">
        <v>251300</v>
      </c>
      <c r="D92" s="131" t="s">
        <v>887</v>
      </c>
      <c r="E92" s="134" t="s">
        <v>1735</v>
      </c>
      <c r="F92" s="134" t="s">
        <v>1661</v>
      </c>
      <c r="G92" s="134">
        <v>1506</v>
      </c>
      <c r="H92" s="134">
        <v>1708</v>
      </c>
      <c r="I92" s="134">
        <v>8000</v>
      </c>
      <c r="J92" s="134">
        <v>174</v>
      </c>
      <c r="K92" s="134">
        <v>1</v>
      </c>
      <c r="L92" s="134">
        <v>0</v>
      </c>
      <c r="M92" s="134">
        <v>120</v>
      </c>
      <c r="N92" s="134"/>
      <c r="O92" s="134">
        <v>1</v>
      </c>
      <c r="P92" s="134"/>
      <c r="Q92" s="134">
        <v>1</v>
      </c>
      <c r="R92" s="134"/>
      <c r="S92" s="134">
        <v>3</v>
      </c>
    </row>
    <row r="93" spans="2:19" x14ac:dyDescent="0.3">
      <c r="B93" s="142" t="s">
        <v>1754</v>
      </c>
      <c r="C93" s="131">
        <v>256200</v>
      </c>
      <c r="D93" s="131" t="s">
        <v>887</v>
      </c>
      <c r="E93" s="134" t="s">
        <v>1751</v>
      </c>
      <c r="F93" s="134" t="s">
        <v>1661</v>
      </c>
      <c r="G93" s="134">
        <v>1518</v>
      </c>
      <c r="H93" s="134">
        <v>1733</v>
      </c>
      <c r="I93" s="134">
        <v>8008</v>
      </c>
      <c r="J93" s="134">
        <v>214</v>
      </c>
      <c r="K93" s="134">
        <v>1</v>
      </c>
      <c r="L93" s="134">
        <v>0</v>
      </c>
      <c r="M93" s="134">
        <v>120</v>
      </c>
      <c r="N93" s="134"/>
      <c r="O93" s="134">
        <v>1</v>
      </c>
      <c r="P93" s="134"/>
      <c r="Q93" s="134">
        <v>1</v>
      </c>
      <c r="R93" s="134"/>
      <c r="S93" s="134">
        <v>1</v>
      </c>
    </row>
    <row r="94" spans="2:19" x14ac:dyDescent="0.3">
      <c r="B94" s="142" t="s">
        <v>1750</v>
      </c>
      <c r="C94" s="131">
        <v>266300</v>
      </c>
      <c r="D94" s="131" t="s">
        <v>887</v>
      </c>
      <c r="E94" s="134" t="s">
        <v>1751</v>
      </c>
      <c r="F94" s="134" t="s">
        <v>1661</v>
      </c>
      <c r="G94" s="134">
        <v>1544</v>
      </c>
      <c r="H94" s="134">
        <v>1759</v>
      </c>
      <c r="I94" s="134">
        <v>8008</v>
      </c>
      <c r="J94" s="134">
        <v>254</v>
      </c>
      <c r="K94" s="134">
        <v>1</v>
      </c>
      <c r="L94" s="134">
        <v>0</v>
      </c>
      <c r="M94" s="134">
        <v>120</v>
      </c>
      <c r="N94" s="134"/>
      <c r="O94" s="134">
        <v>2</v>
      </c>
      <c r="P94" s="134"/>
      <c r="Q94" s="134">
        <v>1</v>
      </c>
      <c r="R94" s="134"/>
      <c r="S94" s="134">
        <v>1</v>
      </c>
    </row>
    <row r="95" spans="2:19" x14ac:dyDescent="0.3">
      <c r="B95" s="142" t="s">
        <v>1753</v>
      </c>
      <c r="C95" s="131">
        <v>281100</v>
      </c>
      <c r="D95" s="131" t="s">
        <v>887</v>
      </c>
      <c r="E95" s="134" t="s">
        <v>1751</v>
      </c>
      <c r="F95" s="134" t="s">
        <v>1661</v>
      </c>
      <c r="G95" s="134">
        <v>1556</v>
      </c>
      <c r="H95" s="134">
        <v>1771</v>
      </c>
      <c r="I95" s="134">
        <v>8008</v>
      </c>
      <c r="J95" s="134">
        <v>254</v>
      </c>
      <c r="K95" s="134">
        <v>1</v>
      </c>
      <c r="L95" s="134">
        <v>0</v>
      </c>
      <c r="M95" s="134">
        <v>120</v>
      </c>
      <c r="N95" s="134"/>
      <c r="O95" s="134">
        <v>2</v>
      </c>
      <c r="P95" s="134"/>
      <c r="Q95" s="134">
        <v>1</v>
      </c>
      <c r="R95" s="134"/>
      <c r="S95" s="134">
        <v>1</v>
      </c>
    </row>
    <row r="96" spans="2:19" x14ac:dyDescent="0.3">
      <c r="B96" s="142" t="s">
        <v>1732</v>
      </c>
      <c r="C96" s="131">
        <v>261300</v>
      </c>
      <c r="D96" s="131" t="s">
        <v>887</v>
      </c>
      <c r="E96" s="134" t="s">
        <v>361</v>
      </c>
      <c r="F96" s="134" t="s">
        <v>1660</v>
      </c>
      <c r="G96" s="134">
        <v>1506</v>
      </c>
      <c r="H96" s="134">
        <v>1708</v>
      </c>
      <c r="I96" s="134">
        <v>8000</v>
      </c>
      <c r="J96" s="134">
        <v>252</v>
      </c>
      <c r="K96" s="134">
        <v>1</v>
      </c>
      <c r="L96" s="134">
        <v>0</v>
      </c>
      <c r="M96" s="134">
        <v>120</v>
      </c>
      <c r="N96" s="134"/>
      <c r="O96" s="134">
        <v>1</v>
      </c>
      <c r="P96" s="134"/>
      <c r="Q96" s="134">
        <v>1</v>
      </c>
      <c r="R96" s="134"/>
      <c r="S96" s="134">
        <v>3</v>
      </c>
    </row>
    <row r="97" spans="2:19" x14ac:dyDescent="0.3">
      <c r="B97" s="142" t="s">
        <v>1778</v>
      </c>
      <c r="C97" s="131">
        <v>261000</v>
      </c>
      <c r="D97" s="131" t="s">
        <v>887</v>
      </c>
      <c r="E97" s="134" t="s">
        <v>361</v>
      </c>
      <c r="F97" s="134" t="s">
        <v>1660</v>
      </c>
      <c r="G97" s="134">
        <v>1518</v>
      </c>
      <c r="H97" s="134">
        <v>1734</v>
      </c>
      <c r="I97" s="134">
        <v>8000</v>
      </c>
      <c r="J97" s="134">
        <v>235</v>
      </c>
      <c r="K97" s="134">
        <v>1</v>
      </c>
      <c r="L97" s="134">
        <v>0</v>
      </c>
      <c r="M97" s="134">
        <v>120</v>
      </c>
      <c r="N97" s="134"/>
      <c r="O97" s="134">
        <v>1</v>
      </c>
      <c r="P97" s="134"/>
      <c r="Q97" s="134">
        <v>1</v>
      </c>
      <c r="R97" s="134"/>
      <c r="S97" s="134">
        <v>1</v>
      </c>
    </row>
    <row r="98" spans="2:19" x14ac:dyDescent="0.3">
      <c r="B98" s="142" t="s">
        <v>1761</v>
      </c>
      <c r="C98" s="131">
        <v>268500</v>
      </c>
      <c r="D98" s="131" t="s">
        <v>887</v>
      </c>
      <c r="E98" s="134" t="s">
        <v>361</v>
      </c>
      <c r="F98" s="134" t="s">
        <v>1660</v>
      </c>
      <c r="G98" s="134">
        <v>1544</v>
      </c>
      <c r="H98" s="134">
        <v>1759</v>
      </c>
      <c r="I98" s="134">
        <v>8000</v>
      </c>
      <c r="J98" s="134">
        <v>240</v>
      </c>
      <c r="K98" s="134">
        <v>1</v>
      </c>
      <c r="L98" s="134">
        <v>0</v>
      </c>
      <c r="M98" s="134">
        <v>120</v>
      </c>
      <c r="N98" s="134"/>
      <c r="O98" s="134">
        <v>2</v>
      </c>
      <c r="P98" s="134"/>
      <c r="Q98" s="134">
        <v>1</v>
      </c>
      <c r="R98" s="134"/>
      <c r="S98" s="134">
        <v>1</v>
      </c>
    </row>
    <row r="99" spans="2:19" x14ac:dyDescent="0.3">
      <c r="B99" s="142" t="s">
        <v>918</v>
      </c>
      <c r="C99" s="131"/>
      <c r="D99" s="131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</row>
    <row r="100" spans="2:19" x14ac:dyDescent="0.3">
      <c r="B100" s="142" t="s">
        <v>1762</v>
      </c>
      <c r="C100" s="131">
        <v>355400</v>
      </c>
      <c r="D100" s="131" t="s">
        <v>1763</v>
      </c>
      <c r="E100" s="134" t="s">
        <v>1721</v>
      </c>
      <c r="F100" s="134" t="s">
        <v>1659</v>
      </c>
      <c r="G100" s="134">
        <v>1594</v>
      </c>
      <c r="H100" s="134">
        <v>1809</v>
      </c>
      <c r="I100" s="134">
        <v>8008</v>
      </c>
      <c r="J100" s="134">
        <v>242</v>
      </c>
      <c r="K100" s="134">
        <v>1</v>
      </c>
      <c r="L100" s="134">
        <v>0</v>
      </c>
      <c r="M100" s="134">
        <v>120</v>
      </c>
      <c r="N100" s="134"/>
      <c r="O100" s="134">
        <v>1</v>
      </c>
      <c r="P100" s="134"/>
      <c r="Q100" s="134">
        <v>1</v>
      </c>
      <c r="R100" s="134"/>
      <c r="S100" s="134">
        <v>3</v>
      </c>
    </row>
    <row r="101" spans="2:19" x14ac:dyDescent="0.3">
      <c r="B101" s="142" t="s">
        <v>3137</v>
      </c>
      <c r="C101" s="131">
        <v>390500</v>
      </c>
      <c r="D101" s="131" t="s">
        <v>1763</v>
      </c>
      <c r="E101" s="134" t="s">
        <v>1721</v>
      </c>
      <c r="F101" s="134" t="s">
        <v>1659</v>
      </c>
      <c r="G101" s="134">
        <v>1620</v>
      </c>
      <c r="H101" s="134">
        <v>1847</v>
      </c>
      <c r="I101" s="134">
        <v>8200</v>
      </c>
      <c r="J101" s="134">
        <v>298</v>
      </c>
      <c r="K101" s="134">
        <v>1</v>
      </c>
      <c r="L101" s="134">
        <v>0</v>
      </c>
      <c r="M101" s="134">
        <v>120</v>
      </c>
      <c r="N101" s="134"/>
      <c r="O101" s="134">
        <v>1</v>
      </c>
      <c r="P101" s="134"/>
      <c r="Q101" s="134">
        <v>1</v>
      </c>
      <c r="R101" s="134"/>
      <c r="S101" s="134">
        <v>3</v>
      </c>
    </row>
    <row r="102" spans="2:19" x14ac:dyDescent="0.3">
      <c r="B102" s="142" t="s">
        <v>1771</v>
      </c>
      <c r="C102" s="131">
        <v>318500</v>
      </c>
      <c r="D102" s="131" t="s">
        <v>887</v>
      </c>
      <c r="E102" s="134" t="s">
        <v>1679</v>
      </c>
      <c r="F102" s="134" t="s">
        <v>1659</v>
      </c>
      <c r="G102" s="134">
        <v>1506</v>
      </c>
      <c r="H102" s="134">
        <v>1708</v>
      </c>
      <c r="I102" s="134">
        <v>8008</v>
      </c>
      <c r="J102" s="134">
        <v>260</v>
      </c>
      <c r="K102" s="134">
        <v>1</v>
      </c>
      <c r="L102" s="134">
        <v>0</v>
      </c>
      <c r="M102" s="134">
        <v>120</v>
      </c>
      <c r="N102" s="134"/>
      <c r="O102" s="134">
        <v>1</v>
      </c>
      <c r="P102" s="134"/>
      <c r="Q102" s="134">
        <v>1</v>
      </c>
      <c r="R102" s="134"/>
      <c r="S102" s="134">
        <v>3</v>
      </c>
    </row>
    <row r="103" spans="2:19" x14ac:dyDescent="0.3">
      <c r="B103" s="142" t="s">
        <v>1759</v>
      </c>
      <c r="C103" s="131">
        <v>334500</v>
      </c>
      <c r="D103" s="131" t="s">
        <v>887</v>
      </c>
      <c r="E103" s="134" t="s">
        <v>1679</v>
      </c>
      <c r="F103" s="134" t="s">
        <v>1659</v>
      </c>
      <c r="G103" s="134">
        <v>1556</v>
      </c>
      <c r="H103" s="134">
        <v>1771</v>
      </c>
      <c r="I103" s="134">
        <v>8008</v>
      </c>
      <c r="J103" s="134">
        <v>264</v>
      </c>
      <c r="K103" s="134">
        <v>1</v>
      </c>
      <c r="L103" s="134">
        <v>0</v>
      </c>
      <c r="M103" s="134">
        <v>120</v>
      </c>
      <c r="N103" s="134"/>
      <c r="O103" s="134">
        <v>1</v>
      </c>
      <c r="P103" s="134"/>
      <c r="Q103" s="134">
        <v>1</v>
      </c>
      <c r="R103" s="134"/>
      <c r="S103" s="134">
        <v>3</v>
      </c>
    </row>
    <row r="104" spans="2:19" x14ac:dyDescent="0.3">
      <c r="B104" s="142" t="s">
        <v>1743</v>
      </c>
      <c r="C104" s="131">
        <v>339700</v>
      </c>
      <c r="D104" s="131" t="s">
        <v>887</v>
      </c>
      <c r="E104" s="134" t="s">
        <v>1679</v>
      </c>
      <c r="F104" s="134" t="s">
        <v>1659</v>
      </c>
      <c r="G104" s="134">
        <v>1594</v>
      </c>
      <c r="H104" s="134">
        <v>1809</v>
      </c>
      <c r="I104" s="134">
        <v>8008</v>
      </c>
      <c r="J104" s="134">
        <v>302</v>
      </c>
      <c r="K104" s="134">
        <v>2</v>
      </c>
      <c r="L104" s="134">
        <v>0</v>
      </c>
      <c r="M104" s="134">
        <v>120</v>
      </c>
      <c r="N104" s="134"/>
      <c r="O104" s="134">
        <v>1</v>
      </c>
      <c r="P104" s="134"/>
      <c r="Q104" s="134">
        <v>1</v>
      </c>
      <c r="R104" s="134"/>
      <c r="S104" s="134">
        <v>3</v>
      </c>
    </row>
    <row r="105" spans="2:19" x14ac:dyDescent="0.3">
      <c r="B105" s="142" t="s">
        <v>1738</v>
      </c>
      <c r="C105" s="131">
        <v>361500</v>
      </c>
      <c r="D105" s="131" t="s">
        <v>887</v>
      </c>
      <c r="E105" s="134" t="s">
        <v>1679</v>
      </c>
      <c r="F105" s="134" t="s">
        <v>1659</v>
      </c>
      <c r="G105" s="134">
        <v>1620</v>
      </c>
      <c r="H105" s="134">
        <v>1847</v>
      </c>
      <c r="I105" s="134">
        <v>8008</v>
      </c>
      <c r="J105" s="134">
        <v>302</v>
      </c>
      <c r="K105" s="134">
        <v>2</v>
      </c>
      <c r="L105" s="134">
        <v>0</v>
      </c>
      <c r="M105" s="134">
        <v>120</v>
      </c>
      <c r="N105" s="134"/>
      <c r="O105" s="134">
        <v>1</v>
      </c>
      <c r="P105" s="134"/>
      <c r="Q105" s="134">
        <v>1</v>
      </c>
      <c r="R105" s="134"/>
      <c r="S105" s="134">
        <v>3</v>
      </c>
    </row>
    <row r="106" spans="2:19" x14ac:dyDescent="0.3">
      <c r="B106" s="142" t="s">
        <v>1769</v>
      </c>
      <c r="C106" s="131">
        <v>319500</v>
      </c>
      <c r="D106" s="131" t="s">
        <v>887</v>
      </c>
      <c r="E106" s="134" t="s">
        <v>1720</v>
      </c>
      <c r="F106" s="134" t="s">
        <v>1659</v>
      </c>
      <c r="G106" s="134">
        <v>1531</v>
      </c>
      <c r="H106" s="134">
        <v>1746</v>
      </c>
      <c r="I106" s="134">
        <v>8008</v>
      </c>
      <c r="J106" s="134">
        <v>170</v>
      </c>
      <c r="K106" s="134">
        <v>1</v>
      </c>
      <c r="L106" s="134">
        <v>0</v>
      </c>
      <c r="M106" s="474">
        <v>120</v>
      </c>
      <c r="N106" s="134"/>
      <c r="O106" s="134">
        <v>2</v>
      </c>
      <c r="P106" s="134"/>
      <c r="Q106" s="134">
        <v>1</v>
      </c>
      <c r="R106" s="134"/>
      <c r="S106" s="134">
        <v>1</v>
      </c>
    </row>
    <row r="107" spans="2:19" x14ac:dyDescent="0.3">
      <c r="B107" s="142" t="s">
        <v>1764</v>
      </c>
      <c r="C107" s="131">
        <v>342000</v>
      </c>
      <c r="D107" s="131" t="s">
        <v>887</v>
      </c>
      <c r="E107" s="134" t="s">
        <v>1720</v>
      </c>
      <c r="F107" s="134" t="s">
        <v>1659</v>
      </c>
      <c r="G107" s="134">
        <v>1556</v>
      </c>
      <c r="H107" s="134">
        <v>1771</v>
      </c>
      <c r="I107" s="134">
        <v>8008</v>
      </c>
      <c r="J107" s="134">
        <v>223</v>
      </c>
      <c r="K107" s="134">
        <v>1</v>
      </c>
      <c r="L107" s="134">
        <v>0</v>
      </c>
      <c r="M107" s="474">
        <v>120</v>
      </c>
      <c r="N107" s="134"/>
      <c r="O107" s="134">
        <v>2</v>
      </c>
      <c r="P107" s="134"/>
      <c r="Q107" s="134">
        <v>1</v>
      </c>
      <c r="R107" s="134"/>
      <c r="S107" s="134">
        <v>1</v>
      </c>
    </row>
    <row r="108" spans="2:19" x14ac:dyDescent="0.3">
      <c r="B108" s="142" t="s">
        <v>1756</v>
      </c>
      <c r="C108" s="131">
        <v>367500</v>
      </c>
      <c r="D108" s="131" t="s">
        <v>887</v>
      </c>
      <c r="E108" s="134" t="s">
        <v>1720</v>
      </c>
      <c r="F108" s="134" t="s">
        <v>1659</v>
      </c>
      <c r="G108" s="134">
        <v>1594</v>
      </c>
      <c r="H108" s="134">
        <v>1809</v>
      </c>
      <c r="I108" s="134">
        <v>8008</v>
      </c>
      <c r="J108" s="134">
        <v>278</v>
      </c>
      <c r="K108" s="134">
        <v>0</v>
      </c>
      <c r="L108" s="134">
        <v>1</v>
      </c>
      <c r="M108" s="134">
        <v>150</v>
      </c>
      <c r="N108" s="134"/>
      <c r="O108" s="134">
        <v>1</v>
      </c>
      <c r="P108" s="134"/>
      <c r="Q108" s="134">
        <v>1</v>
      </c>
      <c r="R108" s="134"/>
      <c r="S108" s="134">
        <v>3</v>
      </c>
    </row>
    <row r="109" spans="2:19" x14ac:dyDescent="0.3">
      <c r="B109" s="142" t="s">
        <v>1765</v>
      </c>
      <c r="C109" s="131">
        <v>379100</v>
      </c>
      <c r="D109" s="131" t="s">
        <v>887</v>
      </c>
      <c r="E109" s="134" t="s">
        <v>1720</v>
      </c>
      <c r="F109" s="134" t="s">
        <v>1659</v>
      </c>
      <c r="G109" s="134">
        <v>1620</v>
      </c>
      <c r="H109" s="134">
        <v>1847</v>
      </c>
      <c r="I109" s="134">
        <v>8164</v>
      </c>
      <c r="J109" s="134">
        <v>280</v>
      </c>
      <c r="K109" s="134">
        <v>0</v>
      </c>
      <c r="L109" s="134">
        <v>1</v>
      </c>
      <c r="M109" s="474">
        <v>150</v>
      </c>
      <c r="N109" s="134"/>
      <c r="O109" s="134">
        <v>1</v>
      </c>
      <c r="P109" s="134"/>
      <c r="Q109" s="134">
        <v>1</v>
      </c>
      <c r="R109" s="134"/>
      <c r="S109" s="134">
        <v>3</v>
      </c>
    </row>
    <row r="110" spans="2:19" x14ac:dyDescent="0.3">
      <c r="B110" s="142" t="s">
        <v>1780</v>
      </c>
      <c r="C110" s="131">
        <v>323000</v>
      </c>
      <c r="D110" s="131" t="s">
        <v>1740</v>
      </c>
      <c r="E110" s="134" t="s">
        <v>1774</v>
      </c>
      <c r="F110" s="134" t="s">
        <v>1659</v>
      </c>
      <c r="G110" s="134">
        <v>1506</v>
      </c>
      <c r="H110" s="134">
        <v>1708</v>
      </c>
      <c r="I110" s="134">
        <v>8000</v>
      </c>
      <c r="J110" s="134">
        <v>220</v>
      </c>
      <c r="K110" s="134">
        <v>1</v>
      </c>
      <c r="L110" s="134">
        <v>0</v>
      </c>
      <c r="M110" s="134">
        <v>120</v>
      </c>
      <c r="N110" s="134"/>
      <c r="O110" s="134">
        <v>2</v>
      </c>
      <c r="P110" s="134"/>
      <c r="Q110" s="134">
        <v>1</v>
      </c>
      <c r="R110" s="134"/>
      <c r="S110" s="134">
        <v>1</v>
      </c>
    </row>
    <row r="111" spans="2:19" x14ac:dyDescent="0.3">
      <c r="B111" s="142" t="s">
        <v>1773</v>
      </c>
      <c r="C111" s="131">
        <v>327900</v>
      </c>
      <c r="D111" s="131" t="s">
        <v>1740</v>
      </c>
      <c r="E111" s="134" t="s">
        <v>1774</v>
      </c>
      <c r="F111" s="134" t="s">
        <v>1659</v>
      </c>
      <c r="G111" s="134">
        <v>1531</v>
      </c>
      <c r="H111" s="134">
        <v>1746</v>
      </c>
      <c r="I111" s="134">
        <v>8000</v>
      </c>
      <c r="J111" s="134">
        <v>172</v>
      </c>
      <c r="K111" s="134">
        <v>1</v>
      </c>
      <c r="L111" s="134">
        <v>0</v>
      </c>
      <c r="M111" s="134">
        <v>120</v>
      </c>
      <c r="N111" s="134"/>
      <c r="O111" s="134">
        <v>1</v>
      </c>
      <c r="P111" s="134"/>
      <c r="Q111" s="134">
        <v>1</v>
      </c>
      <c r="R111" s="134"/>
      <c r="S111" s="134">
        <v>3</v>
      </c>
    </row>
    <row r="112" spans="2:19" x14ac:dyDescent="0.3">
      <c r="B112" s="142" t="s">
        <v>1777</v>
      </c>
      <c r="C112" s="131">
        <v>379800</v>
      </c>
      <c r="D112" s="131" t="s">
        <v>1740</v>
      </c>
      <c r="E112" s="134" t="s">
        <v>1774</v>
      </c>
      <c r="F112" s="134" t="s">
        <v>1659</v>
      </c>
      <c r="G112" s="134">
        <v>1569</v>
      </c>
      <c r="H112" s="134">
        <v>1784</v>
      </c>
      <c r="I112" s="134">
        <v>8200</v>
      </c>
      <c r="J112" s="134">
        <v>302.2</v>
      </c>
      <c r="K112" s="134">
        <v>0</v>
      </c>
      <c r="L112" s="134">
        <v>1</v>
      </c>
      <c r="M112" s="134">
        <v>150</v>
      </c>
      <c r="N112" s="134"/>
      <c r="O112" s="134">
        <v>1</v>
      </c>
      <c r="P112" s="134"/>
      <c r="Q112" s="134">
        <v>1</v>
      </c>
      <c r="R112" s="134"/>
      <c r="S112" s="134">
        <v>3</v>
      </c>
    </row>
    <row r="113" spans="2:19" x14ac:dyDescent="0.3">
      <c r="B113" s="142" t="s">
        <v>1748</v>
      </c>
      <c r="C113" s="131">
        <v>316800</v>
      </c>
      <c r="D113" s="131" t="s">
        <v>1740</v>
      </c>
      <c r="E113" s="134" t="s">
        <v>1749</v>
      </c>
      <c r="F113" s="134" t="s">
        <v>1659</v>
      </c>
      <c r="G113" s="134">
        <v>1531</v>
      </c>
      <c r="H113" s="134">
        <v>1746</v>
      </c>
      <c r="I113" s="134">
        <v>8008</v>
      </c>
      <c r="J113" s="134">
        <v>225</v>
      </c>
      <c r="K113" s="134">
        <v>1</v>
      </c>
      <c r="L113" s="134">
        <v>0</v>
      </c>
      <c r="M113" s="134">
        <v>120</v>
      </c>
      <c r="N113" s="134"/>
      <c r="O113" s="134">
        <v>1</v>
      </c>
      <c r="P113" s="134"/>
      <c r="Q113" s="134">
        <v>1</v>
      </c>
      <c r="R113" s="134"/>
      <c r="S113" s="134">
        <v>1</v>
      </c>
    </row>
    <row r="114" spans="2:19" x14ac:dyDescent="0.3">
      <c r="B114" s="142" t="s">
        <v>1757</v>
      </c>
      <c r="C114" s="131">
        <v>340600</v>
      </c>
      <c r="D114" s="131" t="s">
        <v>887</v>
      </c>
      <c r="E114" s="134" t="s">
        <v>1737</v>
      </c>
      <c r="F114" s="134" t="s">
        <v>1659</v>
      </c>
      <c r="G114" s="134">
        <v>1544</v>
      </c>
      <c r="H114" s="134">
        <v>1759</v>
      </c>
      <c r="I114" s="134">
        <v>8000</v>
      </c>
      <c r="J114" s="134">
        <v>279</v>
      </c>
      <c r="K114" s="134">
        <v>0</v>
      </c>
      <c r="L114" s="134">
        <v>1</v>
      </c>
      <c r="M114" s="134">
        <v>120</v>
      </c>
      <c r="N114" s="134"/>
      <c r="O114" s="134">
        <v>1</v>
      </c>
      <c r="P114" s="134"/>
      <c r="Q114" s="134">
        <v>1</v>
      </c>
      <c r="R114" s="134"/>
      <c r="S114" s="134">
        <v>3</v>
      </c>
    </row>
    <row r="115" spans="2:19" x14ac:dyDescent="0.3">
      <c r="B115" s="142" t="s">
        <v>1736</v>
      </c>
      <c r="C115" s="131">
        <v>344500</v>
      </c>
      <c r="D115" s="131" t="s">
        <v>887</v>
      </c>
      <c r="E115" s="134" t="s">
        <v>1737</v>
      </c>
      <c r="F115" s="134" t="s">
        <v>1659</v>
      </c>
      <c r="G115" s="134">
        <v>1594</v>
      </c>
      <c r="H115" s="134">
        <v>1809</v>
      </c>
      <c r="I115" s="134">
        <v>8100</v>
      </c>
      <c r="J115" s="134">
        <v>277</v>
      </c>
      <c r="K115" s="134">
        <v>0</v>
      </c>
      <c r="L115" s="134">
        <v>1</v>
      </c>
      <c r="M115" s="134">
        <v>120</v>
      </c>
      <c r="N115" s="134"/>
      <c r="O115" s="134">
        <v>1</v>
      </c>
      <c r="P115" s="134"/>
      <c r="Q115" s="134">
        <v>1</v>
      </c>
      <c r="R115" s="134"/>
      <c r="S115" s="134">
        <v>3</v>
      </c>
    </row>
    <row r="116" spans="2:19" x14ac:dyDescent="0.3">
      <c r="B116" s="142" t="s">
        <v>1745</v>
      </c>
      <c r="C116" s="131">
        <v>316100</v>
      </c>
      <c r="D116" s="131" t="s">
        <v>1746</v>
      </c>
      <c r="E116" s="134" t="s">
        <v>1747</v>
      </c>
      <c r="F116" s="134" t="s">
        <v>1659</v>
      </c>
      <c r="G116" s="134">
        <v>1506</v>
      </c>
      <c r="H116" s="134">
        <v>1708</v>
      </c>
      <c r="I116" s="134">
        <v>8000</v>
      </c>
      <c r="J116" s="134">
        <v>174</v>
      </c>
      <c r="K116" s="134">
        <v>1</v>
      </c>
      <c r="L116" s="134">
        <v>0</v>
      </c>
      <c r="M116" s="134">
        <v>120</v>
      </c>
      <c r="N116" s="134"/>
      <c r="O116" s="134">
        <v>1</v>
      </c>
      <c r="P116" s="134"/>
      <c r="Q116" s="134">
        <v>1</v>
      </c>
      <c r="R116" s="134"/>
      <c r="S116" s="134">
        <v>3</v>
      </c>
    </row>
    <row r="117" spans="2:19" x14ac:dyDescent="0.3">
      <c r="B117" s="142" t="s">
        <v>1744</v>
      </c>
      <c r="C117" s="131">
        <v>340400</v>
      </c>
      <c r="D117" s="131" t="s">
        <v>887</v>
      </c>
      <c r="E117" s="134" t="s">
        <v>1735</v>
      </c>
      <c r="F117" s="134" t="s">
        <v>1659</v>
      </c>
      <c r="G117" s="134">
        <v>1556</v>
      </c>
      <c r="H117" s="134">
        <v>1771</v>
      </c>
      <c r="I117" s="134">
        <v>8000</v>
      </c>
      <c r="J117" s="134">
        <v>210</v>
      </c>
      <c r="K117" s="134">
        <v>1</v>
      </c>
      <c r="L117" s="134">
        <v>0</v>
      </c>
      <c r="M117" s="134">
        <v>120</v>
      </c>
      <c r="N117" s="134"/>
      <c r="O117" s="134">
        <v>1</v>
      </c>
      <c r="P117" s="134"/>
      <c r="Q117" s="134">
        <v>1</v>
      </c>
      <c r="R117" s="134"/>
      <c r="S117" s="134">
        <v>3</v>
      </c>
    </row>
    <row r="118" spans="2:19" x14ac:dyDescent="0.3">
      <c r="B118" s="142" t="s">
        <v>1770</v>
      </c>
      <c r="C118" s="131">
        <v>318000</v>
      </c>
      <c r="D118" s="131" t="s">
        <v>887</v>
      </c>
      <c r="E118" s="134" t="s">
        <v>1751</v>
      </c>
      <c r="F118" s="134" t="s">
        <v>1659</v>
      </c>
      <c r="G118" s="134">
        <v>1518</v>
      </c>
      <c r="H118" s="134">
        <v>1733</v>
      </c>
      <c r="I118" s="134">
        <v>8008</v>
      </c>
      <c r="J118" s="134">
        <v>214</v>
      </c>
      <c r="K118" s="134">
        <v>1</v>
      </c>
      <c r="L118" s="134">
        <v>0</v>
      </c>
      <c r="M118" s="134">
        <v>120</v>
      </c>
      <c r="N118" s="134"/>
      <c r="O118" s="134">
        <v>1</v>
      </c>
      <c r="P118" s="134"/>
      <c r="Q118" s="134">
        <v>1</v>
      </c>
      <c r="R118" s="134"/>
      <c r="S118" s="134">
        <v>1</v>
      </c>
    </row>
    <row r="119" spans="2:19" x14ac:dyDescent="0.3">
      <c r="B119" s="142" t="s">
        <v>1752</v>
      </c>
      <c r="C119" s="131">
        <v>333600</v>
      </c>
      <c r="D119" s="131" t="s">
        <v>887</v>
      </c>
      <c r="E119" s="134" t="s">
        <v>1751</v>
      </c>
      <c r="F119" s="134" t="s">
        <v>1659</v>
      </c>
      <c r="G119" s="134">
        <v>1556</v>
      </c>
      <c r="H119" s="134">
        <v>1771</v>
      </c>
      <c r="I119" s="134">
        <v>8008</v>
      </c>
      <c r="J119" s="134">
        <v>268</v>
      </c>
      <c r="K119" s="134">
        <v>1</v>
      </c>
      <c r="L119" s="134">
        <v>0</v>
      </c>
      <c r="M119" s="134">
        <v>120</v>
      </c>
      <c r="N119" s="134"/>
      <c r="O119" s="134">
        <v>2</v>
      </c>
      <c r="P119" s="134"/>
      <c r="Q119" s="134">
        <v>1</v>
      </c>
      <c r="R119" s="134"/>
      <c r="S119" s="134">
        <v>1</v>
      </c>
    </row>
    <row r="120" spans="2:19" x14ac:dyDescent="0.3">
      <c r="B120" s="142" t="s">
        <v>1739</v>
      </c>
      <c r="C120" s="131">
        <v>346900</v>
      </c>
      <c r="D120" s="131" t="s">
        <v>1740</v>
      </c>
      <c r="E120" s="134" t="s">
        <v>1741</v>
      </c>
      <c r="F120" s="134" t="s">
        <v>1742</v>
      </c>
      <c r="G120" s="134">
        <v>1620</v>
      </c>
      <c r="H120" s="134">
        <v>1847</v>
      </c>
      <c r="I120" s="134">
        <v>8008</v>
      </c>
      <c r="J120" s="134">
        <v>237</v>
      </c>
      <c r="K120" s="134">
        <v>1</v>
      </c>
      <c r="L120" s="134">
        <v>0</v>
      </c>
      <c r="M120" s="134">
        <v>120</v>
      </c>
      <c r="N120" s="134"/>
      <c r="O120" s="134">
        <v>2</v>
      </c>
      <c r="P120" s="134"/>
      <c r="Q120" s="134">
        <v>1</v>
      </c>
      <c r="R120" s="134"/>
      <c r="S120" s="134">
        <v>1</v>
      </c>
    </row>
    <row r="121" spans="2:19" x14ac:dyDescent="0.3">
      <c r="B121" s="142" t="s">
        <v>1760</v>
      </c>
      <c r="C121" s="131">
        <v>332900</v>
      </c>
      <c r="D121" s="131" t="s">
        <v>887</v>
      </c>
      <c r="E121" s="134" t="s">
        <v>361</v>
      </c>
      <c r="F121" s="134" t="s">
        <v>1659</v>
      </c>
      <c r="G121" s="134">
        <v>1556</v>
      </c>
      <c r="H121" s="134">
        <v>1772</v>
      </c>
      <c r="I121" s="134">
        <v>8000</v>
      </c>
      <c r="J121" s="134">
        <v>240</v>
      </c>
      <c r="K121" s="134">
        <v>1</v>
      </c>
      <c r="L121" s="134">
        <v>0</v>
      </c>
      <c r="M121" s="134">
        <v>120</v>
      </c>
      <c r="N121" s="134"/>
      <c r="O121" s="134">
        <v>2</v>
      </c>
      <c r="P121" s="134"/>
      <c r="Q121" s="134">
        <v>1</v>
      </c>
      <c r="R121" s="134"/>
      <c r="S121" s="134">
        <v>1</v>
      </c>
    </row>
    <row r="122" spans="2:19" x14ac:dyDescent="0.3">
      <c r="B122" s="142" t="s">
        <v>1776</v>
      </c>
      <c r="C122" s="131">
        <v>356000</v>
      </c>
      <c r="D122" s="131" t="s">
        <v>887</v>
      </c>
      <c r="E122" s="134" t="s">
        <v>361</v>
      </c>
      <c r="F122" s="134" t="s">
        <v>1659</v>
      </c>
      <c r="G122" s="134">
        <v>1506</v>
      </c>
      <c r="H122" s="134">
        <v>1708</v>
      </c>
      <c r="I122" s="134">
        <v>8000</v>
      </c>
      <c r="J122" s="134">
        <v>250</v>
      </c>
      <c r="K122" s="134">
        <v>1</v>
      </c>
      <c r="L122" s="134">
        <v>0</v>
      </c>
      <c r="M122" s="134">
        <v>120</v>
      </c>
      <c r="N122" s="134"/>
      <c r="O122" s="134">
        <v>1</v>
      </c>
      <c r="P122" s="134"/>
      <c r="Q122" s="134">
        <v>1</v>
      </c>
      <c r="R122" s="134"/>
      <c r="S122" s="134">
        <v>3</v>
      </c>
    </row>
    <row r="123" spans="2:19" x14ac:dyDescent="0.3">
      <c r="B123" s="142" t="s">
        <v>1733</v>
      </c>
      <c r="C123" s="131">
        <v>365400</v>
      </c>
      <c r="D123" s="131" t="s">
        <v>887</v>
      </c>
      <c r="E123" s="134" t="s">
        <v>361</v>
      </c>
      <c r="F123" s="134" t="s">
        <v>1659</v>
      </c>
      <c r="G123" s="134">
        <v>1620</v>
      </c>
      <c r="H123" s="134">
        <v>1848</v>
      </c>
      <c r="I123" s="134">
        <v>8000</v>
      </c>
      <c r="J123" s="134">
        <v>250</v>
      </c>
      <c r="K123" s="134">
        <v>1</v>
      </c>
      <c r="L123" s="134">
        <v>0</v>
      </c>
      <c r="M123" s="134">
        <v>120</v>
      </c>
      <c r="N123" s="134"/>
      <c r="O123" s="134">
        <v>1</v>
      </c>
      <c r="P123" s="134"/>
      <c r="Q123" s="134">
        <v>1</v>
      </c>
      <c r="R123" s="134"/>
      <c r="S123" s="134">
        <v>3</v>
      </c>
    </row>
    <row r="124" spans="2:19" x14ac:dyDescent="0.3">
      <c r="B124" s="142" t="s">
        <v>918</v>
      </c>
      <c r="C124" s="131"/>
      <c r="D124" s="131"/>
      <c r="E124" s="134"/>
      <c r="F124" s="134"/>
      <c r="G124" s="134"/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</row>
    <row r="125" spans="2:19" x14ac:dyDescent="0.3">
      <c r="B125" s="142" t="s">
        <v>1781</v>
      </c>
      <c r="C125" s="131">
        <v>390000</v>
      </c>
      <c r="D125" s="131" t="s">
        <v>771</v>
      </c>
      <c r="E125" s="134" t="s">
        <v>1720</v>
      </c>
      <c r="F125" s="134" t="s">
        <v>1663</v>
      </c>
      <c r="G125" s="134">
        <v>1025</v>
      </c>
      <c r="H125" s="391">
        <f>G125</f>
        <v>1025</v>
      </c>
      <c r="I125" s="134">
        <v>6000</v>
      </c>
      <c r="J125" s="134">
        <v>241</v>
      </c>
      <c r="K125" s="134">
        <v>1</v>
      </c>
      <c r="L125" s="134">
        <v>1</v>
      </c>
      <c r="M125" s="474">
        <v>275</v>
      </c>
      <c r="N125" s="134"/>
      <c r="O125" s="134">
        <v>1</v>
      </c>
      <c r="P125" s="134"/>
      <c r="Q125" s="134">
        <v>1</v>
      </c>
      <c r="R125" s="134"/>
      <c r="S125" s="134">
        <v>3</v>
      </c>
    </row>
    <row r="126" spans="2:19" x14ac:dyDescent="0.3">
      <c r="B126" s="142" t="s">
        <v>918</v>
      </c>
      <c r="C126" s="131"/>
      <c r="D126" s="131"/>
      <c r="E126" s="134"/>
      <c r="F126" s="134"/>
      <c r="G126" s="134"/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</row>
    <row r="127" spans="2:19" x14ac:dyDescent="0.3">
      <c r="B127" s="142" t="s">
        <v>1782</v>
      </c>
      <c r="C127" s="131">
        <v>400000</v>
      </c>
      <c r="D127" s="131" t="s">
        <v>771</v>
      </c>
      <c r="E127" s="134" t="s">
        <v>1737</v>
      </c>
      <c r="F127" s="134" t="s">
        <v>1664</v>
      </c>
      <c r="G127" s="134">
        <v>1050</v>
      </c>
      <c r="H127" s="134">
        <v>1100</v>
      </c>
      <c r="I127" s="134">
        <v>6100</v>
      </c>
      <c r="J127" s="134">
        <v>277</v>
      </c>
      <c r="K127" s="134">
        <v>1</v>
      </c>
      <c r="L127" s="134">
        <v>1</v>
      </c>
      <c r="M127" s="134">
        <v>275</v>
      </c>
      <c r="N127" s="134"/>
      <c r="O127" s="134">
        <v>2</v>
      </c>
      <c r="P127" s="134"/>
      <c r="Q127" s="134">
        <v>1</v>
      </c>
      <c r="R127" s="134"/>
      <c r="S127" s="134">
        <v>1</v>
      </c>
    </row>
    <row r="128" spans="2:19" x14ac:dyDescent="0.3">
      <c r="B128" s="142" t="s">
        <v>918</v>
      </c>
      <c r="C128" s="131"/>
      <c r="D128" s="131"/>
      <c r="E128" s="134"/>
      <c r="F128" s="134"/>
      <c r="G128" s="134"/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</row>
    <row r="129" spans="2:19" x14ac:dyDescent="0.3">
      <c r="B129" s="142" t="s">
        <v>1788</v>
      </c>
      <c r="C129" s="131">
        <v>408100</v>
      </c>
      <c r="D129" s="131" t="s">
        <v>771</v>
      </c>
      <c r="E129" s="134" t="s">
        <v>1346</v>
      </c>
      <c r="F129" s="134" t="s">
        <v>1662</v>
      </c>
      <c r="G129" s="134">
        <v>1310</v>
      </c>
      <c r="H129" s="134">
        <v>1330</v>
      </c>
      <c r="I129" s="134">
        <v>8000</v>
      </c>
      <c r="J129" s="134">
        <v>298</v>
      </c>
      <c r="K129" s="134">
        <v>0</v>
      </c>
      <c r="L129" s="134">
        <v>1</v>
      </c>
      <c r="M129" s="474">
        <v>225</v>
      </c>
      <c r="N129" s="134"/>
      <c r="O129" s="134">
        <v>1</v>
      </c>
      <c r="P129" s="134"/>
      <c r="Q129" s="134">
        <v>1</v>
      </c>
      <c r="R129" s="134"/>
      <c r="S129" s="134">
        <v>3</v>
      </c>
    </row>
    <row r="130" spans="2:19" x14ac:dyDescent="0.3">
      <c r="B130" s="142" t="s">
        <v>1794</v>
      </c>
      <c r="C130" s="131">
        <v>285000</v>
      </c>
      <c r="D130" s="131" t="s">
        <v>771</v>
      </c>
      <c r="E130" s="134" t="s">
        <v>1720</v>
      </c>
      <c r="F130" s="134" t="s">
        <v>1662</v>
      </c>
      <c r="G130" s="134">
        <v>1290</v>
      </c>
      <c r="H130" s="391">
        <f>G130</f>
        <v>1290</v>
      </c>
      <c r="I130" s="134">
        <v>7000</v>
      </c>
      <c r="J130" s="134">
        <v>232</v>
      </c>
      <c r="K130" s="134">
        <v>0</v>
      </c>
      <c r="L130" s="134">
        <v>1</v>
      </c>
      <c r="M130" s="474">
        <v>225</v>
      </c>
      <c r="N130" s="134"/>
      <c r="O130" s="134">
        <v>1</v>
      </c>
      <c r="P130" s="134"/>
      <c r="Q130" s="134">
        <v>1</v>
      </c>
      <c r="R130" s="134"/>
      <c r="S130" s="134">
        <v>3</v>
      </c>
    </row>
    <row r="131" spans="2:19" x14ac:dyDescent="0.3">
      <c r="B131" s="142" t="s">
        <v>1789</v>
      </c>
      <c r="C131" s="131">
        <v>333200</v>
      </c>
      <c r="D131" s="131" t="s">
        <v>771</v>
      </c>
      <c r="E131" s="134" t="s">
        <v>1720</v>
      </c>
      <c r="F131" s="134" t="s">
        <v>1662</v>
      </c>
      <c r="G131" s="134">
        <v>1120</v>
      </c>
      <c r="H131" s="134">
        <v>1266</v>
      </c>
      <c r="I131" s="134">
        <v>8000</v>
      </c>
      <c r="J131" s="134">
        <v>255</v>
      </c>
      <c r="K131" s="134">
        <v>1</v>
      </c>
      <c r="L131" s="134">
        <v>0</v>
      </c>
      <c r="M131" s="474">
        <v>150</v>
      </c>
      <c r="N131" s="134"/>
      <c r="O131" s="134"/>
      <c r="P131" s="134"/>
      <c r="Q131" s="134">
        <v>1</v>
      </c>
      <c r="R131" s="134"/>
      <c r="S131" s="134">
        <v>3</v>
      </c>
    </row>
    <row r="132" spans="2:19" x14ac:dyDescent="0.3">
      <c r="B132" s="142" t="s">
        <v>1786</v>
      </c>
      <c r="C132" s="131">
        <v>338900</v>
      </c>
      <c r="D132" s="131" t="s">
        <v>771</v>
      </c>
      <c r="E132" s="134" t="s">
        <v>1720</v>
      </c>
      <c r="F132" s="134" t="s">
        <v>1662</v>
      </c>
      <c r="G132" s="134">
        <v>1290</v>
      </c>
      <c r="H132" s="391">
        <f>G132</f>
        <v>1290</v>
      </c>
      <c r="I132" s="134">
        <v>8000</v>
      </c>
      <c r="J132" s="134">
        <v>232</v>
      </c>
      <c r="K132" s="134">
        <v>0</v>
      </c>
      <c r="L132" s="134">
        <v>1</v>
      </c>
      <c r="M132" s="474">
        <v>225</v>
      </c>
      <c r="N132" s="134"/>
      <c r="O132" s="134">
        <v>1</v>
      </c>
      <c r="P132" s="134"/>
      <c r="Q132" s="134">
        <v>1</v>
      </c>
      <c r="R132" s="134"/>
      <c r="S132" s="134">
        <v>3</v>
      </c>
    </row>
    <row r="133" spans="2:19" x14ac:dyDescent="0.3">
      <c r="B133" s="142" t="s">
        <v>1790</v>
      </c>
      <c r="C133" s="131">
        <v>310000</v>
      </c>
      <c r="D133" s="131" t="s">
        <v>771</v>
      </c>
      <c r="E133" s="134" t="s">
        <v>1371</v>
      </c>
      <c r="F133" s="134" t="s">
        <v>1662</v>
      </c>
      <c r="G133" s="134">
        <v>1266</v>
      </c>
      <c r="H133" s="134">
        <v>1216</v>
      </c>
      <c r="I133" s="134">
        <v>7100</v>
      </c>
      <c r="J133" s="134">
        <v>276</v>
      </c>
      <c r="K133" s="134">
        <v>0</v>
      </c>
      <c r="L133" s="134">
        <v>1</v>
      </c>
      <c r="M133" s="134">
        <v>150</v>
      </c>
      <c r="N133" s="134"/>
      <c r="O133" s="134">
        <v>1</v>
      </c>
      <c r="P133" s="134"/>
      <c r="Q133" s="134">
        <v>1</v>
      </c>
      <c r="R133" s="134"/>
      <c r="S133" s="134">
        <v>3</v>
      </c>
    </row>
    <row r="134" spans="2:19" x14ac:dyDescent="0.3">
      <c r="B134" s="142" t="s">
        <v>1791</v>
      </c>
      <c r="C134" s="131">
        <v>354000</v>
      </c>
      <c r="D134" s="131" t="s">
        <v>771</v>
      </c>
      <c r="E134" s="134" t="s">
        <v>1371</v>
      </c>
      <c r="F134" s="134" t="s">
        <v>1662</v>
      </c>
      <c r="G134" s="134">
        <v>1266</v>
      </c>
      <c r="H134" s="134">
        <v>1216</v>
      </c>
      <c r="I134" s="134">
        <v>8100</v>
      </c>
      <c r="J134" s="134">
        <v>276</v>
      </c>
      <c r="K134" s="134">
        <v>0</v>
      </c>
      <c r="L134" s="134">
        <v>1</v>
      </c>
      <c r="M134" s="134">
        <v>150</v>
      </c>
      <c r="N134" s="134"/>
      <c r="O134" s="134">
        <v>1</v>
      </c>
      <c r="P134" s="134"/>
      <c r="Q134" s="134">
        <v>1</v>
      </c>
      <c r="R134" s="134"/>
      <c r="S134" s="134">
        <v>3</v>
      </c>
    </row>
    <row r="135" spans="2:19" x14ac:dyDescent="0.3">
      <c r="B135" s="142" t="s">
        <v>1784</v>
      </c>
      <c r="C135" s="131">
        <v>330000</v>
      </c>
      <c r="D135" s="131" t="s">
        <v>771</v>
      </c>
      <c r="E135" s="134" t="s">
        <v>1785</v>
      </c>
      <c r="F135" s="134" t="s">
        <v>1662</v>
      </c>
      <c r="G135" s="134">
        <v>1330</v>
      </c>
      <c r="H135" s="391">
        <f>G135</f>
        <v>1330</v>
      </c>
      <c r="I135" s="134">
        <v>8000</v>
      </c>
      <c r="J135" s="134">
        <v>310</v>
      </c>
      <c r="K135" s="134">
        <v>0</v>
      </c>
      <c r="L135" s="134">
        <v>1</v>
      </c>
      <c r="M135" s="474">
        <v>225</v>
      </c>
      <c r="N135" s="134"/>
      <c r="O135" s="134">
        <v>1</v>
      </c>
      <c r="P135" s="134"/>
      <c r="Q135" s="134">
        <v>1</v>
      </c>
      <c r="R135" s="134"/>
      <c r="S135" s="134">
        <v>3</v>
      </c>
    </row>
    <row r="136" spans="2:19" x14ac:dyDescent="0.3">
      <c r="B136" s="142" t="s">
        <v>1795</v>
      </c>
      <c r="C136" s="131">
        <v>341700</v>
      </c>
      <c r="D136" s="131" t="s">
        <v>771</v>
      </c>
      <c r="E136" s="134" t="s">
        <v>1783</v>
      </c>
      <c r="F136" s="134" t="s">
        <v>1662</v>
      </c>
      <c r="G136" s="134">
        <v>1208</v>
      </c>
      <c r="H136" s="134">
        <v>1306</v>
      </c>
      <c r="I136" s="134">
        <v>8000</v>
      </c>
      <c r="J136" s="134">
        <v>240</v>
      </c>
      <c r="K136" s="134">
        <v>0</v>
      </c>
      <c r="L136" s="134">
        <v>1</v>
      </c>
      <c r="M136" s="134">
        <v>225</v>
      </c>
      <c r="N136" s="134"/>
      <c r="O136" s="134">
        <v>1</v>
      </c>
      <c r="P136" s="134"/>
      <c r="Q136" s="134">
        <v>1</v>
      </c>
      <c r="R136" s="134"/>
      <c r="S136" s="134">
        <v>3</v>
      </c>
    </row>
    <row r="137" spans="2:19" x14ac:dyDescent="0.3">
      <c r="B137" s="142" t="s">
        <v>3139</v>
      </c>
      <c r="C137" s="131">
        <v>345300</v>
      </c>
      <c r="D137" s="131" t="s">
        <v>771</v>
      </c>
      <c r="E137" s="134" t="s">
        <v>1783</v>
      </c>
      <c r="F137" s="134" t="s">
        <v>1662</v>
      </c>
      <c r="G137" s="134">
        <v>1208</v>
      </c>
      <c r="H137" s="134">
        <v>1342</v>
      </c>
      <c r="I137" s="134">
        <v>8000</v>
      </c>
      <c r="J137" s="134">
        <v>240</v>
      </c>
      <c r="K137" s="134">
        <v>0</v>
      </c>
      <c r="L137" s="134">
        <v>1</v>
      </c>
      <c r="M137" s="134">
        <v>225</v>
      </c>
      <c r="N137" s="134"/>
      <c r="O137" s="134">
        <v>1</v>
      </c>
      <c r="P137" s="134"/>
      <c r="Q137" s="134">
        <v>1</v>
      </c>
      <c r="R137" s="134"/>
      <c r="S137" s="134">
        <v>3</v>
      </c>
    </row>
    <row r="138" spans="2:19" x14ac:dyDescent="0.3">
      <c r="B138" s="142" t="s">
        <v>1787</v>
      </c>
      <c r="C138" s="131">
        <v>348100</v>
      </c>
      <c r="D138" s="131" t="s">
        <v>771</v>
      </c>
      <c r="E138" s="134" t="s">
        <v>1703</v>
      </c>
      <c r="F138" s="134" t="s">
        <v>1662</v>
      </c>
      <c r="G138" s="134">
        <v>1182</v>
      </c>
      <c r="H138" s="134">
        <v>1328</v>
      </c>
      <c r="I138" s="134">
        <v>8000</v>
      </c>
      <c r="J138" s="134">
        <v>254</v>
      </c>
      <c r="K138" s="134">
        <v>0</v>
      </c>
      <c r="L138" s="134">
        <v>1</v>
      </c>
      <c r="M138" s="474">
        <v>225</v>
      </c>
      <c r="N138" s="134"/>
      <c r="O138" s="134">
        <v>1</v>
      </c>
      <c r="P138" s="134"/>
      <c r="Q138" s="134">
        <v>1</v>
      </c>
      <c r="R138" s="134"/>
      <c r="S138" s="134">
        <v>3</v>
      </c>
    </row>
    <row r="139" spans="2:19" x14ac:dyDescent="0.3">
      <c r="B139" s="142" t="s">
        <v>1796</v>
      </c>
      <c r="C139" s="131">
        <v>363700</v>
      </c>
      <c r="D139" s="131" t="s">
        <v>771</v>
      </c>
      <c r="E139" s="134" t="s">
        <v>1703</v>
      </c>
      <c r="F139" s="134" t="s">
        <v>1662</v>
      </c>
      <c r="G139" s="134">
        <v>1120</v>
      </c>
      <c r="H139" s="134">
        <v>1288</v>
      </c>
      <c r="I139" s="134">
        <v>8000</v>
      </c>
      <c r="J139" s="134">
        <v>275</v>
      </c>
      <c r="K139" s="134">
        <v>0</v>
      </c>
      <c r="L139" s="134">
        <v>1</v>
      </c>
      <c r="M139" s="474">
        <v>225</v>
      </c>
      <c r="N139" s="134"/>
      <c r="O139" s="134">
        <v>1</v>
      </c>
      <c r="P139" s="134"/>
      <c r="Q139" s="134">
        <v>1</v>
      </c>
      <c r="R139" s="134"/>
      <c r="S139" s="134">
        <v>3</v>
      </c>
    </row>
    <row r="140" spans="2:19" x14ac:dyDescent="0.3">
      <c r="B140" s="142" t="s">
        <v>1792</v>
      </c>
      <c r="C140" s="131">
        <v>376700</v>
      </c>
      <c r="D140" s="131" t="s">
        <v>1793</v>
      </c>
      <c r="E140" s="134" t="s">
        <v>1703</v>
      </c>
      <c r="F140" s="134" t="s">
        <v>1662</v>
      </c>
      <c r="G140" s="134">
        <v>1120</v>
      </c>
      <c r="H140" s="134">
        <v>1338</v>
      </c>
      <c r="I140" s="134">
        <v>8000</v>
      </c>
      <c r="J140" s="134">
        <v>275</v>
      </c>
      <c r="K140" s="134">
        <v>0</v>
      </c>
      <c r="L140" s="134">
        <v>1</v>
      </c>
      <c r="M140" s="474">
        <v>225</v>
      </c>
      <c r="N140" s="134"/>
      <c r="O140" s="134">
        <v>1</v>
      </c>
      <c r="P140" s="134"/>
      <c r="Q140" s="134">
        <v>1</v>
      </c>
      <c r="R140" s="134"/>
      <c r="S140" s="134">
        <v>3</v>
      </c>
    </row>
    <row r="141" spans="2:19" x14ac:dyDescent="0.3">
      <c r="B141" s="142" t="s">
        <v>918</v>
      </c>
      <c r="C141" s="131"/>
      <c r="D141" s="131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</row>
    <row r="142" spans="2:19" x14ac:dyDescent="0.3">
      <c r="B142" s="260" t="s">
        <v>365</v>
      </c>
      <c r="C142" s="131"/>
      <c r="D142" s="131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</row>
    <row r="143" spans="2:19" x14ac:dyDescent="0.3">
      <c r="B143" s="142" t="s">
        <v>1800</v>
      </c>
      <c r="C143" s="131">
        <v>703900</v>
      </c>
      <c r="D143" s="131" t="s">
        <v>1300</v>
      </c>
      <c r="E143" s="134" t="s">
        <v>42</v>
      </c>
      <c r="F143" s="134" t="s">
        <v>1262</v>
      </c>
      <c r="G143" s="134">
        <v>1190</v>
      </c>
      <c r="H143" s="134">
        <v>1291</v>
      </c>
      <c r="I143" s="134">
        <v>7200</v>
      </c>
      <c r="J143" s="134">
        <v>305</v>
      </c>
      <c r="K143" s="134">
        <v>0</v>
      </c>
      <c r="L143" s="134">
        <v>2</v>
      </c>
      <c r="M143" s="134">
        <v>250</v>
      </c>
      <c r="N143" s="134"/>
      <c r="O143" s="134">
        <v>1</v>
      </c>
      <c r="P143" s="134"/>
      <c r="Q143" s="134">
        <v>1</v>
      </c>
      <c r="R143" s="134"/>
      <c r="S143" s="134">
        <v>3</v>
      </c>
    </row>
    <row r="144" spans="2:19" x14ac:dyDescent="0.3">
      <c r="B144" s="142" t="s">
        <v>1801</v>
      </c>
      <c r="C144" s="131">
        <v>695700</v>
      </c>
      <c r="D144" s="131" t="s">
        <v>1300</v>
      </c>
      <c r="E144" s="134" t="s">
        <v>1680</v>
      </c>
      <c r="F144" s="134" t="s">
        <v>1262</v>
      </c>
      <c r="G144" s="134">
        <v>1216</v>
      </c>
      <c r="H144" s="134">
        <v>1317</v>
      </c>
      <c r="I144" s="134">
        <v>7200</v>
      </c>
      <c r="J144" s="134">
        <v>226</v>
      </c>
      <c r="K144" s="134">
        <v>1</v>
      </c>
      <c r="L144" s="134">
        <v>2</v>
      </c>
      <c r="M144" s="474">
        <v>350</v>
      </c>
      <c r="N144" s="134"/>
      <c r="O144" s="134">
        <v>1</v>
      </c>
      <c r="P144" s="134"/>
      <c r="Q144" s="134">
        <v>1</v>
      </c>
      <c r="R144" s="134"/>
      <c r="S144" s="134">
        <v>3</v>
      </c>
    </row>
    <row r="145" spans="2:19" x14ac:dyDescent="0.3">
      <c r="B145" s="142" t="s">
        <v>1799</v>
      </c>
      <c r="C145" s="131">
        <v>638000</v>
      </c>
      <c r="D145" s="131" t="s">
        <v>1300</v>
      </c>
      <c r="E145" s="134" t="s">
        <v>357</v>
      </c>
      <c r="F145" s="134" t="s">
        <v>1262</v>
      </c>
      <c r="G145" s="134">
        <v>1152</v>
      </c>
      <c r="H145" s="134">
        <v>1241</v>
      </c>
      <c r="I145" s="134">
        <v>7200</v>
      </c>
      <c r="J145" s="134">
        <v>295</v>
      </c>
      <c r="K145" s="134">
        <v>1</v>
      </c>
      <c r="L145" s="134">
        <v>1</v>
      </c>
      <c r="M145" s="134">
        <v>280</v>
      </c>
      <c r="N145" s="134"/>
      <c r="O145" s="134">
        <v>1</v>
      </c>
      <c r="P145" s="134"/>
      <c r="Q145" s="134">
        <v>1</v>
      </c>
      <c r="R145" s="134"/>
      <c r="S145" s="134">
        <v>3</v>
      </c>
    </row>
    <row r="146" spans="2:19" x14ac:dyDescent="0.3">
      <c r="B146" s="142" t="s">
        <v>3136</v>
      </c>
      <c r="C146" s="131">
        <v>489500</v>
      </c>
      <c r="D146" s="131" t="s">
        <v>1300</v>
      </c>
      <c r="E146" s="134" t="s">
        <v>358</v>
      </c>
      <c r="F146" s="134" t="s">
        <v>1262</v>
      </c>
      <c r="G146" s="134">
        <v>1102</v>
      </c>
      <c r="H146" s="134">
        <v>1190</v>
      </c>
      <c r="I146" s="134">
        <v>7010</v>
      </c>
      <c r="J146" s="134">
        <v>315</v>
      </c>
      <c r="K146" s="134">
        <v>1</v>
      </c>
      <c r="L146" s="134">
        <v>1</v>
      </c>
      <c r="M146" s="134">
        <v>250</v>
      </c>
      <c r="N146" s="134"/>
      <c r="O146" s="134">
        <v>1</v>
      </c>
      <c r="P146" s="134"/>
      <c r="Q146" s="134">
        <v>1</v>
      </c>
      <c r="R146" s="134"/>
      <c r="S146" s="134">
        <v>3</v>
      </c>
    </row>
    <row r="147" spans="2:19" x14ac:dyDescent="0.3">
      <c r="B147" s="142" t="s">
        <v>3135</v>
      </c>
      <c r="C147" s="131">
        <v>575690</v>
      </c>
      <c r="D147" s="131" t="s">
        <v>1300</v>
      </c>
      <c r="E147" s="134" t="s">
        <v>308</v>
      </c>
      <c r="F147" s="134" t="s">
        <v>1262</v>
      </c>
      <c r="G147" s="134">
        <v>1178</v>
      </c>
      <c r="H147" s="134">
        <v>1279</v>
      </c>
      <c r="I147" s="134">
        <v>7096</v>
      </c>
      <c r="J147" s="134">
        <v>269</v>
      </c>
      <c r="K147" s="134">
        <v>0</v>
      </c>
      <c r="L147" s="134">
        <v>2</v>
      </c>
      <c r="M147" s="134">
        <v>250</v>
      </c>
      <c r="N147" s="134"/>
      <c r="O147" s="134">
        <v>1</v>
      </c>
      <c r="P147" s="134"/>
      <c r="Q147" s="134">
        <v>1</v>
      </c>
      <c r="R147" s="134"/>
      <c r="S147" s="134">
        <v>3</v>
      </c>
    </row>
    <row r="148" spans="2:19" x14ac:dyDescent="0.3">
      <c r="B148" s="142" t="s">
        <v>1802</v>
      </c>
      <c r="C148" s="131">
        <v>718000</v>
      </c>
      <c r="D148" s="131" t="s">
        <v>1300</v>
      </c>
      <c r="E148" s="134" t="s">
        <v>359</v>
      </c>
      <c r="F148" s="134" t="s">
        <v>1262</v>
      </c>
      <c r="G148" s="134">
        <v>1178</v>
      </c>
      <c r="H148" s="134">
        <v>1279</v>
      </c>
      <c r="I148" s="134">
        <v>7020</v>
      </c>
      <c r="J148" s="134">
        <v>315.3</v>
      </c>
      <c r="K148" s="134">
        <v>1</v>
      </c>
      <c r="L148" s="134">
        <v>1</v>
      </c>
      <c r="M148" s="474">
        <v>280</v>
      </c>
      <c r="N148" s="134"/>
      <c r="O148" s="134">
        <v>1</v>
      </c>
      <c r="P148" s="134"/>
      <c r="Q148" s="134">
        <v>1</v>
      </c>
      <c r="R148" s="134"/>
      <c r="S148" s="134">
        <v>3</v>
      </c>
    </row>
    <row r="149" spans="2:19" x14ac:dyDescent="0.3">
      <c r="B149" s="142" t="s">
        <v>1798</v>
      </c>
      <c r="C149" s="131">
        <v>721830</v>
      </c>
      <c r="D149" s="131" t="s">
        <v>1300</v>
      </c>
      <c r="E149" s="134" t="s">
        <v>360</v>
      </c>
      <c r="F149" s="134" t="s">
        <v>1262</v>
      </c>
      <c r="G149" s="134">
        <v>1190</v>
      </c>
      <c r="H149" s="134">
        <v>1291</v>
      </c>
      <c r="I149" s="134">
        <v>7010</v>
      </c>
      <c r="J149" s="134">
        <v>298</v>
      </c>
      <c r="K149" s="134">
        <v>0</v>
      </c>
      <c r="L149" s="134">
        <v>2</v>
      </c>
      <c r="M149" s="134">
        <v>250</v>
      </c>
      <c r="N149" s="134"/>
      <c r="O149" s="134">
        <v>1</v>
      </c>
      <c r="P149" s="134"/>
      <c r="Q149" s="134">
        <v>1</v>
      </c>
      <c r="R149" s="134"/>
      <c r="S149" s="134">
        <v>3</v>
      </c>
    </row>
    <row r="150" spans="2:19" x14ac:dyDescent="0.3">
      <c r="B150" s="142" t="s">
        <v>1797</v>
      </c>
      <c r="C150" s="131">
        <v>603490</v>
      </c>
      <c r="D150" s="131" t="s">
        <v>1300</v>
      </c>
      <c r="E150" s="134" t="s">
        <v>361</v>
      </c>
      <c r="F150" s="134" t="s">
        <v>1262</v>
      </c>
      <c r="G150" s="134">
        <v>1152</v>
      </c>
      <c r="H150" s="134">
        <v>1241</v>
      </c>
      <c r="I150" s="134">
        <v>7010</v>
      </c>
      <c r="J150" s="134">
        <v>283</v>
      </c>
      <c r="K150" s="134">
        <v>1</v>
      </c>
      <c r="L150" s="134">
        <v>1</v>
      </c>
      <c r="M150" s="134">
        <v>250</v>
      </c>
      <c r="N150" s="134"/>
      <c r="O150" s="134">
        <v>1</v>
      </c>
      <c r="P150" s="134"/>
      <c r="Q150" s="134">
        <v>1</v>
      </c>
      <c r="R150" s="134"/>
      <c r="S150" s="134">
        <v>3</v>
      </c>
    </row>
    <row r="151" spans="2:19" x14ac:dyDescent="0.3">
      <c r="B151" s="142" t="s">
        <v>918</v>
      </c>
      <c r="C151" s="131"/>
      <c r="D151" s="131"/>
      <c r="E151" s="134"/>
      <c r="F151" s="134"/>
      <c r="G151" s="134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</row>
    <row r="152" spans="2:19" x14ac:dyDescent="0.3">
      <c r="B152" s="142" t="s">
        <v>1834</v>
      </c>
      <c r="C152" s="131">
        <v>544800</v>
      </c>
      <c r="D152" s="131" t="s">
        <v>887</v>
      </c>
      <c r="E152" s="134" t="s">
        <v>1346</v>
      </c>
      <c r="F152" s="134" t="s">
        <v>3053</v>
      </c>
      <c r="G152" s="134">
        <v>1582</v>
      </c>
      <c r="H152" s="134">
        <v>1771</v>
      </c>
      <c r="I152" s="134">
        <v>8008</v>
      </c>
      <c r="J152" s="134">
        <v>242</v>
      </c>
      <c r="K152" s="134">
        <v>0</v>
      </c>
      <c r="L152" s="134">
        <v>1</v>
      </c>
      <c r="M152" s="474">
        <v>170</v>
      </c>
      <c r="N152" s="134"/>
      <c r="O152" s="134">
        <v>1</v>
      </c>
      <c r="P152" s="134"/>
      <c r="Q152" s="134">
        <v>1</v>
      </c>
      <c r="R152" s="134"/>
      <c r="S152" s="134">
        <v>3</v>
      </c>
    </row>
    <row r="153" spans="2:19" x14ac:dyDescent="0.3">
      <c r="B153" s="142" t="s">
        <v>1818</v>
      </c>
      <c r="C153" s="131">
        <v>603300</v>
      </c>
      <c r="D153" s="131" t="s">
        <v>887</v>
      </c>
      <c r="E153" s="134" t="s">
        <v>1346</v>
      </c>
      <c r="F153" s="134" t="s">
        <v>3053</v>
      </c>
      <c r="G153" s="134">
        <v>1632</v>
      </c>
      <c r="H153" s="134">
        <v>1835</v>
      </c>
      <c r="I153" s="134">
        <v>8000</v>
      </c>
      <c r="J153" s="134">
        <v>298</v>
      </c>
      <c r="K153" s="134">
        <v>0</v>
      </c>
      <c r="L153" s="134">
        <v>1</v>
      </c>
      <c r="M153" s="134">
        <v>170</v>
      </c>
      <c r="N153" s="134"/>
      <c r="O153" s="134">
        <v>1</v>
      </c>
      <c r="P153" s="134"/>
      <c r="Q153" s="134">
        <v>1</v>
      </c>
      <c r="R153" s="134"/>
      <c r="S153" s="134">
        <v>3</v>
      </c>
    </row>
    <row r="154" spans="2:19" x14ac:dyDescent="0.3">
      <c r="B154" s="142" t="s">
        <v>1816</v>
      </c>
      <c r="C154" s="131">
        <v>509200</v>
      </c>
      <c r="D154" s="131" t="s">
        <v>887</v>
      </c>
      <c r="E154" s="134" t="s">
        <v>1817</v>
      </c>
      <c r="F154" s="134" t="s">
        <v>3053</v>
      </c>
      <c r="G154" s="134">
        <v>1569</v>
      </c>
      <c r="H154" s="134">
        <v>1759</v>
      </c>
      <c r="I154" s="134">
        <v>8008</v>
      </c>
      <c r="J154" s="134">
        <v>302</v>
      </c>
      <c r="K154" s="134">
        <v>2</v>
      </c>
      <c r="L154" s="134">
        <v>0</v>
      </c>
      <c r="M154" s="134">
        <v>150</v>
      </c>
      <c r="N154" s="134"/>
      <c r="O154" s="134">
        <v>1</v>
      </c>
      <c r="P154" s="134"/>
      <c r="Q154" s="134">
        <v>1</v>
      </c>
      <c r="R154" s="134"/>
      <c r="S154" s="134">
        <v>3</v>
      </c>
    </row>
    <row r="155" spans="2:19" x14ac:dyDescent="0.3">
      <c r="B155" s="142" t="s">
        <v>1821</v>
      </c>
      <c r="C155" s="131">
        <v>554000</v>
      </c>
      <c r="D155" s="131" t="s">
        <v>887</v>
      </c>
      <c r="E155" s="134" t="s">
        <v>1679</v>
      </c>
      <c r="F155" s="134" t="s">
        <v>3053</v>
      </c>
      <c r="G155" s="134">
        <v>1607</v>
      </c>
      <c r="H155" s="134">
        <v>1797</v>
      </c>
      <c r="I155" s="134">
        <v>8008</v>
      </c>
      <c r="J155" s="134">
        <v>302</v>
      </c>
      <c r="K155" s="134">
        <v>0</v>
      </c>
      <c r="L155" s="134">
        <v>2</v>
      </c>
      <c r="M155" s="134">
        <v>150</v>
      </c>
      <c r="N155" s="134"/>
      <c r="O155" s="134">
        <v>1</v>
      </c>
      <c r="P155" s="134"/>
      <c r="Q155" s="134">
        <v>1</v>
      </c>
      <c r="R155" s="134"/>
      <c r="S155" s="134">
        <v>3</v>
      </c>
    </row>
    <row r="156" spans="2:19" x14ac:dyDescent="0.3">
      <c r="B156" s="142" t="s">
        <v>1829</v>
      </c>
      <c r="C156" s="131">
        <v>531900</v>
      </c>
      <c r="D156" s="131" t="s">
        <v>887</v>
      </c>
      <c r="E156" s="134" t="s">
        <v>1813</v>
      </c>
      <c r="F156" s="134" t="s">
        <v>3053</v>
      </c>
      <c r="G156" s="134">
        <v>1556</v>
      </c>
      <c r="H156" s="134">
        <v>1746</v>
      </c>
      <c r="I156" s="134">
        <v>8008</v>
      </c>
      <c r="J156" s="134">
        <v>295</v>
      </c>
      <c r="K156" s="134">
        <v>0</v>
      </c>
      <c r="L156" s="134">
        <v>1</v>
      </c>
      <c r="M156" s="474">
        <v>170</v>
      </c>
      <c r="N156" s="134"/>
      <c r="O156" s="134">
        <v>1</v>
      </c>
      <c r="P156" s="134"/>
      <c r="Q156" s="134">
        <v>1</v>
      </c>
      <c r="R156" s="134"/>
      <c r="S156" s="134">
        <v>3</v>
      </c>
    </row>
    <row r="157" spans="2:19" x14ac:dyDescent="0.3">
      <c r="B157" s="142" t="s">
        <v>1827</v>
      </c>
      <c r="C157" s="131">
        <v>535800</v>
      </c>
      <c r="D157" s="131" t="s">
        <v>887</v>
      </c>
      <c r="E157" s="134" t="s">
        <v>1813</v>
      </c>
      <c r="F157" s="134" t="s">
        <v>3053</v>
      </c>
      <c r="G157" s="134">
        <v>1531</v>
      </c>
      <c r="H157" s="134">
        <v>1721</v>
      </c>
      <c r="I157" s="134">
        <v>8008</v>
      </c>
      <c r="J157" s="134">
        <v>170</v>
      </c>
      <c r="K157" s="134">
        <v>0</v>
      </c>
      <c r="L157" s="134">
        <v>1</v>
      </c>
      <c r="M157" s="474">
        <v>170</v>
      </c>
      <c r="N157" s="134"/>
      <c r="O157" s="134">
        <v>2</v>
      </c>
      <c r="P157" s="134"/>
      <c r="Q157" s="134">
        <v>1</v>
      </c>
      <c r="R157" s="134"/>
      <c r="S157" s="134">
        <v>1</v>
      </c>
    </row>
    <row r="158" spans="2:19" x14ac:dyDescent="0.3">
      <c r="B158" s="142" t="s">
        <v>1812</v>
      </c>
      <c r="C158" s="131">
        <v>627700</v>
      </c>
      <c r="D158" s="131" t="s">
        <v>887</v>
      </c>
      <c r="E158" s="134" t="s">
        <v>1813</v>
      </c>
      <c r="F158" s="134" t="s">
        <v>3053</v>
      </c>
      <c r="G158" s="134">
        <v>1607</v>
      </c>
      <c r="H158" s="134">
        <v>1873</v>
      </c>
      <c r="I158" s="134">
        <v>8168</v>
      </c>
      <c r="J158" s="134">
        <v>295</v>
      </c>
      <c r="K158" s="134">
        <v>1</v>
      </c>
      <c r="L158" s="134">
        <v>1</v>
      </c>
      <c r="M158" s="474">
        <v>170</v>
      </c>
      <c r="N158" s="134"/>
      <c r="O158" s="134">
        <v>1</v>
      </c>
      <c r="P158" s="134"/>
      <c r="Q158" s="134">
        <v>1</v>
      </c>
      <c r="R158" s="134"/>
      <c r="S158" s="134">
        <v>3</v>
      </c>
    </row>
    <row r="159" spans="2:19" x14ac:dyDescent="0.3">
      <c r="B159" s="142" t="s">
        <v>1835</v>
      </c>
      <c r="C159" s="131">
        <v>508800</v>
      </c>
      <c r="D159" s="131" t="s">
        <v>887</v>
      </c>
      <c r="E159" s="134" t="s">
        <v>1820</v>
      </c>
      <c r="F159" s="134" t="s">
        <v>3053</v>
      </c>
      <c r="G159" s="134">
        <v>1506</v>
      </c>
      <c r="H159" s="134">
        <v>1683</v>
      </c>
      <c r="I159" s="134">
        <v>8000</v>
      </c>
      <c r="J159" s="134">
        <v>265</v>
      </c>
      <c r="K159" s="134">
        <v>0</v>
      </c>
      <c r="L159" s="134">
        <v>1</v>
      </c>
      <c r="M159" s="134">
        <v>150</v>
      </c>
      <c r="N159" s="134"/>
      <c r="O159" s="134">
        <v>1</v>
      </c>
      <c r="P159" s="134"/>
      <c r="Q159" s="134">
        <v>1</v>
      </c>
      <c r="R159" s="134"/>
      <c r="S159" s="134">
        <v>3</v>
      </c>
    </row>
    <row r="160" spans="2:19" x14ac:dyDescent="0.3">
      <c r="B160" s="142" t="s">
        <v>1836</v>
      </c>
      <c r="C160" s="131">
        <v>548600</v>
      </c>
      <c r="D160" s="131" t="s">
        <v>887</v>
      </c>
      <c r="E160" s="134" t="s">
        <v>1820</v>
      </c>
      <c r="F160" s="134" t="s">
        <v>3053</v>
      </c>
      <c r="G160" s="134">
        <v>1620</v>
      </c>
      <c r="H160" s="134">
        <v>1822</v>
      </c>
      <c r="I160" s="134">
        <v>8200</v>
      </c>
      <c r="J160" s="134">
        <v>302.2</v>
      </c>
      <c r="K160" s="134">
        <v>0</v>
      </c>
      <c r="L160" s="134">
        <v>1</v>
      </c>
      <c r="M160" s="134">
        <v>190</v>
      </c>
      <c r="N160" s="134"/>
      <c r="O160" s="134">
        <v>1</v>
      </c>
      <c r="P160" s="134"/>
      <c r="Q160" s="134">
        <v>1</v>
      </c>
      <c r="R160" s="134"/>
      <c r="S160" s="134">
        <v>3</v>
      </c>
    </row>
    <row r="161" spans="2:19" x14ac:dyDescent="0.3">
      <c r="B161" s="142" t="s">
        <v>1819</v>
      </c>
      <c r="C161" s="131">
        <v>575400</v>
      </c>
      <c r="D161" s="131" t="s">
        <v>887</v>
      </c>
      <c r="E161" s="134" t="s">
        <v>1820</v>
      </c>
      <c r="F161" s="134" t="s">
        <v>3053</v>
      </c>
      <c r="G161" s="134">
        <v>1620</v>
      </c>
      <c r="H161" s="134">
        <v>1822</v>
      </c>
      <c r="I161" s="134">
        <v>8200</v>
      </c>
      <c r="J161" s="134">
        <v>302.2</v>
      </c>
      <c r="K161" s="134">
        <v>0</v>
      </c>
      <c r="L161" s="134">
        <v>1</v>
      </c>
      <c r="M161" s="134">
        <v>190</v>
      </c>
      <c r="N161" s="134"/>
      <c r="O161" s="134">
        <v>1</v>
      </c>
      <c r="P161" s="134"/>
      <c r="Q161" s="134">
        <v>1</v>
      </c>
      <c r="R161" s="134"/>
      <c r="S161" s="134">
        <v>3</v>
      </c>
    </row>
    <row r="162" spans="2:19" x14ac:dyDescent="0.3">
      <c r="B162" s="142" t="s">
        <v>1831</v>
      </c>
      <c r="C162" s="131">
        <v>517450</v>
      </c>
      <c r="D162" s="131" t="s">
        <v>1832</v>
      </c>
      <c r="E162" s="134" t="s">
        <v>1833</v>
      </c>
      <c r="F162" s="134" t="s">
        <v>3053</v>
      </c>
      <c r="G162" s="134">
        <v>1506</v>
      </c>
      <c r="H162" s="134">
        <v>1683</v>
      </c>
      <c r="I162" s="134">
        <v>8008</v>
      </c>
      <c r="J162" s="134">
        <v>276</v>
      </c>
      <c r="K162" s="134">
        <v>0</v>
      </c>
      <c r="L162" s="134">
        <v>1</v>
      </c>
      <c r="M162" s="134">
        <v>150</v>
      </c>
      <c r="N162" s="134"/>
      <c r="O162" s="134">
        <v>1</v>
      </c>
      <c r="P162" s="134"/>
      <c r="Q162" s="134">
        <v>1</v>
      </c>
      <c r="R162" s="134"/>
      <c r="S162" s="134">
        <v>3</v>
      </c>
    </row>
    <row r="163" spans="2:19" x14ac:dyDescent="0.3">
      <c r="B163" s="142" t="s">
        <v>1814</v>
      </c>
      <c r="C163" s="131">
        <v>512300</v>
      </c>
      <c r="D163" s="131" t="s">
        <v>887</v>
      </c>
      <c r="E163" s="134" t="s">
        <v>1815</v>
      </c>
      <c r="F163" s="134" t="s">
        <v>3053</v>
      </c>
      <c r="G163" s="134">
        <v>1556</v>
      </c>
      <c r="H163" s="134">
        <v>1746</v>
      </c>
      <c r="I163" s="134">
        <v>8008</v>
      </c>
      <c r="J163" s="134">
        <v>279</v>
      </c>
      <c r="K163" s="134">
        <v>0</v>
      </c>
      <c r="L163" s="134">
        <v>1</v>
      </c>
      <c r="M163" s="134">
        <v>150</v>
      </c>
      <c r="N163" s="134"/>
      <c r="O163" s="134">
        <v>1</v>
      </c>
      <c r="P163" s="134"/>
      <c r="Q163" s="134">
        <v>1</v>
      </c>
      <c r="R163" s="134"/>
      <c r="S163" s="134">
        <v>3</v>
      </c>
    </row>
    <row r="164" spans="2:19" x14ac:dyDescent="0.3">
      <c r="B164" s="142" t="s">
        <v>1808</v>
      </c>
      <c r="C164" s="131">
        <v>567600</v>
      </c>
      <c r="D164" s="131" t="s">
        <v>887</v>
      </c>
      <c r="E164" s="134" t="s">
        <v>1809</v>
      </c>
      <c r="F164" s="134" t="s">
        <v>3053</v>
      </c>
      <c r="G164" s="134">
        <v>1607</v>
      </c>
      <c r="H164" s="134">
        <v>1797</v>
      </c>
      <c r="I164" s="134">
        <v>8108</v>
      </c>
      <c r="J164" s="134">
        <v>279</v>
      </c>
      <c r="K164" s="134">
        <v>1</v>
      </c>
      <c r="L164" s="134">
        <v>1</v>
      </c>
      <c r="M164" s="134">
        <v>150</v>
      </c>
      <c r="N164" s="134"/>
      <c r="O164" s="134">
        <v>1</v>
      </c>
      <c r="P164" s="134"/>
      <c r="Q164" s="134">
        <v>1</v>
      </c>
      <c r="R164" s="134"/>
      <c r="S164" s="134">
        <v>3</v>
      </c>
    </row>
    <row r="165" spans="2:19" x14ac:dyDescent="0.3">
      <c r="B165" s="142" t="s">
        <v>1825</v>
      </c>
      <c r="C165" s="131">
        <v>642700</v>
      </c>
      <c r="D165" s="131" t="s">
        <v>887</v>
      </c>
      <c r="E165" s="134" t="s">
        <v>1826</v>
      </c>
      <c r="F165" s="134" t="s">
        <v>3053</v>
      </c>
      <c r="G165" s="134">
        <v>1657</v>
      </c>
      <c r="H165" s="134">
        <v>1860</v>
      </c>
      <c r="I165" s="134">
        <v>8108</v>
      </c>
      <c r="J165" s="134">
        <v>279</v>
      </c>
      <c r="K165" s="134">
        <v>1</v>
      </c>
      <c r="L165" s="134">
        <v>1</v>
      </c>
      <c r="M165" s="134">
        <v>150</v>
      </c>
      <c r="N165" s="134"/>
      <c r="O165" s="134">
        <v>1</v>
      </c>
      <c r="P165" s="134"/>
      <c r="Q165" s="134">
        <v>1</v>
      </c>
      <c r="R165" s="134"/>
      <c r="S165" s="134">
        <v>3</v>
      </c>
    </row>
    <row r="166" spans="2:19" x14ac:dyDescent="0.3">
      <c r="B166" s="142" t="s">
        <v>1830</v>
      </c>
      <c r="C166" s="131">
        <v>646500</v>
      </c>
      <c r="D166" s="131" t="s">
        <v>887</v>
      </c>
      <c r="E166" s="134" t="s">
        <v>1826</v>
      </c>
      <c r="F166" s="134" t="s">
        <v>3053</v>
      </c>
      <c r="G166" s="134">
        <v>1657</v>
      </c>
      <c r="H166" s="134">
        <v>1797</v>
      </c>
      <c r="I166" s="134">
        <v>8108</v>
      </c>
      <c r="J166" s="134">
        <v>270</v>
      </c>
      <c r="K166" s="134">
        <v>0</v>
      </c>
      <c r="L166" s="134">
        <v>1</v>
      </c>
      <c r="M166" s="134">
        <v>150</v>
      </c>
      <c r="N166" s="134"/>
      <c r="O166" s="134">
        <v>1</v>
      </c>
      <c r="P166" s="134"/>
      <c r="Q166" s="134">
        <v>1</v>
      </c>
      <c r="R166" s="134"/>
      <c r="S166" s="134">
        <v>3</v>
      </c>
    </row>
    <row r="167" spans="2:19" x14ac:dyDescent="0.3">
      <c r="B167" s="142" t="s">
        <v>1803</v>
      </c>
      <c r="C167" s="131">
        <v>495400</v>
      </c>
      <c r="D167" s="131" t="s">
        <v>887</v>
      </c>
      <c r="E167" s="134" t="s">
        <v>1804</v>
      </c>
      <c r="F167" s="134" t="s">
        <v>3053</v>
      </c>
      <c r="G167" s="134">
        <v>1518</v>
      </c>
      <c r="H167" s="134">
        <v>1708</v>
      </c>
      <c r="I167" s="134">
        <v>8000</v>
      </c>
      <c r="J167" s="134">
        <v>210</v>
      </c>
      <c r="K167" s="134">
        <v>0</v>
      </c>
      <c r="L167" s="134">
        <v>1</v>
      </c>
      <c r="M167" s="134">
        <v>150</v>
      </c>
      <c r="N167" s="134"/>
      <c r="O167" s="134">
        <v>1</v>
      </c>
      <c r="P167" s="134"/>
      <c r="Q167" s="134">
        <v>1</v>
      </c>
      <c r="R167" s="134"/>
      <c r="S167" s="134">
        <v>3</v>
      </c>
    </row>
    <row r="168" spans="2:19" x14ac:dyDescent="0.3">
      <c r="B168" s="142" t="s">
        <v>1811</v>
      </c>
      <c r="C168" s="131">
        <v>538800</v>
      </c>
      <c r="D168" s="131" t="s">
        <v>887</v>
      </c>
      <c r="E168" s="134" t="s">
        <v>1804</v>
      </c>
      <c r="F168" s="134" t="s">
        <v>3053</v>
      </c>
      <c r="G168" s="134">
        <v>1607</v>
      </c>
      <c r="H168" s="134">
        <v>1797</v>
      </c>
      <c r="I168" s="134">
        <v>8000</v>
      </c>
      <c r="J168" s="134">
        <v>300</v>
      </c>
      <c r="K168" s="134">
        <v>0</v>
      </c>
      <c r="L168" s="134">
        <v>2</v>
      </c>
      <c r="M168" s="134">
        <v>220</v>
      </c>
      <c r="N168" s="134"/>
      <c r="O168" s="134">
        <v>1</v>
      </c>
      <c r="P168" s="134"/>
      <c r="Q168" s="134">
        <v>1</v>
      </c>
      <c r="R168" s="134"/>
      <c r="S168" s="134">
        <v>3</v>
      </c>
    </row>
    <row r="169" spans="2:19" x14ac:dyDescent="0.3">
      <c r="B169" s="142" t="s">
        <v>1810</v>
      </c>
      <c r="C169" s="131">
        <v>576100</v>
      </c>
      <c r="D169" s="131" t="s">
        <v>887</v>
      </c>
      <c r="E169" s="134" t="s">
        <v>1804</v>
      </c>
      <c r="F169" s="134" t="s">
        <v>3053</v>
      </c>
      <c r="G169" s="134">
        <v>1632</v>
      </c>
      <c r="H169" s="134">
        <v>1835</v>
      </c>
      <c r="I169" s="134">
        <v>8208</v>
      </c>
      <c r="J169" s="134">
        <v>325</v>
      </c>
      <c r="K169" s="134">
        <v>0</v>
      </c>
      <c r="L169" s="134">
        <v>2</v>
      </c>
      <c r="M169" s="134">
        <v>250</v>
      </c>
      <c r="N169" s="134"/>
      <c r="O169" s="134">
        <v>1</v>
      </c>
      <c r="P169" s="134"/>
      <c r="Q169" s="134">
        <v>1</v>
      </c>
      <c r="R169" s="134"/>
      <c r="S169" s="134">
        <v>3</v>
      </c>
    </row>
    <row r="170" spans="2:19" x14ac:dyDescent="0.3">
      <c r="B170" s="142" t="s">
        <v>1824</v>
      </c>
      <c r="C170" s="131">
        <v>502600</v>
      </c>
      <c r="D170" s="131" t="s">
        <v>887</v>
      </c>
      <c r="E170" s="134" t="s">
        <v>1806</v>
      </c>
      <c r="F170" s="134" t="s">
        <v>3053</v>
      </c>
      <c r="G170" s="134">
        <v>1518</v>
      </c>
      <c r="H170" s="134">
        <v>1708</v>
      </c>
      <c r="I170" s="134">
        <v>8008</v>
      </c>
      <c r="J170" s="134">
        <v>282</v>
      </c>
      <c r="K170" s="134">
        <v>1</v>
      </c>
      <c r="L170" s="134">
        <v>1</v>
      </c>
      <c r="M170" s="134">
        <v>150</v>
      </c>
      <c r="N170" s="134"/>
      <c r="O170" s="134">
        <v>1</v>
      </c>
      <c r="P170" s="134"/>
      <c r="Q170" s="134">
        <v>1</v>
      </c>
      <c r="R170" s="134"/>
      <c r="S170" s="134">
        <v>3</v>
      </c>
    </row>
    <row r="171" spans="2:19" x14ac:dyDescent="0.3">
      <c r="B171" s="142" t="s">
        <v>1805</v>
      </c>
      <c r="C171" s="131">
        <v>549900</v>
      </c>
      <c r="D171" s="131" t="s">
        <v>887</v>
      </c>
      <c r="E171" s="134" t="s">
        <v>1806</v>
      </c>
      <c r="F171" s="134" t="s">
        <v>3053</v>
      </c>
      <c r="G171" s="134">
        <v>1594</v>
      </c>
      <c r="H171" s="134">
        <v>1784</v>
      </c>
      <c r="I171" s="134">
        <v>8008</v>
      </c>
      <c r="J171" s="134">
        <v>296</v>
      </c>
      <c r="K171" s="134">
        <v>1</v>
      </c>
      <c r="L171" s="134">
        <v>1</v>
      </c>
      <c r="M171" s="134">
        <v>150</v>
      </c>
      <c r="N171" s="134"/>
      <c r="O171" s="134">
        <v>1</v>
      </c>
      <c r="P171" s="134"/>
      <c r="Q171" s="134">
        <v>1</v>
      </c>
      <c r="R171" s="134"/>
      <c r="S171" s="134">
        <v>3</v>
      </c>
    </row>
    <row r="172" spans="2:19" x14ac:dyDescent="0.3">
      <c r="B172" s="142" t="s">
        <v>1822</v>
      </c>
      <c r="C172" s="131">
        <v>662500</v>
      </c>
      <c r="D172" s="131" t="s">
        <v>1740</v>
      </c>
      <c r="E172" s="134" t="s">
        <v>1806</v>
      </c>
      <c r="F172" s="134" t="s">
        <v>3053</v>
      </c>
      <c r="G172" s="134">
        <v>1620</v>
      </c>
      <c r="H172" s="134">
        <v>1822</v>
      </c>
      <c r="I172" s="134">
        <v>8008</v>
      </c>
      <c r="J172" s="134">
        <v>317</v>
      </c>
      <c r="K172" s="134">
        <v>0</v>
      </c>
      <c r="L172" s="134">
        <v>2</v>
      </c>
      <c r="M172" s="134">
        <v>150</v>
      </c>
      <c r="N172" s="134"/>
      <c r="O172" s="134">
        <v>1</v>
      </c>
      <c r="P172" s="134"/>
      <c r="Q172" s="134">
        <v>1</v>
      </c>
      <c r="R172" s="134"/>
      <c r="S172" s="134">
        <v>3</v>
      </c>
    </row>
    <row r="173" spans="2:19" x14ac:dyDescent="0.3">
      <c r="B173" s="142" t="s">
        <v>1823</v>
      </c>
      <c r="C173" s="131">
        <v>527400</v>
      </c>
      <c r="D173" s="131" t="s">
        <v>887</v>
      </c>
      <c r="E173" s="134" t="s">
        <v>1807</v>
      </c>
      <c r="F173" s="134" t="s">
        <v>3053</v>
      </c>
      <c r="G173" s="134">
        <v>1506</v>
      </c>
      <c r="H173" s="134">
        <v>1683</v>
      </c>
      <c r="I173" s="134">
        <v>8000</v>
      </c>
      <c r="J173" s="134">
        <v>285</v>
      </c>
      <c r="K173" s="134">
        <v>0</v>
      </c>
      <c r="L173" s="134">
        <v>1</v>
      </c>
      <c r="M173" s="134">
        <v>170</v>
      </c>
      <c r="N173" s="134"/>
      <c r="O173" s="134">
        <v>1</v>
      </c>
      <c r="P173" s="134"/>
      <c r="Q173" s="134">
        <v>1</v>
      </c>
      <c r="R173" s="134"/>
      <c r="S173" s="134">
        <v>3</v>
      </c>
    </row>
    <row r="174" spans="2:19" x14ac:dyDescent="0.3">
      <c r="B174" s="142" t="s">
        <v>1828</v>
      </c>
      <c r="C174" s="131">
        <v>538100</v>
      </c>
      <c r="D174" s="131" t="s">
        <v>887</v>
      </c>
      <c r="E174" s="134" t="s">
        <v>1807</v>
      </c>
      <c r="F174" s="134" t="s">
        <v>3053</v>
      </c>
      <c r="G174" s="134">
        <v>1594</v>
      </c>
      <c r="H174" s="134">
        <v>1784</v>
      </c>
      <c r="I174" s="134">
        <v>8000</v>
      </c>
      <c r="J174" s="134">
        <v>282</v>
      </c>
      <c r="K174" s="134">
        <v>1</v>
      </c>
      <c r="L174" s="134">
        <v>1</v>
      </c>
      <c r="M174" s="134">
        <v>150</v>
      </c>
      <c r="N174" s="134"/>
      <c r="O174" s="134">
        <v>1</v>
      </c>
      <c r="P174" s="134"/>
      <c r="Q174" s="134">
        <v>1</v>
      </c>
      <c r="R174" s="134"/>
      <c r="S174" s="134">
        <v>3</v>
      </c>
    </row>
    <row r="175" spans="2:19" x14ac:dyDescent="0.3">
      <c r="B175" s="142" t="s">
        <v>3132</v>
      </c>
      <c r="C175" s="131">
        <v>560100</v>
      </c>
      <c r="D175" s="131" t="s">
        <v>887</v>
      </c>
      <c r="E175" s="134" t="s">
        <v>1807</v>
      </c>
      <c r="F175" s="134" t="s">
        <v>3053</v>
      </c>
      <c r="G175" s="134">
        <v>1632</v>
      </c>
      <c r="H175" s="134">
        <v>1835</v>
      </c>
      <c r="I175" s="134">
        <v>8000</v>
      </c>
      <c r="J175" s="134">
        <v>285</v>
      </c>
      <c r="K175" s="134">
        <v>0</v>
      </c>
      <c r="L175" s="134">
        <v>1</v>
      </c>
      <c r="M175" s="134">
        <v>170</v>
      </c>
      <c r="N175" s="134"/>
      <c r="O175" s="134">
        <v>1</v>
      </c>
      <c r="P175" s="134"/>
      <c r="Q175" s="134">
        <v>1</v>
      </c>
      <c r="R175" s="134"/>
      <c r="S175" s="134">
        <v>3</v>
      </c>
    </row>
    <row r="176" spans="2:19" x14ac:dyDescent="0.3">
      <c r="B176" s="142" t="s">
        <v>918</v>
      </c>
      <c r="C176" s="131"/>
      <c r="D176" s="131"/>
      <c r="E176" s="134"/>
      <c r="F176" s="134"/>
      <c r="G176" s="13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</row>
    <row r="177" spans="2:19" x14ac:dyDescent="0.3">
      <c r="B177" s="142" t="s">
        <v>1841</v>
      </c>
      <c r="C177" s="131">
        <v>891400</v>
      </c>
      <c r="D177" s="131" t="s">
        <v>887</v>
      </c>
      <c r="E177" s="134" t="s">
        <v>1346</v>
      </c>
      <c r="F177" s="134" t="s">
        <v>3054</v>
      </c>
      <c r="G177" s="134">
        <v>1670</v>
      </c>
      <c r="H177" s="134">
        <v>1809</v>
      </c>
      <c r="I177" s="134">
        <v>10010</v>
      </c>
      <c r="J177" s="134">
        <v>298</v>
      </c>
      <c r="K177" s="134">
        <v>1</v>
      </c>
      <c r="L177" s="134">
        <v>1</v>
      </c>
      <c r="M177" s="134">
        <v>180</v>
      </c>
      <c r="N177" s="134"/>
      <c r="O177" s="134">
        <v>1</v>
      </c>
      <c r="P177" s="134"/>
      <c r="Q177" s="134">
        <v>2</v>
      </c>
      <c r="R177" s="134"/>
      <c r="S177" s="134">
        <v>2</v>
      </c>
    </row>
    <row r="178" spans="2:19" x14ac:dyDescent="0.3">
      <c r="B178" s="142" t="s">
        <v>1843</v>
      </c>
      <c r="C178" s="131">
        <v>824500</v>
      </c>
      <c r="D178" s="131" t="s">
        <v>887</v>
      </c>
      <c r="E178" s="134" t="s">
        <v>1679</v>
      </c>
      <c r="F178" s="134" t="s">
        <v>3054</v>
      </c>
      <c r="G178" s="134">
        <v>1645</v>
      </c>
      <c r="H178" s="134">
        <v>1784</v>
      </c>
      <c r="I178" s="134">
        <v>10010</v>
      </c>
      <c r="J178" s="134">
        <v>302</v>
      </c>
      <c r="K178" s="134">
        <v>0</v>
      </c>
      <c r="L178" s="134">
        <v>2</v>
      </c>
      <c r="M178" s="134">
        <v>180</v>
      </c>
      <c r="N178" s="134"/>
      <c r="O178" s="134">
        <v>1</v>
      </c>
      <c r="P178" s="134"/>
      <c r="Q178" s="134">
        <v>1</v>
      </c>
      <c r="R178" s="134"/>
      <c r="S178" s="134">
        <v>3</v>
      </c>
    </row>
    <row r="179" spans="2:19" x14ac:dyDescent="0.3">
      <c r="B179" s="142" t="s">
        <v>1858</v>
      </c>
      <c r="C179" s="131">
        <v>858100</v>
      </c>
      <c r="D179" s="131" t="s">
        <v>887</v>
      </c>
      <c r="E179" s="134" t="s">
        <v>1680</v>
      </c>
      <c r="F179" s="134" t="s">
        <v>3054</v>
      </c>
      <c r="G179" s="134">
        <v>1632</v>
      </c>
      <c r="H179" s="134">
        <v>1771</v>
      </c>
      <c r="I179" s="134">
        <v>10010</v>
      </c>
      <c r="J179" s="134">
        <v>280</v>
      </c>
      <c r="K179" s="134">
        <v>0</v>
      </c>
      <c r="L179" s="134">
        <v>1</v>
      </c>
      <c r="M179" s="474">
        <v>180</v>
      </c>
      <c r="N179" s="134"/>
      <c r="O179" s="134">
        <v>1</v>
      </c>
      <c r="P179" s="134"/>
      <c r="Q179" s="134">
        <v>1</v>
      </c>
      <c r="R179" s="134"/>
      <c r="S179" s="134">
        <v>3</v>
      </c>
    </row>
    <row r="180" spans="2:19" x14ac:dyDescent="0.3">
      <c r="B180" s="142" t="s">
        <v>1852</v>
      </c>
      <c r="C180" s="131">
        <v>902400</v>
      </c>
      <c r="D180" s="131" t="s">
        <v>887</v>
      </c>
      <c r="E180" s="134" t="s">
        <v>1680</v>
      </c>
      <c r="F180" s="134" t="s">
        <v>3054</v>
      </c>
      <c r="G180" s="134">
        <v>1695</v>
      </c>
      <c r="H180" s="134">
        <v>1835</v>
      </c>
      <c r="I180" s="134">
        <v>10010</v>
      </c>
      <c r="J180" s="134">
        <v>286</v>
      </c>
      <c r="K180" s="134">
        <v>0</v>
      </c>
      <c r="L180" s="134">
        <v>1</v>
      </c>
      <c r="M180" s="474">
        <v>180</v>
      </c>
      <c r="N180" s="134"/>
      <c r="O180" s="134">
        <v>1</v>
      </c>
      <c r="P180" s="134"/>
      <c r="Q180" s="134">
        <v>1</v>
      </c>
      <c r="R180" s="134"/>
      <c r="S180" s="134">
        <v>3</v>
      </c>
    </row>
    <row r="181" spans="2:19" x14ac:dyDescent="0.3">
      <c r="B181" s="142" t="s">
        <v>3153</v>
      </c>
      <c r="C181" s="131">
        <v>1019900</v>
      </c>
      <c r="D181" s="131" t="s">
        <v>887</v>
      </c>
      <c r="E181" s="134" t="s">
        <v>1847</v>
      </c>
      <c r="F181" s="134" t="s">
        <v>3054</v>
      </c>
      <c r="G181" s="134">
        <v>1759</v>
      </c>
      <c r="H181" s="134">
        <v>1898</v>
      </c>
      <c r="I181" s="134">
        <v>10211</v>
      </c>
      <c r="J181" s="134">
        <v>295</v>
      </c>
      <c r="K181" s="134">
        <v>0</v>
      </c>
      <c r="L181" s="134">
        <v>2</v>
      </c>
      <c r="M181" s="474">
        <v>270</v>
      </c>
      <c r="N181" s="134"/>
      <c r="O181" s="134">
        <v>1</v>
      </c>
      <c r="P181" s="134"/>
      <c r="Q181" s="134">
        <v>1</v>
      </c>
      <c r="R181" s="134"/>
      <c r="S181" s="134">
        <v>3</v>
      </c>
    </row>
    <row r="182" spans="2:19" x14ac:dyDescent="0.3">
      <c r="B182" s="142" t="s">
        <v>1857</v>
      </c>
      <c r="C182" s="131">
        <v>821500</v>
      </c>
      <c r="D182" s="131" t="s">
        <v>887</v>
      </c>
      <c r="E182" s="134" t="s">
        <v>1854</v>
      </c>
      <c r="F182" s="134" t="s">
        <v>3054</v>
      </c>
      <c r="G182" s="134">
        <v>1607</v>
      </c>
      <c r="H182" s="134">
        <v>1733</v>
      </c>
      <c r="I182" s="134">
        <v>10000</v>
      </c>
      <c r="J182" s="134">
        <v>266</v>
      </c>
      <c r="K182" s="134">
        <v>0</v>
      </c>
      <c r="L182" s="134">
        <v>1</v>
      </c>
      <c r="M182" s="134">
        <v>180</v>
      </c>
      <c r="N182" s="134"/>
      <c r="O182" s="134">
        <v>1</v>
      </c>
      <c r="P182" s="134"/>
      <c r="Q182" s="134">
        <v>1</v>
      </c>
      <c r="R182" s="134"/>
      <c r="S182" s="134">
        <v>3</v>
      </c>
    </row>
    <row r="183" spans="2:19" x14ac:dyDescent="0.3">
      <c r="B183" s="142" t="s">
        <v>1853</v>
      </c>
      <c r="C183" s="131">
        <v>858900</v>
      </c>
      <c r="D183" s="131" t="s">
        <v>887</v>
      </c>
      <c r="E183" s="134" t="s">
        <v>1854</v>
      </c>
      <c r="F183" s="134" t="s">
        <v>3054</v>
      </c>
      <c r="G183" s="134">
        <v>1733</v>
      </c>
      <c r="H183" s="134">
        <v>1873</v>
      </c>
      <c r="I183" s="134">
        <v>10400</v>
      </c>
      <c r="J183" s="134">
        <v>302.2</v>
      </c>
      <c r="K183" s="134">
        <v>1</v>
      </c>
      <c r="L183" s="134">
        <v>1</v>
      </c>
      <c r="M183" s="134">
        <v>230</v>
      </c>
      <c r="N183" s="134"/>
      <c r="O183" s="134">
        <v>1</v>
      </c>
      <c r="P183" s="134"/>
      <c r="Q183" s="134">
        <v>1</v>
      </c>
      <c r="R183" s="134"/>
      <c r="S183" s="134">
        <v>3</v>
      </c>
    </row>
    <row r="184" spans="2:19" x14ac:dyDescent="0.3">
      <c r="B184" s="142" t="s">
        <v>1856</v>
      </c>
      <c r="C184" s="131">
        <v>881400</v>
      </c>
      <c r="D184" s="131" t="s">
        <v>887</v>
      </c>
      <c r="E184" s="134" t="s">
        <v>1854</v>
      </c>
      <c r="F184" s="134" t="s">
        <v>3054</v>
      </c>
      <c r="G184" s="134">
        <v>1733</v>
      </c>
      <c r="H184" s="134">
        <v>1873</v>
      </c>
      <c r="I184" s="134">
        <v>10400</v>
      </c>
      <c r="J184" s="134">
        <v>302.2</v>
      </c>
      <c r="K184" s="134">
        <v>1</v>
      </c>
      <c r="L184" s="134">
        <v>1</v>
      </c>
      <c r="M184" s="134">
        <v>230</v>
      </c>
      <c r="N184" s="134"/>
      <c r="O184" s="134">
        <v>1</v>
      </c>
      <c r="P184" s="134"/>
      <c r="Q184" s="134">
        <v>1</v>
      </c>
      <c r="R184" s="134"/>
      <c r="S184" s="134">
        <v>3</v>
      </c>
    </row>
    <row r="185" spans="2:19" x14ac:dyDescent="0.3">
      <c r="B185" s="142" t="s">
        <v>1848</v>
      </c>
      <c r="C185" s="131">
        <v>803800</v>
      </c>
      <c r="D185" s="131" t="s">
        <v>887</v>
      </c>
      <c r="E185" s="134" t="s">
        <v>1749</v>
      </c>
      <c r="F185" s="134" t="s">
        <v>3054</v>
      </c>
      <c r="G185" s="134">
        <v>1607</v>
      </c>
      <c r="H185" s="134">
        <v>1733</v>
      </c>
      <c r="I185" s="134">
        <v>10010</v>
      </c>
      <c r="J185" s="134">
        <v>276</v>
      </c>
      <c r="K185" s="134">
        <v>0</v>
      </c>
      <c r="L185" s="134">
        <v>1</v>
      </c>
      <c r="M185" s="134">
        <v>180</v>
      </c>
      <c r="N185" s="134"/>
      <c r="O185" s="134">
        <v>1</v>
      </c>
      <c r="P185" s="134"/>
      <c r="Q185" s="134">
        <v>1</v>
      </c>
      <c r="R185" s="134"/>
      <c r="S185" s="134">
        <v>3</v>
      </c>
    </row>
    <row r="186" spans="2:19" x14ac:dyDescent="0.3">
      <c r="B186" s="142" t="s">
        <v>1844</v>
      </c>
      <c r="C186" s="131">
        <v>833500</v>
      </c>
      <c r="D186" s="131" t="s">
        <v>887</v>
      </c>
      <c r="E186" s="134" t="s">
        <v>1845</v>
      </c>
      <c r="F186" s="134" t="s">
        <v>3054</v>
      </c>
      <c r="G186" s="134">
        <v>1657</v>
      </c>
      <c r="H186" s="134">
        <v>1797</v>
      </c>
      <c r="I186" s="134">
        <v>10010</v>
      </c>
      <c r="J186" s="134">
        <v>279</v>
      </c>
      <c r="K186" s="134">
        <v>1</v>
      </c>
      <c r="L186" s="134">
        <v>1</v>
      </c>
      <c r="M186" s="134">
        <v>180</v>
      </c>
      <c r="N186" s="134"/>
      <c r="O186" s="134">
        <v>1</v>
      </c>
      <c r="P186" s="134"/>
      <c r="Q186" s="134">
        <v>1</v>
      </c>
      <c r="R186" s="134"/>
      <c r="S186" s="134">
        <v>3</v>
      </c>
    </row>
    <row r="187" spans="2:19" x14ac:dyDescent="0.3">
      <c r="B187" s="142" t="s">
        <v>1838</v>
      </c>
      <c r="C187" s="131">
        <v>936900</v>
      </c>
      <c r="D187" s="131" t="s">
        <v>887</v>
      </c>
      <c r="E187" s="134" t="s">
        <v>1737</v>
      </c>
      <c r="F187" s="134" t="s">
        <v>3054</v>
      </c>
      <c r="G187" s="134">
        <v>1708</v>
      </c>
      <c r="H187" s="134">
        <v>1847</v>
      </c>
      <c r="I187" s="134">
        <v>10108</v>
      </c>
      <c r="J187" s="134">
        <v>279</v>
      </c>
      <c r="K187" s="134">
        <v>1</v>
      </c>
      <c r="L187" s="134">
        <v>1</v>
      </c>
      <c r="M187" s="134">
        <v>180</v>
      </c>
      <c r="N187" s="134"/>
      <c r="O187" s="134">
        <v>1</v>
      </c>
      <c r="P187" s="134"/>
      <c r="Q187" s="134">
        <v>1</v>
      </c>
      <c r="R187" s="134"/>
      <c r="S187" s="134">
        <v>3</v>
      </c>
    </row>
    <row r="188" spans="2:19" x14ac:dyDescent="0.3">
      <c r="B188" s="142" t="s">
        <v>1842</v>
      </c>
      <c r="C188" s="131">
        <v>856200</v>
      </c>
      <c r="D188" s="131" t="s">
        <v>887</v>
      </c>
      <c r="E188" s="134" t="s">
        <v>1735</v>
      </c>
      <c r="F188" s="134" t="s">
        <v>3054</v>
      </c>
      <c r="G188" s="134">
        <v>1683</v>
      </c>
      <c r="H188" s="134">
        <v>1822</v>
      </c>
      <c r="I188" s="134">
        <v>10000</v>
      </c>
      <c r="J188" s="134">
        <v>300</v>
      </c>
      <c r="K188" s="134">
        <v>0</v>
      </c>
      <c r="L188" s="134">
        <v>2</v>
      </c>
      <c r="M188" s="134">
        <v>230</v>
      </c>
      <c r="N188" s="134"/>
      <c r="O188" s="134">
        <v>1</v>
      </c>
      <c r="P188" s="134"/>
      <c r="Q188" s="134">
        <v>1</v>
      </c>
      <c r="R188" s="134"/>
      <c r="S188" s="134">
        <v>3</v>
      </c>
    </row>
    <row r="189" spans="2:19" x14ac:dyDescent="0.3">
      <c r="B189" s="142" t="s">
        <v>1839</v>
      </c>
      <c r="C189" s="131">
        <v>962200</v>
      </c>
      <c r="D189" s="131" t="s">
        <v>887</v>
      </c>
      <c r="E189" s="134" t="s">
        <v>1840</v>
      </c>
      <c r="F189" s="134" t="s">
        <v>3054</v>
      </c>
      <c r="G189" s="134">
        <v>1771</v>
      </c>
      <c r="H189" s="134">
        <v>1911</v>
      </c>
      <c r="I189" s="134">
        <v>10800</v>
      </c>
      <c r="J189" s="134">
        <v>325</v>
      </c>
      <c r="K189" s="134">
        <v>0</v>
      </c>
      <c r="L189" s="134">
        <v>2</v>
      </c>
      <c r="M189" s="134">
        <v>270</v>
      </c>
      <c r="N189" s="134"/>
      <c r="O189" s="134">
        <v>1</v>
      </c>
      <c r="P189" s="134"/>
      <c r="Q189" s="134">
        <v>1</v>
      </c>
      <c r="R189" s="134"/>
      <c r="S189" s="134">
        <v>3</v>
      </c>
    </row>
    <row r="190" spans="2:19" x14ac:dyDescent="0.3">
      <c r="B190" s="142" t="s">
        <v>1849</v>
      </c>
      <c r="C190" s="131">
        <v>862000</v>
      </c>
      <c r="D190" s="131" t="s">
        <v>887</v>
      </c>
      <c r="E190" s="134" t="s">
        <v>1850</v>
      </c>
      <c r="F190" s="134" t="s">
        <v>3054</v>
      </c>
      <c r="G190" s="134">
        <v>1657</v>
      </c>
      <c r="H190" s="134">
        <v>1797</v>
      </c>
      <c r="I190" s="134">
        <v>10010</v>
      </c>
      <c r="J190" s="134">
        <v>282</v>
      </c>
      <c r="K190" s="134">
        <v>1</v>
      </c>
      <c r="L190" s="134">
        <v>1</v>
      </c>
      <c r="M190" s="134">
        <v>180</v>
      </c>
      <c r="N190" s="134"/>
      <c r="O190" s="134">
        <v>1</v>
      </c>
      <c r="P190" s="134"/>
      <c r="Q190" s="134">
        <v>1</v>
      </c>
      <c r="R190" s="134"/>
      <c r="S190" s="134">
        <v>3</v>
      </c>
    </row>
    <row r="191" spans="2:19" x14ac:dyDescent="0.3">
      <c r="B191" s="142" t="s">
        <v>1846</v>
      </c>
      <c r="C191" s="131">
        <v>873400</v>
      </c>
      <c r="D191" s="131" t="s">
        <v>887</v>
      </c>
      <c r="E191" s="134" t="s">
        <v>1741</v>
      </c>
      <c r="F191" s="134" t="s">
        <v>3054</v>
      </c>
      <c r="G191" s="134">
        <v>1657</v>
      </c>
      <c r="H191" s="134">
        <v>1797</v>
      </c>
      <c r="I191" s="134">
        <v>10010</v>
      </c>
      <c r="J191" s="134">
        <v>282</v>
      </c>
      <c r="K191" s="134">
        <v>1</v>
      </c>
      <c r="L191" s="134">
        <v>1</v>
      </c>
      <c r="M191" s="134">
        <v>180</v>
      </c>
      <c r="N191" s="134"/>
      <c r="O191" s="134">
        <v>1</v>
      </c>
      <c r="P191" s="134"/>
      <c r="Q191" s="134">
        <v>1</v>
      </c>
      <c r="R191" s="134"/>
      <c r="S191" s="134">
        <v>3</v>
      </c>
    </row>
    <row r="192" spans="2:19" x14ac:dyDescent="0.3">
      <c r="B192" s="142" t="s">
        <v>1851</v>
      </c>
      <c r="C192" s="131">
        <v>1046900</v>
      </c>
      <c r="D192" s="131" t="s">
        <v>887</v>
      </c>
      <c r="E192" s="134" t="s">
        <v>1741</v>
      </c>
      <c r="F192" s="134" t="s">
        <v>3054</v>
      </c>
      <c r="G192" s="134">
        <v>1733</v>
      </c>
      <c r="H192" s="134">
        <v>1873</v>
      </c>
      <c r="I192" s="134">
        <v>10010</v>
      </c>
      <c r="J192" s="134">
        <v>317</v>
      </c>
      <c r="K192" s="134">
        <v>0</v>
      </c>
      <c r="L192" s="134">
        <v>2</v>
      </c>
      <c r="M192" s="134">
        <v>180</v>
      </c>
      <c r="N192" s="134"/>
      <c r="O192" s="134">
        <v>1</v>
      </c>
      <c r="P192" s="134"/>
      <c r="Q192" s="134">
        <v>1</v>
      </c>
      <c r="R192" s="134"/>
      <c r="S192" s="134">
        <v>3</v>
      </c>
    </row>
    <row r="193" spans="2:19" x14ac:dyDescent="0.3">
      <c r="B193" s="142" t="s">
        <v>1855</v>
      </c>
      <c r="C193" s="131">
        <v>847700</v>
      </c>
      <c r="D193" s="131" t="s">
        <v>887</v>
      </c>
      <c r="E193" s="134" t="s">
        <v>1807</v>
      </c>
      <c r="F193" s="134" t="s">
        <v>3054</v>
      </c>
      <c r="G193" s="134">
        <v>1607</v>
      </c>
      <c r="H193" s="134">
        <v>1733</v>
      </c>
      <c r="I193" s="134">
        <v>10000</v>
      </c>
      <c r="J193" s="134">
        <v>280</v>
      </c>
      <c r="K193" s="134">
        <v>1</v>
      </c>
      <c r="L193" s="134">
        <v>1</v>
      </c>
      <c r="M193" s="134">
        <v>180</v>
      </c>
      <c r="N193" s="134"/>
      <c r="O193" s="134">
        <v>1</v>
      </c>
      <c r="P193" s="134"/>
      <c r="Q193" s="134">
        <v>1</v>
      </c>
      <c r="R193" s="134"/>
      <c r="S193" s="134">
        <v>3</v>
      </c>
    </row>
    <row r="194" spans="2:19" x14ac:dyDescent="0.3">
      <c r="B194" s="142" t="s">
        <v>3131</v>
      </c>
      <c r="C194" s="131">
        <v>862600</v>
      </c>
      <c r="D194" s="131" t="s">
        <v>887</v>
      </c>
      <c r="E194" s="134" t="s">
        <v>1837</v>
      </c>
      <c r="F194" s="134" t="s">
        <v>3054</v>
      </c>
      <c r="G194" s="134">
        <v>1708</v>
      </c>
      <c r="H194" s="134">
        <v>1847</v>
      </c>
      <c r="I194" s="134">
        <v>10000</v>
      </c>
      <c r="J194" s="134">
        <v>285</v>
      </c>
      <c r="K194" s="134">
        <v>1</v>
      </c>
      <c r="L194" s="134">
        <v>1</v>
      </c>
      <c r="M194" s="134">
        <v>180</v>
      </c>
      <c r="N194" s="134"/>
      <c r="O194" s="134">
        <v>1</v>
      </c>
      <c r="P194" s="134"/>
      <c r="Q194" s="134">
        <v>1</v>
      </c>
      <c r="R194" s="134"/>
      <c r="S194" s="134">
        <v>3</v>
      </c>
    </row>
    <row r="195" spans="2:19" x14ac:dyDescent="0.3">
      <c r="B195" s="142" t="s">
        <v>918</v>
      </c>
      <c r="E195" s="134"/>
      <c r="F195" s="134"/>
      <c r="G195" s="134"/>
      <c r="H195" s="134"/>
      <c r="I195" s="134"/>
      <c r="J195" s="134"/>
      <c r="K195" s="134"/>
      <c r="L195" s="134"/>
      <c r="M195" s="134"/>
      <c r="N195" s="134"/>
      <c r="O195" s="134"/>
      <c r="P195" s="134"/>
      <c r="Q195" s="134"/>
      <c r="R195" s="134"/>
      <c r="S195" s="134"/>
    </row>
    <row r="196" spans="2:19" x14ac:dyDescent="0.3">
      <c r="B196" s="142" t="s">
        <v>1860</v>
      </c>
      <c r="C196" s="131">
        <v>831100</v>
      </c>
      <c r="D196" s="131" t="s">
        <v>771</v>
      </c>
      <c r="E196" s="134" t="s">
        <v>1861</v>
      </c>
      <c r="F196" s="134" t="s">
        <v>1263</v>
      </c>
      <c r="G196" s="134">
        <v>1050</v>
      </c>
      <c r="H196" s="391">
        <f>G196</f>
        <v>1050</v>
      </c>
      <c r="I196" s="134">
        <v>1000</v>
      </c>
      <c r="J196" s="134">
        <v>195</v>
      </c>
      <c r="K196" s="134">
        <v>0</v>
      </c>
      <c r="L196" s="134">
        <v>2</v>
      </c>
      <c r="M196" s="134">
        <v>275</v>
      </c>
      <c r="N196" s="134"/>
      <c r="O196" s="134"/>
      <c r="P196" s="134"/>
      <c r="Q196" s="134">
        <v>1</v>
      </c>
      <c r="R196" s="134"/>
      <c r="S196" s="134">
        <v>3</v>
      </c>
    </row>
    <row r="197" spans="2:19" x14ac:dyDescent="0.3">
      <c r="B197" s="130" t="s">
        <v>3134</v>
      </c>
      <c r="C197" s="131">
        <v>831100</v>
      </c>
      <c r="D197" s="131" t="s">
        <v>1301</v>
      </c>
      <c r="E197" s="134" t="s">
        <v>362</v>
      </c>
      <c r="F197" s="134" t="s">
        <v>1263</v>
      </c>
      <c r="G197" s="134">
        <v>1050</v>
      </c>
      <c r="H197" s="391">
        <f>G197</f>
        <v>1050</v>
      </c>
      <c r="I197" s="134">
        <v>1000</v>
      </c>
      <c r="J197" s="134">
        <v>195</v>
      </c>
      <c r="K197" s="134">
        <v>0</v>
      </c>
      <c r="L197" s="134">
        <v>2</v>
      </c>
      <c r="M197" s="134">
        <v>275</v>
      </c>
      <c r="N197" s="134"/>
      <c r="O197" s="134"/>
      <c r="P197" s="134"/>
      <c r="Q197" s="134">
        <v>1</v>
      </c>
      <c r="R197" s="134"/>
      <c r="S197" s="134">
        <v>3</v>
      </c>
    </row>
    <row r="198" spans="2:19" x14ac:dyDescent="0.3">
      <c r="B198" s="142" t="s">
        <v>918</v>
      </c>
      <c r="E198" s="134"/>
      <c r="F198" s="134"/>
    </row>
    <row r="199" spans="2:19" x14ac:dyDescent="0.3">
      <c r="B199" s="124" t="s">
        <v>1859</v>
      </c>
      <c r="C199" s="131">
        <v>1954000</v>
      </c>
      <c r="D199" s="131" t="s">
        <v>771</v>
      </c>
      <c r="E199" s="134" t="s">
        <v>362</v>
      </c>
      <c r="F199" s="134" t="s">
        <v>1665</v>
      </c>
      <c r="G199" s="134">
        <v>1000</v>
      </c>
      <c r="H199" s="391">
        <f>G199</f>
        <v>1000</v>
      </c>
      <c r="I199" s="134">
        <v>1000</v>
      </c>
      <c r="J199" s="134">
        <v>267</v>
      </c>
      <c r="K199" s="134">
        <v>0</v>
      </c>
      <c r="L199" s="134">
        <v>3</v>
      </c>
      <c r="M199" s="134">
        <v>350</v>
      </c>
      <c r="N199" s="134"/>
      <c r="O199" s="134"/>
      <c r="P199" s="134"/>
      <c r="Q199" s="134">
        <v>1</v>
      </c>
      <c r="R199" s="134"/>
      <c r="S199" s="134">
        <v>3</v>
      </c>
    </row>
    <row r="200" spans="2:19" x14ac:dyDescent="0.3">
      <c r="B200" s="142" t="s">
        <v>918</v>
      </c>
      <c r="E200" s="134"/>
      <c r="F200" s="134"/>
    </row>
    <row r="201" spans="2:19" x14ac:dyDescent="0.3">
      <c r="E201" s="134"/>
      <c r="F201" s="134"/>
    </row>
    <row r="202" spans="2:19" x14ac:dyDescent="0.3">
      <c r="E202" s="134"/>
      <c r="F202" s="134"/>
    </row>
    <row r="203" spans="2:19" x14ac:dyDescent="0.3">
      <c r="E203" s="134"/>
      <c r="F203" s="134"/>
    </row>
    <row r="204" spans="2:19" x14ac:dyDescent="0.3">
      <c r="E204" s="134"/>
      <c r="F204" s="134"/>
    </row>
    <row r="205" spans="2:19" x14ac:dyDescent="0.3">
      <c r="E205" s="134"/>
      <c r="F205" s="134"/>
    </row>
    <row r="206" spans="2:19" x14ac:dyDescent="0.3">
      <c r="E206" s="134"/>
      <c r="F206" s="134"/>
    </row>
    <row r="207" spans="2:19" x14ac:dyDescent="0.3">
      <c r="E207" s="134"/>
      <c r="F207" s="134"/>
    </row>
    <row r="208" spans="2:19" x14ac:dyDescent="0.3">
      <c r="E208" s="134"/>
      <c r="F208" s="134"/>
    </row>
    <row r="209" spans="5:6" x14ac:dyDescent="0.3">
      <c r="E209" s="134"/>
      <c r="F209" s="134"/>
    </row>
    <row r="210" spans="5:6" x14ac:dyDescent="0.3">
      <c r="E210" s="134"/>
      <c r="F210" s="134"/>
    </row>
    <row r="211" spans="5:6" x14ac:dyDescent="0.3">
      <c r="E211" s="134"/>
      <c r="F211" s="134"/>
    </row>
    <row r="212" spans="5:6" x14ac:dyDescent="0.3">
      <c r="E212" s="134"/>
      <c r="F212" s="134"/>
    </row>
    <row r="213" spans="5:6" x14ac:dyDescent="0.3">
      <c r="E213" s="134"/>
      <c r="F213" s="134"/>
    </row>
    <row r="214" spans="5:6" x14ac:dyDescent="0.3">
      <c r="E214" s="134"/>
      <c r="F214" s="134"/>
    </row>
    <row r="215" spans="5:6" x14ac:dyDescent="0.3">
      <c r="E215" s="134"/>
      <c r="F215" s="134"/>
    </row>
    <row r="216" spans="5:6" x14ac:dyDescent="0.3">
      <c r="E216" s="134"/>
      <c r="F216" s="134"/>
    </row>
    <row r="217" spans="5:6" x14ac:dyDescent="0.3">
      <c r="E217" s="134"/>
      <c r="F217" s="134"/>
    </row>
    <row r="218" spans="5:6" x14ac:dyDescent="0.3">
      <c r="E218" s="134"/>
      <c r="F218" s="134"/>
    </row>
    <row r="219" spans="5:6" x14ac:dyDescent="0.3">
      <c r="E219" s="134"/>
      <c r="F219" s="134"/>
    </row>
    <row r="220" spans="5:6" x14ac:dyDescent="0.3">
      <c r="E220" s="134"/>
      <c r="F220" s="134"/>
    </row>
    <row r="221" spans="5:6" x14ac:dyDescent="0.3">
      <c r="E221" s="134"/>
      <c r="F221" s="134"/>
    </row>
    <row r="222" spans="5:6" x14ac:dyDescent="0.3">
      <c r="E222" s="134"/>
      <c r="F222" s="134"/>
    </row>
    <row r="223" spans="5:6" x14ac:dyDescent="0.3">
      <c r="E223" s="134"/>
      <c r="F223" s="134"/>
    </row>
    <row r="224" spans="5:6" x14ac:dyDescent="0.3">
      <c r="E224" s="134"/>
      <c r="F224" s="134"/>
    </row>
    <row r="225" spans="5:6" x14ac:dyDescent="0.3">
      <c r="E225" s="134"/>
      <c r="F225" s="134"/>
    </row>
    <row r="226" spans="5:6" x14ac:dyDescent="0.3">
      <c r="E226" s="134"/>
      <c r="F226" s="134"/>
    </row>
  </sheetData>
  <phoneticPr fontId="4" type="noConversion"/>
  <conditionalFormatting sqref="K15:L15 K13:L13 K1:L11 K17:L18 K20:L36 K38:L42 K45:L55 K57:L60 K62:L66 K81:L81 K68:L75 K77:L79 K105:L105 K92:L92 K96:L96 K94:L94 K113:L113 K99:L99 K107:L107 K124:L129 K135:L135 K131:L133 K137:L138 K141:L151 K169:L169 K163:L165 K171:L171 K158:L158 K167:L167 K153:L155 K181:L181 K186:L192 K200:L1048576 K197:L198 K194:L195 K175:L178 K83:L84">
    <cfRule type="cellIs" dxfId="257" priority="81" operator="equal">
      <formula>0</formula>
    </cfRule>
  </conditionalFormatting>
  <conditionalFormatting sqref="K16:L16">
    <cfRule type="cellIs" dxfId="256" priority="80" operator="equal">
      <formula>0</formula>
    </cfRule>
  </conditionalFormatting>
  <conditionalFormatting sqref="K14:L14">
    <cfRule type="cellIs" dxfId="255" priority="78" operator="equal">
      <formula>0</formula>
    </cfRule>
  </conditionalFormatting>
  <conditionalFormatting sqref="K19:L19">
    <cfRule type="cellIs" dxfId="254" priority="76" operator="equal">
      <formula>0</formula>
    </cfRule>
  </conditionalFormatting>
  <conditionalFormatting sqref="K12:L12">
    <cfRule type="cellIs" dxfId="253" priority="74" operator="equal">
      <formula>0</formula>
    </cfRule>
  </conditionalFormatting>
  <conditionalFormatting sqref="K37:L37">
    <cfRule type="cellIs" dxfId="252" priority="73" operator="equal">
      <formula>0</formula>
    </cfRule>
  </conditionalFormatting>
  <conditionalFormatting sqref="K44:L44">
    <cfRule type="cellIs" dxfId="251" priority="72" operator="equal">
      <formula>0</formula>
    </cfRule>
  </conditionalFormatting>
  <conditionalFormatting sqref="K43:L43">
    <cfRule type="cellIs" dxfId="250" priority="71" operator="equal">
      <formula>0</formula>
    </cfRule>
  </conditionalFormatting>
  <conditionalFormatting sqref="K56:L56">
    <cfRule type="cellIs" dxfId="249" priority="70" operator="equal">
      <formula>0</formula>
    </cfRule>
  </conditionalFormatting>
  <conditionalFormatting sqref="K61:L61">
    <cfRule type="cellIs" dxfId="248" priority="69" operator="equal">
      <formula>0</formula>
    </cfRule>
  </conditionalFormatting>
  <conditionalFormatting sqref="K67:L67">
    <cfRule type="cellIs" dxfId="247" priority="68" operator="equal">
      <formula>0</formula>
    </cfRule>
  </conditionalFormatting>
  <conditionalFormatting sqref="K76:L76">
    <cfRule type="cellIs" dxfId="246" priority="67" operator="equal">
      <formula>0</formula>
    </cfRule>
  </conditionalFormatting>
  <conditionalFormatting sqref="K80:L80">
    <cfRule type="cellIs" dxfId="245" priority="66" operator="equal">
      <formula>0</formula>
    </cfRule>
  </conditionalFormatting>
  <conditionalFormatting sqref="K82:L82">
    <cfRule type="cellIs" dxfId="244" priority="65" operator="equal">
      <formula>0</formula>
    </cfRule>
  </conditionalFormatting>
  <conditionalFormatting sqref="K123:L123">
    <cfRule type="cellIs" dxfId="243" priority="64" operator="equal">
      <formula>0</formula>
    </cfRule>
  </conditionalFormatting>
  <conditionalFormatting sqref="K115:L117 K119:L120">
    <cfRule type="cellIs" dxfId="242" priority="63" operator="equal">
      <formula>0</formula>
    </cfRule>
  </conditionalFormatting>
  <conditionalFormatting sqref="K104:L104">
    <cfRule type="cellIs" dxfId="241" priority="62" operator="equal">
      <formula>0</formula>
    </cfRule>
  </conditionalFormatting>
  <conditionalFormatting sqref="K89:L89">
    <cfRule type="cellIs" dxfId="240" priority="61" operator="equal">
      <formula>0</formula>
    </cfRule>
  </conditionalFormatting>
  <conditionalFormatting sqref="K95:L95">
    <cfRule type="cellIs" dxfId="239" priority="60" operator="equal">
      <formula>0</formula>
    </cfRule>
  </conditionalFormatting>
  <conditionalFormatting sqref="K93:L93">
    <cfRule type="cellIs" dxfId="238" priority="59" operator="equal">
      <formula>0</formula>
    </cfRule>
  </conditionalFormatting>
  <conditionalFormatting sqref="K91:L91">
    <cfRule type="cellIs" dxfId="237" priority="58" operator="equal">
      <formula>0</formula>
    </cfRule>
  </conditionalFormatting>
  <conditionalFormatting sqref="K107:L109">
    <cfRule type="cellIs" dxfId="236" priority="57" operator="equal">
      <formula>0</formula>
    </cfRule>
  </conditionalFormatting>
  <conditionalFormatting sqref="K114:L114">
    <cfRule type="cellIs" dxfId="235" priority="56" operator="equal">
      <formula>0</formula>
    </cfRule>
  </conditionalFormatting>
  <conditionalFormatting sqref="K88:L88">
    <cfRule type="cellIs" dxfId="234" priority="55" operator="equal">
      <formula>0</formula>
    </cfRule>
  </conditionalFormatting>
  <conditionalFormatting sqref="K121:L121">
    <cfRule type="cellIs" dxfId="233" priority="54" operator="equal">
      <formula>0</formula>
    </cfRule>
  </conditionalFormatting>
  <conditionalFormatting sqref="K103:L103">
    <cfRule type="cellIs" dxfId="232" priority="53" operator="equal">
      <formula>0</formula>
    </cfRule>
  </conditionalFormatting>
  <conditionalFormatting sqref="K98:L98">
    <cfRule type="cellIs" dxfId="231" priority="52" operator="equal">
      <formula>0</formula>
    </cfRule>
  </conditionalFormatting>
  <conditionalFormatting sqref="K100:L100">
    <cfRule type="cellIs" dxfId="230" priority="51" operator="equal">
      <formula>0</formula>
    </cfRule>
  </conditionalFormatting>
  <conditionalFormatting sqref="K85:L85">
    <cfRule type="cellIs" dxfId="229" priority="50" operator="equal">
      <formula>0</formula>
    </cfRule>
  </conditionalFormatting>
  <conditionalFormatting sqref="K90:L90">
    <cfRule type="cellIs" dxfId="228" priority="49" operator="equal">
      <formula>0</formula>
    </cfRule>
  </conditionalFormatting>
  <conditionalFormatting sqref="K87:L87">
    <cfRule type="cellIs" dxfId="227" priority="48" operator="equal">
      <formula>0</formula>
    </cfRule>
  </conditionalFormatting>
  <conditionalFormatting sqref="K106:L106">
    <cfRule type="cellIs" dxfId="226" priority="47" operator="equal">
      <formula>0</formula>
    </cfRule>
  </conditionalFormatting>
  <conditionalFormatting sqref="K106:L106">
    <cfRule type="cellIs" dxfId="225" priority="46" operator="equal">
      <formula>0</formula>
    </cfRule>
  </conditionalFormatting>
  <conditionalFormatting sqref="K118:L118">
    <cfRule type="cellIs" dxfId="224" priority="45" operator="equal">
      <formula>0</formula>
    </cfRule>
  </conditionalFormatting>
  <conditionalFormatting sqref="K102:L102">
    <cfRule type="cellIs" dxfId="223" priority="44" operator="equal">
      <formula>0</formula>
    </cfRule>
  </conditionalFormatting>
  <conditionalFormatting sqref="K101:L101">
    <cfRule type="cellIs" dxfId="222" priority="43" operator="equal">
      <formula>0</formula>
    </cfRule>
  </conditionalFormatting>
  <conditionalFormatting sqref="K111:L111">
    <cfRule type="cellIs" dxfId="221" priority="42" operator="equal">
      <formula>0</formula>
    </cfRule>
  </conditionalFormatting>
  <conditionalFormatting sqref="K86:L86">
    <cfRule type="cellIs" dxfId="220" priority="41" operator="equal">
      <formula>0</formula>
    </cfRule>
  </conditionalFormatting>
  <conditionalFormatting sqref="K122:L122">
    <cfRule type="cellIs" dxfId="219" priority="40" operator="equal">
      <formula>0</formula>
    </cfRule>
  </conditionalFormatting>
  <conditionalFormatting sqref="K112:L112">
    <cfRule type="cellIs" dxfId="218" priority="39" operator="equal">
      <formula>0</formula>
    </cfRule>
  </conditionalFormatting>
  <conditionalFormatting sqref="K97:L97">
    <cfRule type="cellIs" dxfId="217" priority="37" operator="equal">
      <formula>0</formula>
    </cfRule>
  </conditionalFormatting>
  <conditionalFormatting sqref="K110:L110">
    <cfRule type="cellIs" dxfId="216" priority="36" operator="equal">
      <formula>0</formula>
    </cfRule>
  </conditionalFormatting>
  <conditionalFormatting sqref="K134:L134">
    <cfRule type="cellIs" dxfId="215" priority="35" operator="equal">
      <formula>0</formula>
    </cfRule>
  </conditionalFormatting>
  <conditionalFormatting sqref="K140:L140">
    <cfRule type="cellIs" dxfId="214" priority="34" operator="equal">
      <formula>0</formula>
    </cfRule>
  </conditionalFormatting>
  <conditionalFormatting sqref="K130:L130">
    <cfRule type="cellIs" dxfId="213" priority="31" operator="equal">
      <formula>0</formula>
    </cfRule>
  </conditionalFormatting>
  <conditionalFormatting sqref="K136:L136">
    <cfRule type="cellIs" dxfId="212" priority="30" operator="equal">
      <formula>0</formula>
    </cfRule>
  </conditionalFormatting>
  <conditionalFormatting sqref="K139:L139">
    <cfRule type="cellIs" dxfId="211" priority="29" operator="equal">
      <formula>0</formula>
    </cfRule>
  </conditionalFormatting>
  <conditionalFormatting sqref="K168:L168">
    <cfRule type="cellIs" dxfId="210" priority="24" operator="equal">
      <formula>0</formula>
    </cfRule>
  </conditionalFormatting>
  <conditionalFormatting sqref="K161:L161">
    <cfRule type="cellIs" dxfId="209" priority="23" operator="equal">
      <formula>0</formula>
    </cfRule>
  </conditionalFormatting>
  <conditionalFormatting sqref="K172:L172">
    <cfRule type="cellIs" dxfId="208" priority="22" operator="equal">
      <formula>0</formula>
    </cfRule>
  </conditionalFormatting>
  <conditionalFormatting sqref="K170:L170">
    <cfRule type="cellIs" dxfId="207" priority="20" operator="equal">
      <formula>0</formula>
    </cfRule>
  </conditionalFormatting>
  <conditionalFormatting sqref="K173:L173">
    <cfRule type="cellIs" dxfId="206" priority="21" operator="equal">
      <formula>0</formula>
    </cfRule>
  </conditionalFormatting>
  <conditionalFormatting sqref="K157:L157">
    <cfRule type="cellIs" dxfId="205" priority="19" operator="equal">
      <formula>0</formula>
    </cfRule>
  </conditionalFormatting>
  <conditionalFormatting sqref="K174:L174">
    <cfRule type="cellIs" dxfId="204" priority="18" operator="equal">
      <formula>0</formula>
    </cfRule>
  </conditionalFormatting>
  <conditionalFormatting sqref="K156:L156">
    <cfRule type="cellIs" dxfId="203" priority="17" operator="equal">
      <formula>0</formula>
    </cfRule>
  </conditionalFormatting>
  <conditionalFormatting sqref="K166:L166">
    <cfRule type="cellIs" dxfId="202" priority="16" operator="equal">
      <formula>0</formula>
    </cfRule>
  </conditionalFormatting>
  <conditionalFormatting sqref="K162:L162">
    <cfRule type="cellIs" dxfId="201" priority="15" operator="equal">
      <formula>0</formula>
    </cfRule>
  </conditionalFormatting>
  <conditionalFormatting sqref="K152:L152">
    <cfRule type="cellIs" dxfId="200" priority="14" operator="equal">
      <formula>0</formula>
    </cfRule>
  </conditionalFormatting>
  <conditionalFormatting sqref="K159:L159">
    <cfRule type="cellIs" dxfId="199" priority="13" operator="equal">
      <formula>0</formula>
    </cfRule>
  </conditionalFormatting>
  <conditionalFormatting sqref="K160:L160">
    <cfRule type="cellIs" dxfId="198" priority="12" operator="equal">
      <formula>0</formula>
    </cfRule>
  </conditionalFormatting>
  <conditionalFormatting sqref="K185:L185">
    <cfRule type="cellIs" dxfId="197" priority="11" operator="equal">
      <formula>0</formula>
    </cfRule>
  </conditionalFormatting>
  <conditionalFormatting sqref="K180:L180">
    <cfRule type="cellIs" dxfId="196" priority="10" operator="equal">
      <formula>0</formula>
    </cfRule>
  </conditionalFormatting>
  <conditionalFormatting sqref="K183:L183">
    <cfRule type="cellIs" dxfId="195" priority="9" operator="equal">
      <formula>0</formula>
    </cfRule>
  </conditionalFormatting>
  <conditionalFormatting sqref="K193:L193">
    <cfRule type="cellIs" dxfId="194" priority="8" operator="equal">
      <formula>0</formula>
    </cfRule>
  </conditionalFormatting>
  <conditionalFormatting sqref="K184:L184">
    <cfRule type="cellIs" dxfId="193" priority="7" operator="equal">
      <formula>0</formula>
    </cfRule>
  </conditionalFormatting>
  <conditionalFormatting sqref="K182:L182">
    <cfRule type="cellIs" dxfId="192" priority="6" operator="equal">
      <formula>0</formula>
    </cfRule>
  </conditionalFormatting>
  <conditionalFormatting sqref="K179:L179">
    <cfRule type="cellIs" dxfId="191" priority="5" operator="equal">
      <formula>0</formula>
    </cfRule>
  </conditionalFormatting>
  <conditionalFormatting sqref="K199:L199">
    <cfRule type="cellIs" dxfId="190" priority="4" operator="equal">
      <formula>0</formula>
    </cfRule>
  </conditionalFormatting>
  <conditionalFormatting sqref="K196:L196">
    <cfRule type="cellIs" dxfId="189" priority="3" operator="equal">
      <formula>0</formula>
    </cfRule>
  </conditionalFormatting>
  <conditionalFormatting sqref="D1:D1048576">
    <cfRule type="cellIs" dxfId="188" priority="1" operator="equal">
      <formula>"AMD"</formula>
    </cfRule>
    <cfRule type="cellIs" dxfId="187" priority="2" operator="equal">
      <formula>"NVIDIA"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0.59999389629810485"/>
  </sheetPr>
  <dimension ref="A1:H57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9" defaultRowHeight="13.2" x14ac:dyDescent="0.3"/>
  <cols>
    <col min="1" max="1" width="2.5" style="124" bestFit="1" customWidth="1"/>
    <col min="2" max="2" width="38.3984375" style="124" bestFit="1" customWidth="1"/>
    <col min="3" max="3" width="9.69921875" style="243" bestFit="1" customWidth="1"/>
    <col min="4" max="4" width="5.59765625" style="266" bestFit="1" customWidth="1"/>
    <col min="5" max="5" width="14.59765625" style="243" bestFit="1" customWidth="1"/>
    <col min="6" max="6" width="5" style="124" bestFit="1" customWidth="1"/>
    <col min="7" max="7" width="5.8984375" style="124" bestFit="1" customWidth="1"/>
    <col min="8" max="8" width="8.5" style="125" bestFit="1" customWidth="1"/>
    <col min="9" max="16384" width="9" style="124"/>
  </cols>
  <sheetData>
    <row r="1" spans="1:8" ht="24" customHeight="1" x14ac:dyDescent="0.3">
      <c r="A1" s="124">
        <v>5</v>
      </c>
    </row>
    <row r="2" spans="1:8" x14ac:dyDescent="0.3">
      <c r="B2" s="135" t="s">
        <v>0</v>
      </c>
      <c r="C2" s="264" t="s">
        <v>197</v>
      </c>
      <c r="D2" s="267" t="s">
        <v>1595</v>
      </c>
      <c r="E2" s="264" t="s">
        <v>1599</v>
      </c>
      <c r="F2" s="135" t="s">
        <v>218</v>
      </c>
      <c r="G2" s="135" t="s">
        <v>219</v>
      </c>
      <c r="H2" s="256" t="s">
        <v>220</v>
      </c>
    </row>
    <row r="3" spans="1:8" x14ac:dyDescent="0.3">
      <c r="B3" s="133" t="s">
        <v>1205</v>
      </c>
      <c r="C3" s="131"/>
      <c r="D3" s="268"/>
      <c r="E3" s="131"/>
      <c r="F3" s="133"/>
      <c r="G3" s="133"/>
      <c r="H3" s="134"/>
    </row>
    <row r="4" spans="1:8" x14ac:dyDescent="0.3">
      <c r="B4" s="133" t="s">
        <v>1203</v>
      </c>
      <c r="C4" s="131"/>
      <c r="D4" s="268"/>
      <c r="E4" s="131"/>
      <c r="F4" s="133"/>
      <c r="G4" s="133"/>
      <c r="H4" s="134"/>
    </row>
    <row r="5" spans="1:8" x14ac:dyDescent="0.3">
      <c r="B5" s="133" t="s">
        <v>1644</v>
      </c>
      <c r="C5" s="131">
        <v>48200</v>
      </c>
      <c r="D5" s="265">
        <v>0.5</v>
      </c>
      <c r="E5" s="131">
        <f t="shared" ref="E5:E33" si="0">C5/D5</f>
        <v>96400</v>
      </c>
      <c r="F5" s="133" t="s">
        <v>1645</v>
      </c>
      <c r="G5" s="133">
        <v>7200</v>
      </c>
      <c r="H5" s="134">
        <v>500</v>
      </c>
    </row>
    <row r="6" spans="1:8" x14ac:dyDescent="0.3">
      <c r="B6" s="133" t="s">
        <v>2371</v>
      </c>
      <c r="C6" s="131">
        <v>49300</v>
      </c>
      <c r="D6" s="268">
        <v>1</v>
      </c>
      <c r="E6" s="131">
        <f t="shared" si="0"/>
        <v>49300</v>
      </c>
      <c r="F6" s="133" t="s">
        <v>222</v>
      </c>
      <c r="G6" s="133">
        <v>7200</v>
      </c>
      <c r="H6" s="134">
        <v>1</v>
      </c>
    </row>
    <row r="7" spans="1:8" x14ac:dyDescent="0.3">
      <c r="B7" s="133" t="s">
        <v>1636</v>
      </c>
      <c r="C7" s="131">
        <v>77000</v>
      </c>
      <c r="D7" s="268">
        <v>2</v>
      </c>
      <c r="E7" s="131">
        <f t="shared" si="0"/>
        <v>38500</v>
      </c>
      <c r="F7" s="133" t="s">
        <v>222</v>
      </c>
      <c r="G7" s="140">
        <v>5400</v>
      </c>
      <c r="H7" s="134" t="s">
        <v>225</v>
      </c>
    </row>
    <row r="8" spans="1:8" x14ac:dyDescent="0.3">
      <c r="B8" s="133" t="s">
        <v>1639</v>
      </c>
      <c r="C8" s="131">
        <v>105400</v>
      </c>
      <c r="D8" s="268">
        <v>3</v>
      </c>
      <c r="E8" s="131">
        <f t="shared" si="0"/>
        <v>35133.333333333336</v>
      </c>
      <c r="F8" s="133" t="s">
        <v>222</v>
      </c>
      <c r="G8" s="140">
        <v>5400</v>
      </c>
      <c r="H8" s="134">
        <v>1</v>
      </c>
    </row>
    <row r="9" spans="1:8" x14ac:dyDescent="0.3">
      <c r="B9" s="133" t="s">
        <v>1637</v>
      </c>
      <c r="C9" s="131">
        <v>145100</v>
      </c>
      <c r="D9" s="268">
        <v>4</v>
      </c>
      <c r="E9" s="131">
        <f t="shared" si="0"/>
        <v>36275</v>
      </c>
      <c r="F9" s="133" t="s">
        <v>222</v>
      </c>
      <c r="G9" s="140">
        <v>5400</v>
      </c>
      <c r="H9" s="134">
        <v>1</v>
      </c>
    </row>
    <row r="10" spans="1:8" x14ac:dyDescent="0.3">
      <c r="B10" s="133" t="s">
        <v>1650</v>
      </c>
      <c r="C10" s="131">
        <v>212100</v>
      </c>
      <c r="D10" s="268">
        <v>5</v>
      </c>
      <c r="E10" s="131">
        <f t="shared" si="0"/>
        <v>42420</v>
      </c>
      <c r="F10" s="133" t="s">
        <v>222</v>
      </c>
      <c r="G10" s="140">
        <v>5400</v>
      </c>
      <c r="H10" s="134">
        <v>1</v>
      </c>
    </row>
    <row r="11" spans="1:8" x14ac:dyDescent="0.3">
      <c r="B11" s="133" t="s">
        <v>1643</v>
      </c>
      <c r="C11" s="131">
        <v>246800</v>
      </c>
      <c r="D11" s="268">
        <v>6</v>
      </c>
      <c r="E11" s="131">
        <f t="shared" si="0"/>
        <v>41133.333333333336</v>
      </c>
      <c r="F11" s="133" t="s">
        <v>222</v>
      </c>
      <c r="G11" s="140">
        <v>5400</v>
      </c>
      <c r="H11" s="134">
        <v>1.2</v>
      </c>
    </row>
    <row r="12" spans="1:8" x14ac:dyDescent="0.3">
      <c r="B12" s="133" t="s">
        <v>1646</v>
      </c>
      <c r="C12" s="131">
        <v>53840</v>
      </c>
      <c r="D12" s="268">
        <v>1</v>
      </c>
      <c r="E12" s="131">
        <f t="shared" si="0"/>
        <v>53840</v>
      </c>
      <c r="F12" s="133" t="s">
        <v>222</v>
      </c>
      <c r="G12" s="133">
        <v>7200</v>
      </c>
      <c r="H12" s="134">
        <v>1</v>
      </c>
    </row>
    <row r="13" spans="1:8" x14ac:dyDescent="0.3">
      <c r="B13" s="133" t="s">
        <v>1641</v>
      </c>
      <c r="C13" s="131">
        <v>156800</v>
      </c>
      <c r="D13" s="268">
        <v>2</v>
      </c>
      <c r="E13" s="131">
        <f t="shared" si="0"/>
        <v>78400</v>
      </c>
      <c r="F13" s="133" t="s">
        <v>222</v>
      </c>
      <c r="G13" s="133">
        <v>7200</v>
      </c>
      <c r="H13" s="134">
        <v>800</v>
      </c>
    </row>
    <row r="14" spans="1:8" x14ac:dyDescent="0.3">
      <c r="B14" s="133" t="s">
        <v>1638</v>
      </c>
      <c r="C14" s="131">
        <v>69890</v>
      </c>
      <c r="D14" s="268">
        <v>2</v>
      </c>
      <c r="E14" s="131">
        <f t="shared" si="0"/>
        <v>34945</v>
      </c>
      <c r="F14" s="133" t="s">
        <v>222</v>
      </c>
      <c r="G14" s="140">
        <v>5400</v>
      </c>
      <c r="H14" s="134">
        <v>1</v>
      </c>
    </row>
    <row r="15" spans="1:8" x14ac:dyDescent="0.3">
      <c r="B15" s="133" t="s">
        <v>1649</v>
      </c>
      <c r="C15" s="131">
        <v>105590</v>
      </c>
      <c r="D15" s="268">
        <v>3</v>
      </c>
      <c r="E15" s="131">
        <f t="shared" si="0"/>
        <v>35196.666666666664</v>
      </c>
      <c r="F15" s="133" t="s">
        <v>222</v>
      </c>
      <c r="G15" s="140">
        <v>5400</v>
      </c>
      <c r="H15" s="134">
        <v>1</v>
      </c>
    </row>
    <row r="16" spans="1:8" x14ac:dyDescent="0.3">
      <c r="B16" s="133" t="s">
        <v>1648</v>
      </c>
      <c r="C16" s="131">
        <v>157230</v>
      </c>
      <c r="D16" s="268">
        <v>4</v>
      </c>
      <c r="E16" s="131">
        <f t="shared" si="0"/>
        <v>39307.5</v>
      </c>
      <c r="F16" s="133" t="s">
        <v>222</v>
      </c>
      <c r="G16" s="140">
        <v>5400</v>
      </c>
      <c r="H16" s="134">
        <v>1</v>
      </c>
    </row>
    <row r="17" spans="2:8" x14ac:dyDescent="0.3">
      <c r="B17" s="133" t="s">
        <v>1651</v>
      </c>
      <c r="C17" s="131">
        <v>111300</v>
      </c>
      <c r="D17" s="268">
        <v>2</v>
      </c>
      <c r="E17" s="131">
        <f t="shared" si="0"/>
        <v>55650</v>
      </c>
      <c r="F17" s="133" t="s">
        <v>222</v>
      </c>
      <c r="G17" s="140">
        <v>5400</v>
      </c>
      <c r="H17" s="134">
        <v>1</v>
      </c>
    </row>
    <row r="18" spans="2:8" x14ac:dyDescent="0.3">
      <c r="B18" s="133" t="s">
        <v>1640</v>
      </c>
      <c r="C18" s="131">
        <v>138400</v>
      </c>
      <c r="D18" s="268">
        <v>3</v>
      </c>
      <c r="E18" s="131">
        <f t="shared" si="0"/>
        <v>46133.333333333336</v>
      </c>
      <c r="F18" s="133" t="s">
        <v>222</v>
      </c>
      <c r="G18" s="140">
        <v>5400</v>
      </c>
      <c r="H18" s="134">
        <v>1</v>
      </c>
    </row>
    <row r="19" spans="2:8" x14ac:dyDescent="0.3">
      <c r="B19" s="133" t="s">
        <v>1635</v>
      </c>
      <c r="C19" s="131">
        <v>188700</v>
      </c>
      <c r="D19" s="268">
        <v>4</v>
      </c>
      <c r="E19" s="131">
        <f t="shared" si="0"/>
        <v>47175</v>
      </c>
      <c r="F19" s="133" t="s">
        <v>222</v>
      </c>
      <c r="G19" s="140">
        <v>5400</v>
      </c>
      <c r="H19" s="134">
        <v>1</v>
      </c>
    </row>
    <row r="20" spans="2:8" x14ac:dyDescent="0.3">
      <c r="B20" s="133" t="s">
        <v>1647</v>
      </c>
      <c r="C20" s="131">
        <v>249500</v>
      </c>
      <c r="D20" s="268">
        <v>5</v>
      </c>
      <c r="E20" s="131">
        <f t="shared" si="0"/>
        <v>49900</v>
      </c>
      <c r="F20" s="133" t="s">
        <v>222</v>
      </c>
      <c r="G20" s="140">
        <v>5400</v>
      </c>
      <c r="H20" s="134">
        <v>1</v>
      </c>
    </row>
    <row r="21" spans="2:8" x14ac:dyDescent="0.3">
      <c r="B21" s="133" t="s">
        <v>1642</v>
      </c>
      <c r="C21" s="131">
        <v>315000</v>
      </c>
      <c r="D21" s="268">
        <v>6</v>
      </c>
      <c r="E21" s="131">
        <f t="shared" si="0"/>
        <v>52500</v>
      </c>
      <c r="F21" s="133" t="s">
        <v>222</v>
      </c>
      <c r="G21" s="140">
        <v>5400</v>
      </c>
      <c r="H21" s="134">
        <v>1.2</v>
      </c>
    </row>
    <row r="22" spans="2:8" x14ac:dyDescent="0.3">
      <c r="B22" s="133" t="s">
        <v>1629</v>
      </c>
      <c r="C22" s="131">
        <v>43600</v>
      </c>
      <c r="D22" s="265">
        <v>0.5</v>
      </c>
      <c r="E22" s="131">
        <f t="shared" si="0"/>
        <v>87200</v>
      </c>
      <c r="F22" s="133" t="s">
        <v>221</v>
      </c>
      <c r="G22" s="133">
        <v>7200</v>
      </c>
      <c r="H22" s="134">
        <v>1</v>
      </c>
    </row>
    <row r="23" spans="2:8" x14ac:dyDescent="0.3">
      <c r="B23" s="133" t="s">
        <v>1624</v>
      </c>
      <c r="C23" s="131">
        <v>46500</v>
      </c>
      <c r="D23" s="268">
        <v>1</v>
      </c>
      <c r="E23" s="131">
        <f t="shared" si="0"/>
        <v>46500</v>
      </c>
      <c r="F23" s="133" t="s">
        <v>221</v>
      </c>
      <c r="G23" s="133">
        <v>7200</v>
      </c>
      <c r="H23" s="134">
        <v>1</v>
      </c>
    </row>
    <row r="24" spans="2:8" x14ac:dyDescent="0.3">
      <c r="B24" s="133" t="s">
        <v>1625</v>
      </c>
      <c r="C24" s="131">
        <v>72800</v>
      </c>
      <c r="D24" s="268">
        <v>2</v>
      </c>
      <c r="E24" s="131">
        <f t="shared" si="0"/>
        <v>36400</v>
      </c>
      <c r="F24" s="133" t="s">
        <v>222</v>
      </c>
      <c r="G24" s="133">
        <v>7200</v>
      </c>
      <c r="H24" s="134">
        <v>1</v>
      </c>
    </row>
    <row r="25" spans="2:8" x14ac:dyDescent="0.3">
      <c r="B25" s="133" t="s">
        <v>1628</v>
      </c>
      <c r="C25" s="131">
        <v>119610</v>
      </c>
      <c r="D25" s="268">
        <v>2</v>
      </c>
      <c r="E25" s="131">
        <f t="shared" si="0"/>
        <v>59805</v>
      </c>
      <c r="F25" s="133" t="s">
        <v>223</v>
      </c>
      <c r="G25" s="133">
        <v>7200</v>
      </c>
      <c r="H25" s="134">
        <v>600</v>
      </c>
    </row>
    <row r="26" spans="2:8" x14ac:dyDescent="0.3">
      <c r="B26" s="133" t="s">
        <v>1626</v>
      </c>
      <c r="C26" s="131">
        <v>101900</v>
      </c>
      <c r="D26" s="268">
        <v>3</v>
      </c>
      <c r="E26" s="131">
        <f t="shared" si="0"/>
        <v>33966.666666666664</v>
      </c>
      <c r="F26" s="133" t="s">
        <v>222</v>
      </c>
      <c r="G26" s="133">
        <v>7200</v>
      </c>
      <c r="H26" s="134">
        <v>1</v>
      </c>
    </row>
    <row r="27" spans="2:8" x14ac:dyDescent="0.3">
      <c r="B27" s="133" t="s">
        <v>1634</v>
      </c>
      <c r="C27" s="131">
        <v>163000</v>
      </c>
      <c r="D27" s="268">
        <v>3</v>
      </c>
      <c r="E27" s="131">
        <f t="shared" si="0"/>
        <v>54333.333333333336</v>
      </c>
      <c r="F27" s="133" t="s">
        <v>223</v>
      </c>
      <c r="G27" s="133">
        <v>7200</v>
      </c>
      <c r="H27" s="134">
        <v>800</v>
      </c>
    </row>
    <row r="28" spans="2:8" x14ac:dyDescent="0.3">
      <c r="B28" s="133" t="s">
        <v>1627</v>
      </c>
      <c r="C28" s="131">
        <v>170000</v>
      </c>
      <c r="D28" s="268">
        <v>4</v>
      </c>
      <c r="E28" s="131">
        <f t="shared" si="0"/>
        <v>42500</v>
      </c>
      <c r="F28" s="133" t="s">
        <v>223</v>
      </c>
      <c r="G28" s="133">
        <v>7200</v>
      </c>
      <c r="H28" s="134">
        <v>800</v>
      </c>
    </row>
    <row r="29" spans="2:8" x14ac:dyDescent="0.3">
      <c r="B29" s="133" t="s">
        <v>1631</v>
      </c>
      <c r="C29" s="131">
        <v>228770</v>
      </c>
      <c r="D29" s="268">
        <v>4</v>
      </c>
      <c r="E29" s="131">
        <f t="shared" si="0"/>
        <v>57192.5</v>
      </c>
      <c r="F29" s="133" t="s">
        <v>223</v>
      </c>
      <c r="G29" s="133">
        <v>7200</v>
      </c>
      <c r="H29" s="134">
        <v>800</v>
      </c>
    </row>
    <row r="30" spans="2:8" x14ac:dyDescent="0.3">
      <c r="B30" s="133" t="s">
        <v>1633</v>
      </c>
      <c r="C30" s="131">
        <v>241000</v>
      </c>
      <c r="D30" s="268">
        <v>5</v>
      </c>
      <c r="E30" s="131">
        <f t="shared" si="0"/>
        <v>48200</v>
      </c>
      <c r="F30" s="133" t="s">
        <v>223</v>
      </c>
      <c r="G30" s="133">
        <v>7200</v>
      </c>
      <c r="H30" s="134">
        <v>1</v>
      </c>
    </row>
    <row r="31" spans="2:8" x14ac:dyDescent="0.3">
      <c r="B31" s="133" t="s">
        <v>1630</v>
      </c>
      <c r="C31" s="131">
        <v>285000</v>
      </c>
      <c r="D31" s="268">
        <v>6</v>
      </c>
      <c r="E31" s="131">
        <f t="shared" si="0"/>
        <v>47500</v>
      </c>
      <c r="F31" s="133" t="s">
        <v>223</v>
      </c>
      <c r="G31" s="133">
        <v>7200</v>
      </c>
      <c r="H31" s="134" t="s">
        <v>224</v>
      </c>
    </row>
    <row r="32" spans="2:8" x14ac:dyDescent="0.3">
      <c r="B32" s="133" t="s">
        <v>1632</v>
      </c>
      <c r="C32" s="131">
        <v>343000</v>
      </c>
      <c r="D32" s="268">
        <v>6</v>
      </c>
      <c r="E32" s="131">
        <f t="shared" si="0"/>
        <v>57166.666666666664</v>
      </c>
      <c r="F32" s="133" t="s">
        <v>223</v>
      </c>
      <c r="G32" s="133">
        <v>7200</v>
      </c>
      <c r="H32" s="134">
        <v>1.2</v>
      </c>
    </row>
    <row r="33" spans="2:8" x14ac:dyDescent="0.3">
      <c r="B33" s="133" t="s">
        <v>1623</v>
      </c>
      <c r="C33" s="131">
        <v>62200</v>
      </c>
      <c r="D33" s="268">
        <v>1</v>
      </c>
      <c r="E33" s="131">
        <f t="shared" si="0"/>
        <v>62200</v>
      </c>
      <c r="F33" s="133" t="s">
        <v>222</v>
      </c>
      <c r="G33" s="133">
        <v>7200</v>
      </c>
      <c r="H33" s="134">
        <v>1</v>
      </c>
    </row>
    <row r="34" spans="2:8" x14ac:dyDescent="0.3">
      <c r="B34" s="133" t="s">
        <v>1619</v>
      </c>
      <c r="C34" s="131">
        <v>123000</v>
      </c>
      <c r="D34" s="268">
        <v>2</v>
      </c>
      <c r="E34" s="131">
        <f t="shared" ref="E34:E41" si="1">C34/D34</f>
        <v>61500</v>
      </c>
      <c r="F34" s="133" t="s">
        <v>222</v>
      </c>
      <c r="G34" s="133">
        <v>7200</v>
      </c>
      <c r="H34" s="134">
        <v>1</v>
      </c>
    </row>
    <row r="35" spans="2:8" x14ac:dyDescent="0.3">
      <c r="B35" s="133" t="s">
        <v>1621</v>
      </c>
      <c r="C35" s="131">
        <v>143900</v>
      </c>
      <c r="D35" s="268">
        <v>3</v>
      </c>
      <c r="E35" s="131">
        <f t="shared" si="1"/>
        <v>47966.666666666664</v>
      </c>
      <c r="F35" s="133" t="s">
        <v>222</v>
      </c>
      <c r="G35" s="133">
        <v>7200</v>
      </c>
      <c r="H35" s="134">
        <v>1</v>
      </c>
    </row>
    <row r="36" spans="2:8" x14ac:dyDescent="0.3">
      <c r="B36" s="133" t="s">
        <v>1618</v>
      </c>
      <c r="C36" s="131">
        <v>236700</v>
      </c>
      <c r="D36" s="268">
        <v>4</v>
      </c>
      <c r="E36" s="131">
        <f t="shared" si="1"/>
        <v>59175</v>
      </c>
      <c r="F36" s="133" t="s">
        <v>222</v>
      </c>
      <c r="G36" s="140">
        <v>5900</v>
      </c>
      <c r="H36" s="134">
        <v>1</v>
      </c>
    </row>
    <row r="37" spans="2:8" x14ac:dyDescent="0.3">
      <c r="B37" s="133" t="s">
        <v>1620</v>
      </c>
      <c r="C37" s="131">
        <v>363300</v>
      </c>
      <c r="D37" s="268">
        <v>5</v>
      </c>
      <c r="E37" s="131">
        <f t="shared" si="1"/>
        <v>72660</v>
      </c>
      <c r="F37" s="133" t="s">
        <v>223</v>
      </c>
      <c r="G37" s="133">
        <v>7200</v>
      </c>
      <c r="H37" s="134" t="s">
        <v>1610</v>
      </c>
    </row>
    <row r="38" spans="2:8" x14ac:dyDescent="0.3">
      <c r="B38" s="133" t="s">
        <v>1622</v>
      </c>
      <c r="C38" s="131">
        <v>329400</v>
      </c>
      <c r="D38" s="268">
        <v>6</v>
      </c>
      <c r="E38" s="131">
        <f t="shared" si="1"/>
        <v>54900</v>
      </c>
      <c r="F38" s="133" t="s">
        <v>223</v>
      </c>
      <c r="G38" s="133">
        <v>7200</v>
      </c>
      <c r="H38" s="134" t="s">
        <v>1611</v>
      </c>
    </row>
    <row r="39" spans="2:8" x14ac:dyDescent="0.3">
      <c r="B39" s="133" t="s">
        <v>1617</v>
      </c>
      <c r="C39" s="131">
        <v>49700</v>
      </c>
      <c r="D39" s="268">
        <v>1</v>
      </c>
      <c r="E39" s="131">
        <f t="shared" si="1"/>
        <v>49700</v>
      </c>
      <c r="F39" s="133" t="s">
        <v>222</v>
      </c>
      <c r="G39" s="133">
        <v>7200</v>
      </c>
      <c r="H39" s="134">
        <v>1</v>
      </c>
    </row>
    <row r="40" spans="2:8" x14ac:dyDescent="0.3">
      <c r="B40" s="133" t="s">
        <v>1615</v>
      </c>
      <c r="C40" s="131">
        <v>85000</v>
      </c>
      <c r="D40" s="268">
        <v>2</v>
      </c>
      <c r="E40" s="131">
        <f t="shared" si="1"/>
        <v>42500</v>
      </c>
      <c r="F40" s="133" t="s">
        <v>222</v>
      </c>
      <c r="G40" s="133">
        <v>7200</v>
      </c>
      <c r="H40" s="134">
        <v>1</v>
      </c>
    </row>
    <row r="41" spans="2:8" x14ac:dyDescent="0.3">
      <c r="B41" s="133" t="s">
        <v>1614</v>
      </c>
      <c r="C41" s="131">
        <v>115000</v>
      </c>
      <c r="D41" s="268">
        <v>3</v>
      </c>
      <c r="E41" s="131">
        <f t="shared" si="1"/>
        <v>38333.333333333336</v>
      </c>
      <c r="F41" s="133" t="s">
        <v>222</v>
      </c>
      <c r="G41" s="133">
        <v>7200</v>
      </c>
      <c r="H41" s="134">
        <v>1</v>
      </c>
    </row>
    <row r="42" spans="2:8" x14ac:dyDescent="0.3">
      <c r="B42" s="133" t="s">
        <v>1613</v>
      </c>
      <c r="C42" s="131">
        <v>585000</v>
      </c>
      <c r="D42" s="268">
        <v>10</v>
      </c>
      <c r="E42" s="131">
        <f t="shared" ref="E42:E49" si="2">C42/D42</f>
        <v>58500</v>
      </c>
      <c r="F42" s="124" t="s">
        <v>1601</v>
      </c>
      <c r="G42" s="133">
        <v>7200</v>
      </c>
      <c r="H42" s="134">
        <v>1.5</v>
      </c>
    </row>
    <row r="43" spans="2:8" x14ac:dyDescent="0.3">
      <c r="B43" s="133" t="s">
        <v>1612</v>
      </c>
      <c r="C43" s="131">
        <v>599000</v>
      </c>
      <c r="D43" s="268">
        <v>10</v>
      </c>
      <c r="E43" s="131">
        <f t="shared" si="2"/>
        <v>59900</v>
      </c>
      <c r="F43" s="124" t="s">
        <v>1601</v>
      </c>
      <c r="G43" s="133">
        <v>7200</v>
      </c>
      <c r="H43" s="134">
        <v>1.5</v>
      </c>
    </row>
    <row r="44" spans="2:8" x14ac:dyDescent="0.3">
      <c r="B44" s="133" t="s">
        <v>1616</v>
      </c>
      <c r="C44" s="131">
        <v>649000</v>
      </c>
      <c r="D44" s="268">
        <v>10</v>
      </c>
      <c r="E44" s="131">
        <f t="shared" si="2"/>
        <v>64900</v>
      </c>
      <c r="F44" s="124" t="s">
        <v>1601</v>
      </c>
      <c r="G44" s="133">
        <v>7200</v>
      </c>
      <c r="H44" s="134">
        <v>1.5</v>
      </c>
    </row>
    <row r="45" spans="2:8" x14ac:dyDescent="0.3">
      <c r="B45" s="133" t="s">
        <v>1592</v>
      </c>
      <c r="C45" s="131">
        <v>136870</v>
      </c>
      <c r="D45" s="268">
        <v>3</v>
      </c>
      <c r="E45" s="131">
        <f t="shared" si="2"/>
        <v>45623.333333333336</v>
      </c>
      <c r="F45" s="133" t="s">
        <v>222</v>
      </c>
      <c r="G45" s="133">
        <v>7200</v>
      </c>
      <c r="H45" s="134">
        <v>600</v>
      </c>
    </row>
    <row r="46" spans="2:8" x14ac:dyDescent="0.3">
      <c r="B46" s="133" t="s">
        <v>1597</v>
      </c>
      <c r="C46" s="131">
        <v>185520</v>
      </c>
      <c r="D46" s="268">
        <v>4</v>
      </c>
      <c r="E46" s="131">
        <f t="shared" si="2"/>
        <v>46380</v>
      </c>
      <c r="F46" s="133" t="s">
        <v>222</v>
      </c>
      <c r="G46" s="133">
        <v>7200</v>
      </c>
      <c r="H46" s="134" t="s">
        <v>1609</v>
      </c>
    </row>
    <row r="47" spans="2:8" x14ac:dyDescent="0.3">
      <c r="B47" s="133" t="s">
        <v>1593</v>
      </c>
      <c r="C47" s="131">
        <v>179180</v>
      </c>
      <c r="D47" s="268">
        <v>4</v>
      </c>
      <c r="E47" s="131">
        <f t="shared" si="2"/>
        <v>44795</v>
      </c>
      <c r="F47" s="133" t="s">
        <v>1596</v>
      </c>
      <c r="G47" s="133">
        <v>7200</v>
      </c>
      <c r="H47" s="134">
        <v>800</v>
      </c>
    </row>
    <row r="48" spans="2:8" x14ac:dyDescent="0.3">
      <c r="B48" s="133" t="s">
        <v>1598</v>
      </c>
      <c r="C48" s="131">
        <v>247200</v>
      </c>
      <c r="D48" s="268">
        <v>5</v>
      </c>
      <c r="E48" s="131">
        <f t="shared" si="2"/>
        <v>49440</v>
      </c>
      <c r="F48" s="133" t="s">
        <v>223</v>
      </c>
      <c r="G48" s="133">
        <v>7200</v>
      </c>
      <c r="H48" s="134">
        <v>1</v>
      </c>
    </row>
    <row r="49" spans="2:8" x14ac:dyDescent="0.3">
      <c r="B49" s="133" t="s">
        <v>1594</v>
      </c>
      <c r="C49" s="131">
        <v>288300</v>
      </c>
      <c r="D49" s="268">
        <v>6</v>
      </c>
      <c r="E49" s="131">
        <f t="shared" si="2"/>
        <v>48050</v>
      </c>
      <c r="F49" s="133" t="s">
        <v>223</v>
      </c>
      <c r="G49" s="133">
        <v>7200</v>
      </c>
      <c r="H49" s="134">
        <v>1.2</v>
      </c>
    </row>
    <row r="50" spans="2:8" x14ac:dyDescent="0.3">
      <c r="B50" s="133" t="s">
        <v>1603</v>
      </c>
      <c r="C50" s="131">
        <v>155000</v>
      </c>
      <c r="D50" s="268">
        <v>2</v>
      </c>
      <c r="E50" s="131">
        <f t="shared" ref="E50:E57" si="3">C50/D50</f>
        <v>77500</v>
      </c>
      <c r="F50" s="133" t="s">
        <v>222</v>
      </c>
      <c r="G50" s="133">
        <v>7200</v>
      </c>
      <c r="H50" s="134">
        <v>400</v>
      </c>
    </row>
    <row r="51" spans="2:8" x14ac:dyDescent="0.3">
      <c r="B51" s="133" t="s">
        <v>1606</v>
      </c>
      <c r="C51" s="131">
        <v>190000</v>
      </c>
      <c r="D51" s="268">
        <v>3</v>
      </c>
      <c r="E51" s="131">
        <f t="shared" si="3"/>
        <v>63333.333333333336</v>
      </c>
      <c r="F51" s="133" t="s">
        <v>222</v>
      </c>
      <c r="G51" s="133">
        <v>7200</v>
      </c>
      <c r="H51" s="134">
        <v>600</v>
      </c>
    </row>
    <row r="52" spans="2:8" x14ac:dyDescent="0.3">
      <c r="B52" s="133" t="s">
        <v>1604</v>
      </c>
      <c r="C52" s="131">
        <v>245000</v>
      </c>
      <c r="D52" s="268">
        <v>4</v>
      </c>
      <c r="E52" s="131">
        <f t="shared" si="3"/>
        <v>61250</v>
      </c>
      <c r="F52" s="133" t="s">
        <v>222</v>
      </c>
      <c r="G52" s="133">
        <v>7200</v>
      </c>
      <c r="H52" s="134">
        <v>800</v>
      </c>
    </row>
    <row r="53" spans="2:8" x14ac:dyDescent="0.3">
      <c r="B53" s="133" t="s">
        <v>1607</v>
      </c>
      <c r="C53" s="131">
        <v>303900</v>
      </c>
      <c r="D53" s="268">
        <v>5</v>
      </c>
      <c r="E53" s="131">
        <f t="shared" si="3"/>
        <v>60780</v>
      </c>
      <c r="F53" s="133" t="s">
        <v>223</v>
      </c>
      <c r="G53" s="133">
        <v>7200</v>
      </c>
      <c r="H53" s="134" t="s">
        <v>1610</v>
      </c>
    </row>
    <row r="54" spans="2:8" x14ac:dyDescent="0.3">
      <c r="B54" s="133" t="s">
        <v>1600</v>
      </c>
      <c r="C54" s="131">
        <v>333000</v>
      </c>
      <c r="D54" s="268">
        <v>6</v>
      </c>
      <c r="E54" s="131">
        <f t="shared" si="3"/>
        <v>55500</v>
      </c>
      <c r="F54" s="133" t="s">
        <v>223</v>
      </c>
      <c r="G54" s="133">
        <v>7200</v>
      </c>
      <c r="H54" s="134">
        <v>1.2</v>
      </c>
    </row>
    <row r="55" spans="2:8" x14ac:dyDescent="0.3">
      <c r="B55" s="133" t="s">
        <v>1605</v>
      </c>
      <c r="C55" s="131">
        <v>449850</v>
      </c>
      <c r="D55" s="268">
        <v>6</v>
      </c>
      <c r="E55" s="131">
        <f t="shared" si="3"/>
        <v>74975</v>
      </c>
      <c r="F55" s="133" t="s">
        <v>223</v>
      </c>
      <c r="G55" s="133">
        <v>7200</v>
      </c>
      <c r="H55" s="134">
        <v>1.2</v>
      </c>
    </row>
    <row r="56" spans="2:8" x14ac:dyDescent="0.3">
      <c r="B56" s="133" t="s">
        <v>1602</v>
      </c>
      <c r="C56" s="131">
        <v>610000</v>
      </c>
      <c r="D56" s="268">
        <v>8</v>
      </c>
      <c r="E56" s="131">
        <f t="shared" si="3"/>
        <v>76250</v>
      </c>
      <c r="F56" s="133" t="s">
        <v>223</v>
      </c>
      <c r="G56" s="133">
        <v>7200</v>
      </c>
      <c r="H56" s="134">
        <v>1.2</v>
      </c>
    </row>
    <row r="57" spans="2:8" x14ac:dyDescent="0.3">
      <c r="B57" s="124" t="s">
        <v>1608</v>
      </c>
      <c r="C57" s="243">
        <v>880000</v>
      </c>
      <c r="D57" s="266">
        <v>10</v>
      </c>
      <c r="E57" s="131">
        <f t="shared" si="3"/>
        <v>88000</v>
      </c>
      <c r="F57" s="124" t="s">
        <v>1601</v>
      </c>
      <c r="G57" s="124">
        <v>7200</v>
      </c>
      <c r="H57" s="125">
        <v>1.5</v>
      </c>
    </row>
  </sheetData>
  <phoneticPr fontId="4" type="noConversion"/>
  <conditionalFormatting sqref="E1:E1048576">
    <cfRule type="colorScale" priority="2">
      <colorScale>
        <cfvo type="percent" val="0"/>
        <cfvo type="percent" val="50"/>
        <color theme="6" tint="0.39997558519241921"/>
        <color theme="5" tint="0.79998168889431442"/>
      </colorScale>
    </cfRule>
  </conditionalFormatting>
  <conditionalFormatting sqref="D1:D1048576">
    <cfRule type="colorScale" priority="1">
      <colorScale>
        <cfvo type="percent" val="0"/>
        <cfvo type="percent" val="50"/>
        <color theme="9" tint="0.79998168889431442"/>
        <color theme="8" tint="0.39997558519241921"/>
      </colorScale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59999389629810485"/>
  </sheetPr>
  <dimension ref="A1:P88"/>
  <sheetViews>
    <sheetView zoomScale="115" zoomScaleNormal="115" workbookViewId="0">
      <pane xSplit="2" ySplit="2" topLeftCell="C66" activePane="bottomRight" state="frozen"/>
      <selection pane="topRight" activeCell="C1" sqref="C1"/>
      <selection pane="bottomLeft" activeCell="A3" sqref="A3"/>
      <selection pane="bottomRight" activeCell="B79" sqref="B79"/>
    </sheetView>
  </sheetViews>
  <sheetFormatPr defaultColWidth="9" defaultRowHeight="13.2" x14ac:dyDescent="0.3"/>
  <cols>
    <col min="1" max="1" width="2.59765625" style="124" bestFit="1" customWidth="1"/>
    <col min="2" max="2" width="30.19921875" style="124" bestFit="1" customWidth="1"/>
    <col min="3" max="3" width="10.19921875" style="124" bestFit="1" customWidth="1"/>
    <col min="4" max="4" width="8.3984375" style="124" bestFit="1" customWidth="1"/>
    <col min="5" max="5" width="8.3984375" style="194" customWidth="1"/>
    <col min="6" max="6" width="8.3984375" style="243" customWidth="1"/>
    <col min="7" max="7" width="8.3984375" style="124" bestFit="1" customWidth="1"/>
    <col min="8" max="8" width="6.8984375" style="124" bestFit="1" customWidth="1"/>
    <col min="9" max="9" width="6.19921875" style="365" bestFit="1" customWidth="1"/>
    <col min="10" max="11" width="8.3984375" style="372" bestFit="1" customWidth="1"/>
    <col min="12" max="13" width="8.296875" style="380" bestFit="1" customWidth="1"/>
    <col min="14" max="14" width="6.8984375" style="369" bestFit="1" customWidth="1"/>
    <col min="15" max="15" width="7.8984375" style="125" bestFit="1" customWidth="1"/>
    <col min="16" max="16384" width="9" style="124"/>
  </cols>
  <sheetData>
    <row r="1" spans="1:16" ht="24" customHeight="1" x14ac:dyDescent="0.3">
      <c r="A1" s="124">
        <v>6</v>
      </c>
      <c r="L1" s="376" t="s">
        <v>2843</v>
      </c>
      <c r="M1" s="377" t="s">
        <v>2844</v>
      </c>
    </row>
    <row r="2" spans="1:16" x14ac:dyDescent="0.3">
      <c r="B2" s="368" t="s">
        <v>1206</v>
      </c>
      <c r="C2" s="368" t="s">
        <v>197</v>
      </c>
      <c r="D2" s="368" t="s">
        <v>2</v>
      </c>
      <c r="E2" s="362" t="s">
        <v>2831</v>
      </c>
      <c r="F2" s="264" t="s">
        <v>2830</v>
      </c>
      <c r="G2" s="368" t="s">
        <v>209</v>
      </c>
      <c r="H2" s="368" t="s">
        <v>210</v>
      </c>
      <c r="I2" s="366" t="s">
        <v>211</v>
      </c>
      <c r="J2" s="373" t="s">
        <v>2841</v>
      </c>
      <c r="K2" s="373" t="s">
        <v>2842</v>
      </c>
      <c r="L2" s="378" t="s">
        <v>212</v>
      </c>
      <c r="M2" s="378" t="s">
        <v>213</v>
      </c>
      <c r="N2" s="375" t="s">
        <v>2853</v>
      </c>
      <c r="O2" s="368" t="s">
        <v>2833</v>
      </c>
      <c r="P2" s="140"/>
    </row>
    <row r="3" spans="1:16" x14ac:dyDescent="0.3">
      <c r="B3" s="133" t="s">
        <v>1207</v>
      </c>
      <c r="C3" s="126"/>
      <c r="D3" s="126"/>
      <c r="E3" s="363"/>
      <c r="F3" s="245"/>
      <c r="G3" s="126"/>
      <c r="H3" s="126"/>
      <c r="I3" s="366"/>
      <c r="J3" s="373"/>
      <c r="K3" s="373"/>
      <c r="L3" s="378"/>
      <c r="M3" s="378"/>
      <c r="N3" s="370"/>
      <c r="O3" s="352"/>
      <c r="P3" s="140"/>
    </row>
    <row r="4" spans="1:16" x14ac:dyDescent="0.3">
      <c r="B4" s="126" t="s">
        <v>1271</v>
      </c>
      <c r="C4" s="126"/>
      <c r="D4" s="126"/>
      <c r="E4" s="363"/>
      <c r="F4" s="245"/>
      <c r="G4" s="126"/>
      <c r="H4" s="126"/>
      <c r="I4" s="366"/>
      <c r="J4" s="373"/>
      <c r="K4" s="373"/>
      <c r="L4" s="378"/>
      <c r="M4" s="378"/>
      <c r="N4" s="370"/>
      <c r="O4" s="352"/>
      <c r="P4" s="140"/>
    </row>
    <row r="5" spans="1:16" x14ac:dyDescent="0.3">
      <c r="B5" s="358" t="s">
        <v>2832</v>
      </c>
      <c r="C5" s="126"/>
      <c r="D5" s="126"/>
      <c r="E5" s="363"/>
      <c r="F5" s="245"/>
      <c r="G5" s="126"/>
      <c r="H5" s="126"/>
      <c r="I5" s="366"/>
      <c r="J5" s="373"/>
      <c r="K5" s="373"/>
      <c r="L5" s="378"/>
      <c r="M5" s="378"/>
      <c r="N5" s="370"/>
      <c r="O5" s="358"/>
      <c r="P5" s="140"/>
    </row>
    <row r="6" spans="1:16" x14ac:dyDescent="0.3">
      <c r="B6" s="133" t="s">
        <v>3103</v>
      </c>
      <c r="C6" s="131">
        <v>98500</v>
      </c>
      <c r="D6" s="133" t="s">
        <v>226</v>
      </c>
      <c r="E6" s="364">
        <v>250</v>
      </c>
      <c r="F6" s="131">
        <f t="shared" ref="F6:F13" si="0">C6/E6</f>
        <v>394</v>
      </c>
      <c r="G6" s="133" t="s">
        <v>228</v>
      </c>
      <c r="H6" s="133" t="s">
        <v>2852</v>
      </c>
      <c r="I6" s="367">
        <v>16</v>
      </c>
      <c r="J6" s="374">
        <v>555</v>
      </c>
      <c r="K6" s="374">
        <v>500</v>
      </c>
      <c r="L6" s="379">
        <v>100</v>
      </c>
      <c r="M6" s="379">
        <v>87</v>
      </c>
      <c r="N6" s="371">
        <v>3</v>
      </c>
      <c r="O6" s="134"/>
      <c r="P6" s="133"/>
    </row>
    <row r="7" spans="1:16" x14ac:dyDescent="0.3">
      <c r="B7" s="133" t="s">
        <v>2840</v>
      </c>
      <c r="C7" s="131">
        <v>193000</v>
      </c>
      <c r="D7" s="133" t="s">
        <v>226</v>
      </c>
      <c r="E7" s="364">
        <v>500</v>
      </c>
      <c r="F7" s="131">
        <f t="shared" si="0"/>
        <v>386</v>
      </c>
      <c r="G7" s="133" t="s">
        <v>228</v>
      </c>
      <c r="H7" s="133" t="s">
        <v>2852</v>
      </c>
      <c r="I7" s="367">
        <v>16</v>
      </c>
      <c r="J7" s="374">
        <v>555</v>
      </c>
      <c r="K7" s="374">
        <v>500</v>
      </c>
      <c r="L7" s="379">
        <v>100</v>
      </c>
      <c r="M7" s="379">
        <v>87</v>
      </c>
      <c r="N7" s="371">
        <v>3</v>
      </c>
      <c r="O7" s="134"/>
      <c r="P7" s="133"/>
    </row>
    <row r="8" spans="1:16" x14ac:dyDescent="0.3">
      <c r="B8" s="133" t="s">
        <v>2845</v>
      </c>
      <c r="C8" s="131">
        <v>380990</v>
      </c>
      <c r="D8" s="133" t="s">
        <v>226</v>
      </c>
      <c r="E8" s="364">
        <v>1000</v>
      </c>
      <c r="F8" s="131">
        <f t="shared" si="0"/>
        <v>380.99</v>
      </c>
      <c r="G8" s="133" t="s">
        <v>228</v>
      </c>
      <c r="H8" s="133" t="s">
        <v>2852</v>
      </c>
      <c r="I8" s="367">
        <v>16</v>
      </c>
      <c r="J8" s="374">
        <v>555</v>
      </c>
      <c r="K8" s="374">
        <v>500</v>
      </c>
      <c r="L8" s="379">
        <v>100</v>
      </c>
      <c r="M8" s="379">
        <v>87</v>
      </c>
      <c r="N8" s="371">
        <v>3</v>
      </c>
      <c r="O8" s="134"/>
      <c r="P8" s="133"/>
    </row>
    <row r="9" spans="1:16" x14ac:dyDescent="0.3">
      <c r="B9" s="133" t="s">
        <v>2846</v>
      </c>
      <c r="C9" s="131">
        <v>84910</v>
      </c>
      <c r="D9" s="133" t="s">
        <v>226</v>
      </c>
      <c r="E9" s="364">
        <v>275</v>
      </c>
      <c r="F9" s="131">
        <f t="shared" si="0"/>
        <v>308.76363636363635</v>
      </c>
      <c r="G9" s="133" t="s">
        <v>228</v>
      </c>
      <c r="H9" s="133" t="s">
        <v>2851</v>
      </c>
      <c r="I9" s="367">
        <v>37</v>
      </c>
      <c r="J9" s="374">
        <v>530</v>
      </c>
      <c r="K9" s="374">
        <v>500</v>
      </c>
      <c r="L9" s="379">
        <v>55</v>
      </c>
      <c r="M9" s="379">
        <v>83</v>
      </c>
      <c r="N9" s="371">
        <v>3</v>
      </c>
      <c r="O9" s="134"/>
      <c r="P9" s="133"/>
    </row>
    <row r="10" spans="1:16" x14ac:dyDescent="0.3">
      <c r="B10" s="133" t="s">
        <v>2847</v>
      </c>
      <c r="C10" s="131">
        <v>158800</v>
      </c>
      <c r="D10" s="133" t="s">
        <v>226</v>
      </c>
      <c r="E10" s="364">
        <v>525</v>
      </c>
      <c r="F10" s="131">
        <f t="shared" si="0"/>
        <v>302.47619047619048</v>
      </c>
      <c r="G10" s="133" t="s">
        <v>228</v>
      </c>
      <c r="H10" s="133" t="s">
        <v>2851</v>
      </c>
      <c r="I10" s="367">
        <v>37</v>
      </c>
      <c r="J10" s="374">
        <v>530</v>
      </c>
      <c r="K10" s="374">
        <v>510</v>
      </c>
      <c r="L10" s="379">
        <v>92</v>
      </c>
      <c r="M10" s="379">
        <v>83</v>
      </c>
      <c r="N10" s="371">
        <v>3</v>
      </c>
      <c r="O10" s="134"/>
      <c r="P10" s="133"/>
    </row>
    <row r="11" spans="1:16" x14ac:dyDescent="0.3">
      <c r="B11" s="133" t="s">
        <v>2848</v>
      </c>
      <c r="C11" s="131">
        <v>228000</v>
      </c>
      <c r="D11" s="133" t="s">
        <v>226</v>
      </c>
      <c r="E11" s="364">
        <v>750</v>
      </c>
      <c r="F11" s="131">
        <f t="shared" si="0"/>
        <v>304</v>
      </c>
      <c r="G11" s="133" t="s">
        <v>228</v>
      </c>
      <c r="H11" s="133" t="s">
        <v>2851</v>
      </c>
      <c r="I11" s="367">
        <v>37</v>
      </c>
      <c r="J11" s="374">
        <v>530</v>
      </c>
      <c r="K11" s="374">
        <v>510</v>
      </c>
      <c r="L11" s="379">
        <v>92</v>
      </c>
      <c r="M11" s="379">
        <v>83</v>
      </c>
      <c r="N11" s="371">
        <v>3</v>
      </c>
      <c r="O11" s="310" t="s">
        <v>2854</v>
      </c>
      <c r="P11" s="133"/>
    </row>
    <row r="12" spans="1:16" x14ac:dyDescent="0.3">
      <c r="B12" s="133" t="s">
        <v>2849</v>
      </c>
      <c r="C12" s="131">
        <v>330000</v>
      </c>
      <c r="D12" s="133" t="s">
        <v>226</v>
      </c>
      <c r="E12" s="364">
        <v>1000</v>
      </c>
      <c r="F12" s="131">
        <f t="shared" si="0"/>
        <v>330</v>
      </c>
      <c r="G12" s="133" t="s">
        <v>228</v>
      </c>
      <c r="H12" s="133" t="s">
        <v>2851</v>
      </c>
      <c r="I12" s="367">
        <v>37</v>
      </c>
      <c r="J12" s="374">
        <v>530</v>
      </c>
      <c r="K12" s="374">
        <v>510</v>
      </c>
      <c r="L12" s="379">
        <v>92</v>
      </c>
      <c r="M12" s="379">
        <v>83</v>
      </c>
      <c r="N12" s="371">
        <v>3</v>
      </c>
      <c r="O12" s="134"/>
      <c r="P12" s="133"/>
    </row>
    <row r="13" spans="1:16" x14ac:dyDescent="0.3">
      <c r="B13" s="133" t="s">
        <v>2850</v>
      </c>
      <c r="C13" s="131">
        <v>685000</v>
      </c>
      <c r="D13" s="133" t="s">
        <v>226</v>
      </c>
      <c r="E13" s="364">
        <v>2000</v>
      </c>
      <c r="F13" s="131">
        <f t="shared" si="0"/>
        <v>342.5</v>
      </c>
      <c r="G13" s="133" t="s">
        <v>228</v>
      </c>
      <c r="H13" s="133" t="s">
        <v>2851</v>
      </c>
      <c r="I13" s="367">
        <v>37</v>
      </c>
      <c r="J13" s="374">
        <v>530</v>
      </c>
      <c r="K13" s="374">
        <v>510</v>
      </c>
      <c r="L13" s="379">
        <v>92</v>
      </c>
      <c r="M13" s="379">
        <v>83</v>
      </c>
      <c r="N13" s="371">
        <v>3</v>
      </c>
      <c r="O13" s="134"/>
      <c r="P13" s="133"/>
    </row>
    <row r="14" spans="1:16" x14ac:dyDescent="0.3">
      <c r="B14" s="133" t="s">
        <v>2855</v>
      </c>
      <c r="C14" s="131">
        <v>43500</v>
      </c>
      <c r="D14" s="133" t="s">
        <v>215</v>
      </c>
      <c r="E14" s="364">
        <v>128</v>
      </c>
      <c r="F14" s="131">
        <f t="shared" ref="F14:F25" si="1">C14/E14</f>
        <v>339.84375</v>
      </c>
      <c r="G14" s="133" t="s">
        <v>227</v>
      </c>
      <c r="H14" s="133" t="s">
        <v>2852</v>
      </c>
      <c r="I14" s="367">
        <v>15</v>
      </c>
      <c r="J14" s="374">
        <v>530</v>
      </c>
      <c r="K14" s="374">
        <v>400</v>
      </c>
      <c r="L14" s="379"/>
      <c r="M14" s="379"/>
      <c r="N14" s="371">
        <v>3</v>
      </c>
      <c r="O14" s="134"/>
      <c r="P14" s="133"/>
    </row>
    <row r="15" spans="1:16" x14ac:dyDescent="0.3">
      <c r="B15" s="133" t="s">
        <v>2856</v>
      </c>
      <c r="C15" s="131">
        <v>69200</v>
      </c>
      <c r="D15" s="133" t="s">
        <v>215</v>
      </c>
      <c r="E15" s="364">
        <v>240</v>
      </c>
      <c r="F15" s="131">
        <f t="shared" si="1"/>
        <v>288.33333333333331</v>
      </c>
      <c r="G15" s="133" t="s">
        <v>227</v>
      </c>
      <c r="H15" s="133" t="s">
        <v>2852</v>
      </c>
      <c r="I15" s="367">
        <v>15</v>
      </c>
      <c r="J15" s="374">
        <v>530</v>
      </c>
      <c r="K15" s="374">
        <v>440</v>
      </c>
      <c r="L15" s="379"/>
      <c r="M15" s="379"/>
      <c r="N15" s="371">
        <v>3</v>
      </c>
      <c r="O15" s="134"/>
      <c r="P15" s="133"/>
    </row>
    <row r="16" spans="1:16" x14ac:dyDescent="0.3">
      <c r="B16" s="133" t="s">
        <v>2857</v>
      </c>
      <c r="C16" s="131">
        <v>129500</v>
      </c>
      <c r="D16" s="133" t="s">
        <v>215</v>
      </c>
      <c r="E16" s="364">
        <v>480</v>
      </c>
      <c r="F16" s="131">
        <f t="shared" si="1"/>
        <v>269.79166666666669</v>
      </c>
      <c r="G16" s="133" t="s">
        <v>227</v>
      </c>
      <c r="H16" s="133" t="s">
        <v>2852</v>
      </c>
      <c r="I16" s="367">
        <v>15</v>
      </c>
      <c r="J16" s="374">
        <v>535</v>
      </c>
      <c r="K16" s="374">
        <v>445</v>
      </c>
      <c r="L16" s="379"/>
      <c r="M16" s="379"/>
      <c r="N16" s="371">
        <v>3</v>
      </c>
      <c r="O16" s="134"/>
      <c r="P16" s="133"/>
    </row>
    <row r="17" spans="2:16" x14ac:dyDescent="0.3">
      <c r="B17" s="133" t="s">
        <v>2858</v>
      </c>
      <c r="C17" s="131">
        <v>39100</v>
      </c>
      <c r="D17" s="133" t="s">
        <v>215</v>
      </c>
      <c r="E17" s="364">
        <v>64</v>
      </c>
      <c r="F17" s="131">
        <f t="shared" si="1"/>
        <v>610.9375</v>
      </c>
      <c r="G17" s="133" t="s">
        <v>227</v>
      </c>
      <c r="H17" s="133" t="s">
        <v>214</v>
      </c>
      <c r="I17" s="367">
        <v>15</v>
      </c>
      <c r="J17" s="374">
        <v>546</v>
      </c>
      <c r="K17" s="374">
        <v>342</v>
      </c>
      <c r="L17" s="379">
        <v>33</v>
      </c>
      <c r="M17" s="379">
        <v>62</v>
      </c>
      <c r="N17" s="371">
        <v>5</v>
      </c>
      <c r="O17" s="134"/>
      <c r="P17" s="133"/>
    </row>
    <row r="18" spans="2:16" x14ac:dyDescent="0.3">
      <c r="B18" s="133" t="s">
        <v>2859</v>
      </c>
      <c r="C18" s="131">
        <v>45900</v>
      </c>
      <c r="D18" s="133" t="s">
        <v>215</v>
      </c>
      <c r="E18" s="364">
        <v>128</v>
      </c>
      <c r="F18" s="131">
        <f t="shared" si="1"/>
        <v>358.59375</v>
      </c>
      <c r="G18" s="133" t="s">
        <v>227</v>
      </c>
      <c r="H18" s="133" t="s">
        <v>214</v>
      </c>
      <c r="I18" s="367">
        <v>15</v>
      </c>
      <c r="J18" s="374">
        <v>546</v>
      </c>
      <c r="K18" s="374">
        <v>342</v>
      </c>
      <c r="L18" s="379">
        <v>33</v>
      </c>
      <c r="M18" s="379">
        <v>62</v>
      </c>
      <c r="N18" s="371">
        <v>5</v>
      </c>
      <c r="O18" s="134"/>
      <c r="P18" s="133"/>
    </row>
    <row r="19" spans="2:16" x14ac:dyDescent="0.3">
      <c r="B19" s="133" t="s">
        <v>2860</v>
      </c>
      <c r="C19" s="131">
        <v>79200</v>
      </c>
      <c r="D19" s="133" t="s">
        <v>215</v>
      </c>
      <c r="E19" s="364">
        <v>256</v>
      </c>
      <c r="F19" s="131">
        <f t="shared" si="1"/>
        <v>309.375</v>
      </c>
      <c r="G19" s="133" t="s">
        <v>227</v>
      </c>
      <c r="H19" s="133" t="s">
        <v>214</v>
      </c>
      <c r="I19" s="367">
        <v>15</v>
      </c>
      <c r="J19" s="374">
        <v>546</v>
      </c>
      <c r="K19" s="374">
        <v>342</v>
      </c>
      <c r="L19" s="379">
        <v>33</v>
      </c>
      <c r="M19" s="379">
        <v>62</v>
      </c>
      <c r="N19" s="371">
        <v>5</v>
      </c>
      <c r="O19" s="134"/>
      <c r="P19" s="133"/>
    </row>
    <row r="20" spans="2:16" x14ac:dyDescent="0.3">
      <c r="B20" s="133" t="s">
        <v>2861</v>
      </c>
      <c r="C20" s="131">
        <v>43000</v>
      </c>
      <c r="D20" s="133" t="s">
        <v>215</v>
      </c>
      <c r="E20" s="364">
        <v>120</v>
      </c>
      <c r="F20" s="131">
        <f t="shared" si="1"/>
        <v>358.33333333333331</v>
      </c>
      <c r="G20" s="133" t="s">
        <v>227</v>
      </c>
      <c r="H20" s="133" t="s">
        <v>2868</v>
      </c>
      <c r="I20" s="367">
        <v>15</v>
      </c>
      <c r="J20" s="374">
        <v>535</v>
      </c>
      <c r="K20" s="374">
        <v>410</v>
      </c>
      <c r="L20" s="379">
        <v>36</v>
      </c>
      <c r="M20" s="379">
        <v>54</v>
      </c>
      <c r="N20" s="371">
        <v>3</v>
      </c>
      <c r="O20" s="134"/>
      <c r="P20" s="133"/>
    </row>
    <row r="21" spans="2:16" x14ac:dyDescent="0.3">
      <c r="B21" s="133" t="s">
        <v>3104</v>
      </c>
      <c r="C21" s="131">
        <v>70000</v>
      </c>
      <c r="D21" s="133" t="s">
        <v>215</v>
      </c>
      <c r="E21" s="364">
        <v>240</v>
      </c>
      <c r="F21" s="131">
        <f t="shared" si="1"/>
        <v>291.66666666666669</v>
      </c>
      <c r="G21" s="133" t="s">
        <v>227</v>
      </c>
      <c r="H21" s="133" t="s">
        <v>2868</v>
      </c>
      <c r="I21" s="367">
        <v>15</v>
      </c>
      <c r="J21" s="374">
        <v>535</v>
      </c>
      <c r="K21" s="374">
        <v>440</v>
      </c>
      <c r="L21" s="379">
        <v>36</v>
      </c>
      <c r="M21" s="379">
        <v>66</v>
      </c>
      <c r="N21" s="371">
        <v>3</v>
      </c>
      <c r="O21" s="134"/>
      <c r="P21" s="133"/>
    </row>
    <row r="22" spans="2:16" x14ac:dyDescent="0.3">
      <c r="B22" s="133" t="s">
        <v>2862</v>
      </c>
      <c r="C22" s="131">
        <v>139900</v>
      </c>
      <c r="D22" s="133" t="s">
        <v>215</v>
      </c>
      <c r="E22" s="364">
        <v>480</v>
      </c>
      <c r="F22" s="131">
        <f t="shared" si="1"/>
        <v>291.45833333333331</v>
      </c>
      <c r="G22" s="133" t="s">
        <v>227</v>
      </c>
      <c r="H22" s="133" t="s">
        <v>2868</v>
      </c>
      <c r="I22" s="367">
        <v>15</v>
      </c>
      <c r="J22" s="374">
        <v>535</v>
      </c>
      <c r="K22" s="374">
        <v>445</v>
      </c>
      <c r="L22" s="379">
        <v>37</v>
      </c>
      <c r="M22" s="379">
        <v>68</v>
      </c>
      <c r="N22" s="371">
        <v>3</v>
      </c>
      <c r="O22" s="134"/>
      <c r="P22" s="133"/>
    </row>
    <row r="23" spans="2:16" x14ac:dyDescent="0.3">
      <c r="B23" s="133" t="s">
        <v>2863</v>
      </c>
      <c r="C23" s="131">
        <v>57000</v>
      </c>
      <c r="D23" s="133" t="s">
        <v>215</v>
      </c>
      <c r="E23" s="364">
        <v>128</v>
      </c>
      <c r="F23" s="131">
        <f t="shared" si="1"/>
        <v>445.3125</v>
      </c>
      <c r="G23" s="133" t="s">
        <v>2867</v>
      </c>
      <c r="H23" s="133" t="s">
        <v>2868</v>
      </c>
      <c r="I23" s="367">
        <v>15</v>
      </c>
      <c r="J23" s="374">
        <v>540</v>
      </c>
      <c r="K23" s="374">
        <v>340</v>
      </c>
      <c r="L23" s="379">
        <v>93.5</v>
      </c>
      <c r="M23" s="379">
        <v>60</v>
      </c>
      <c r="N23" s="371">
        <v>5</v>
      </c>
      <c r="O23" s="134"/>
      <c r="P23" s="133"/>
    </row>
    <row r="24" spans="2:16" x14ac:dyDescent="0.3">
      <c r="B24" s="133" t="s">
        <v>2864</v>
      </c>
      <c r="C24" s="131">
        <v>94000</v>
      </c>
      <c r="D24" s="133" t="s">
        <v>215</v>
      </c>
      <c r="E24" s="364">
        <v>256</v>
      </c>
      <c r="F24" s="131">
        <f t="shared" si="1"/>
        <v>367.1875</v>
      </c>
      <c r="G24" s="133" t="s">
        <v>2867</v>
      </c>
      <c r="H24" s="133" t="s">
        <v>2868</v>
      </c>
      <c r="I24" s="367">
        <v>15</v>
      </c>
      <c r="J24" s="374">
        <v>540</v>
      </c>
      <c r="K24" s="374">
        <v>520</v>
      </c>
      <c r="L24" s="379">
        <v>93.5</v>
      </c>
      <c r="M24" s="379">
        <v>60</v>
      </c>
      <c r="N24" s="371">
        <v>5</v>
      </c>
      <c r="O24" s="134"/>
      <c r="P24" s="133"/>
    </row>
    <row r="25" spans="2:16" x14ac:dyDescent="0.3">
      <c r="B25" s="133" t="s">
        <v>2865</v>
      </c>
      <c r="C25" s="131">
        <v>186140</v>
      </c>
      <c r="D25" s="133" t="s">
        <v>215</v>
      </c>
      <c r="E25" s="364">
        <v>512</v>
      </c>
      <c r="F25" s="131">
        <f t="shared" si="1"/>
        <v>363.5546875</v>
      </c>
      <c r="G25" s="133" t="s">
        <v>2867</v>
      </c>
      <c r="H25" s="133" t="s">
        <v>2868</v>
      </c>
      <c r="I25" s="367">
        <v>15</v>
      </c>
      <c r="J25" s="374">
        <v>540</v>
      </c>
      <c r="K25" s="374">
        <v>520</v>
      </c>
      <c r="L25" s="379">
        <v>93.5</v>
      </c>
      <c r="M25" s="379">
        <v>75</v>
      </c>
      <c r="N25" s="371">
        <v>5</v>
      </c>
      <c r="O25" s="134"/>
      <c r="P25" s="133"/>
    </row>
    <row r="26" spans="2:16" x14ac:dyDescent="0.3">
      <c r="B26" s="133" t="s">
        <v>2866</v>
      </c>
      <c r="C26" s="131">
        <v>368390</v>
      </c>
      <c r="D26" s="133" t="s">
        <v>215</v>
      </c>
      <c r="E26" s="364">
        <v>1000</v>
      </c>
      <c r="F26" s="131">
        <f t="shared" ref="F26:F44" si="2">C26/E26</f>
        <v>368.39</v>
      </c>
      <c r="G26" s="133" t="s">
        <v>2867</v>
      </c>
      <c r="H26" s="133" t="s">
        <v>2868</v>
      </c>
      <c r="I26" s="367">
        <v>15</v>
      </c>
      <c r="J26" s="374">
        <v>540</v>
      </c>
      <c r="K26" s="374">
        <v>520</v>
      </c>
      <c r="L26" s="379">
        <v>95</v>
      </c>
      <c r="M26" s="379">
        <v>75</v>
      </c>
      <c r="N26" s="371">
        <v>5</v>
      </c>
      <c r="O26" s="134"/>
      <c r="P26" s="133"/>
    </row>
    <row r="27" spans="2:16" x14ac:dyDescent="0.3">
      <c r="B27" s="133" t="s">
        <v>2882</v>
      </c>
      <c r="C27" s="131">
        <v>43500</v>
      </c>
      <c r="D27" s="133" t="s">
        <v>2878</v>
      </c>
      <c r="E27" s="364">
        <v>64</v>
      </c>
      <c r="F27" s="131">
        <f t="shared" si="2"/>
        <v>679.6875</v>
      </c>
      <c r="G27" s="133" t="s">
        <v>2881</v>
      </c>
      <c r="H27" s="133" t="s">
        <v>2884</v>
      </c>
      <c r="I27" s="367">
        <v>25</v>
      </c>
      <c r="J27" s="374">
        <v>545</v>
      </c>
      <c r="K27" s="374">
        <v>525</v>
      </c>
      <c r="L27" s="379"/>
      <c r="M27" s="379">
        <v>86</v>
      </c>
      <c r="N27" s="371">
        <v>3</v>
      </c>
      <c r="O27" s="134"/>
      <c r="P27" s="133"/>
    </row>
    <row r="28" spans="2:16" x14ac:dyDescent="0.3">
      <c r="B28" s="133" t="s">
        <v>2869</v>
      </c>
      <c r="C28" s="131">
        <v>48100</v>
      </c>
      <c r="D28" s="133" t="s">
        <v>2878</v>
      </c>
      <c r="E28" s="364">
        <v>128</v>
      </c>
      <c r="F28" s="131">
        <f t="shared" si="2"/>
        <v>375.78125</v>
      </c>
      <c r="G28" s="133" t="s">
        <v>2881</v>
      </c>
      <c r="H28" s="133" t="s">
        <v>2884</v>
      </c>
      <c r="I28" s="367">
        <v>25</v>
      </c>
      <c r="J28" s="374">
        <v>545</v>
      </c>
      <c r="K28" s="374">
        <v>535</v>
      </c>
      <c r="L28" s="379"/>
      <c r="M28" s="379">
        <v>91</v>
      </c>
      <c r="N28" s="371">
        <v>3</v>
      </c>
      <c r="O28" s="134"/>
      <c r="P28" s="133"/>
    </row>
    <row r="29" spans="2:16" x14ac:dyDescent="0.3">
      <c r="B29" s="133" t="s">
        <v>2870</v>
      </c>
      <c r="C29" s="131">
        <v>84200</v>
      </c>
      <c r="D29" s="133" t="s">
        <v>2878</v>
      </c>
      <c r="E29" s="364">
        <v>256</v>
      </c>
      <c r="F29" s="131">
        <f t="shared" si="2"/>
        <v>328.90625</v>
      </c>
      <c r="G29" s="133" t="s">
        <v>2881</v>
      </c>
      <c r="H29" s="133" t="s">
        <v>2884</v>
      </c>
      <c r="I29" s="367">
        <v>25</v>
      </c>
      <c r="J29" s="374">
        <v>545</v>
      </c>
      <c r="K29" s="374">
        <v>535</v>
      </c>
      <c r="L29" s="379"/>
      <c r="M29" s="379">
        <v>91</v>
      </c>
      <c r="N29" s="371">
        <v>3</v>
      </c>
      <c r="O29" s="134"/>
      <c r="P29" s="133"/>
    </row>
    <row r="30" spans="2:16" x14ac:dyDescent="0.3">
      <c r="B30" s="133" t="s">
        <v>2883</v>
      </c>
      <c r="C30" s="131">
        <v>176000</v>
      </c>
      <c r="D30" s="133" t="s">
        <v>2878</v>
      </c>
      <c r="E30" s="364">
        <v>512</v>
      </c>
      <c r="F30" s="131">
        <f t="shared" si="2"/>
        <v>343.75</v>
      </c>
      <c r="G30" s="133" t="s">
        <v>2881</v>
      </c>
      <c r="H30" s="133" t="s">
        <v>2884</v>
      </c>
      <c r="I30" s="367">
        <v>25</v>
      </c>
      <c r="J30" s="374">
        <v>555</v>
      </c>
      <c r="K30" s="374">
        <v>535</v>
      </c>
      <c r="L30" s="379"/>
      <c r="M30" s="379">
        <v>30</v>
      </c>
      <c r="N30" s="371">
        <v>3</v>
      </c>
      <c r="O30" s="134"/>
      <c r="P30" s="133"/>
    </row>
    <row r="31" spans="2:16" x14ac:dyDescent="0.3">
      <c r="B31" s="133" t="s">
        <v>2885</v>
      </c>
      <c r="C31" s="131">
        <v>42000</v>
      </c>
      <c r="D31" s="133" t="s">
        <v>2878</v>
      </c>
      <c r="E31" s="364">
        <v>120</v>
      </c>
      <c r="F31" s="131">
        <f t="shared" si="2"/>
        <v>350</v>
      </c>
      <c r="G31" s="133" t="s">
        <v>227</v>
      </c>
      <c r="H31" s="133" t="s">
        <v>2868</v>
      </c>
      <c r="I31" s="367">
        <v>16</v>
      </c>
      <c r="J31" s="374">
        <v>530</v>
      </c>
      <c r="K31" s="374">
        <v>410</v>
      </c>
      <c r="L31" s="379">
        <v>60</v>
      </c>
      <c r="M31" s="379">
        <v>70</v>
      </c>
      <c r="N31" s="371">
        <v>3</v>
      </c>
      <c r="O31" s="134"/>
      <c r="P31" s="133"/>
    </row>
    <row r="32" spans="2:16" x14ac:dyDescent="0.3">
      <c r="B32" s="133" t="s">
        <v>2871</v>
      </c>
      <c r="C32" s="131">
        <v>68600</v>
      </c>
      <c r="D32" s="133" t="s">
        <v>2878</v>
      </c>
      <c r="E32" s="364">
        <v>240</v>
      </c>
      <c r="F32" s="131">
        <f t="shared" si="2"/>
        <v>285.83333333333331</v>
      </c>
      <c r="G32" s="133" t="s">
        <v>227</v>
      </c>
      <c r="H32" s="133" t="s">
        <v>2868</v>
      </c>
      <c r="I32" s="367">
        <v>16</v>
      </c>
      <c r="J32" s="374">
        <v>530</v>
      </c>
      <c r="K32" s="374">
        <v>480</v>
      </c>
      <c r="L32" s="379">
        <v>75</v>
      </c>
      <c r="M32" s="379">
        <v>75</v>
      </c>
      <c r="N32" s="371">
        <v>3</v>
      </c>
      <c r="O32" s="134"/>
      <c r="P32" s="133"/>
    </row>
    <row r="33" spans="2:16" x14ac:dyDescent="0.3">
      <c r="B33" s="133" t="s">
        <v>2872</v>
      </c>
      <c r="C33" s="131">
        <v>128500</v>
      </c>
      <c r="D33" s="133" t="s">
        <v>2878</v>
      </c>
      <c r="E33" s="364">
        <v>480</v>
      </c>
      <c r="F33" s="131">
        <f t="shared" si="2"/>
        <v>267.70833333333331</v>
      </c>
      <c r="G33" s="133" t="s">
        <v>227</v>
      </c>
      <c r="H33" s="133" t="s">
        <v>2868</v>
      </c>
      <c r="I33" s="367">
        <v>16</v>
      </c>
      <c r="J33" s="374">
        <v>530</v>
      </c>
      <c r="K33" s="374">
        <v>480</v>
      </c>
      <c r="L33" s="379">
        <v>75</v>
      </c>
      <c r="M33" s="379">
        <v>75</v>
      </c>
      <c r="N33" s="371">
        <v>3</v>
      </c>
      <c r="O33" s="134"/>
      <c r="P33" s="133"/>
    </row>
    <row r="34" spans="2:16" x14ac:dyDescent="0.3">
      <c r="B34" s="133" t="s">
        <v>2873</v>
      </c>
      <c r="C34" s="131">
        <v>292380</v>
      </c>
      <c r="D34" s="133" t="s">
        <v>2878</v>
      </c>
      <c r="E34" s="364">
        <v>960</v>
      </c>
      <c r="F34" s="131">
        <f t="shared" si="2"/>
        <v>304.5625</v>
      </c>
      <c r="G34" s="133" t="s">
        <v>227</v>
      </c>
      <c r="H34" s="133" t="s">
        <v>2868</v>
      </c>
      <c r="I34" s="367">
        <v>16</v>
      </c>
      <c r="J34" s="374">
        <v>530</v>
      </c>
      <c r="K34" s="374">
        <v>480</v>
      </c>
      <c r="L34" s="379">
        <v>75</v>
      </c>
      <c r="M34" s="379">
        <v>75</v>
      </c>
      <c r="N34" s="371">
        <v>3</v>
      </c>
      <c r="O34" s="134"/>
      <c r="P34" s="133"/>
    </row>
    <row r="35" spans="2:16" x14ac:dyDescent="0.3">
      <c r="B35" s="133" t="s">
        <v>2874</v>
      </c>
      <c r="C35" s="131">
        <v>51000</v>
      </c>
      <c r="D35" s="133" t="s">
        <v>2878</v>
      </c>
      <c r="E35" s="364">
        <v>128</v>
      </c>
      <c r="F35" s="131">
        <f t="shared" si="2"/>
        <v>398.4375</v>
      </c>
      <c r="G35" s="133" t="s">
        <v>2867</v>
      </c>
      <c r="H35" s="133" t="s">
        <v>2852</v>
      </c>
      <c r="I35" s="367">
        <v>20</v>
      </c>
      <c r="J35" s="374">
        <v>560</v>
      </c>
      <c r="K35" s="374">
        <v>180</v>
      </c>
      <c r="L35" s="379">
        <v>80</v>
      </c>
      <c r="M35" s="379">
        <v>45</v>
      </c>
      <c r="N35" s="371">
        <v>3</v>
      </c>
      <c r="O35" s="134"/>
      <c r="P35" s="133"/>
    </row>
    <row r="36" spans="2:16" x14ac:dyDescent="0.3">
      <c r="B36" s="133" t="s">
        <v>2875</v>
      </c>
      <c r="C36" s="131">
        <v>85200</v>
      </c>
      <c r="D36" s="133" t="s">
        <v>2878</v>
      </c>
      <c r="E36" s="364">
        <v>256</v>
      </c>
      <c r="F36" s="131">
        <f t="shared" si="2"/>
        <v>332.8125</v>
      </c>
      <c r="G36" s="133" t="s">
        <v>2867</v>
      </c>
      <c r="H36" s="133" t="s">
        <v>2852</v>
      </c>
      <c r="I36" s="367">
        <v>20</v>
      </c>
      <c r="J36" s="374">
        <v>560</v>
      </c>
      <c r="K36" s="374">
        <v>360</v>
      </c>
      <c r="L36" s="379">
        <v>96</v>
      </c>
      <c r="M36" s="379">
        <v>80</v>
      </c>
      <c r="N36" s="371">
        <v>3</v>
      </c>
      <c r="O36" s="134"/>
      <c r="P36" s="133"/>
    </row>
    <row r="37" spans="2:16" x14ac:dyDescent="0.3">
      <c r="B37" s="133" t="s">
        <v>2876</v>
      </c>
      <c r="C37" s="131">
        <v>173000</v>
      </c>
      <c r="D37" s="133" t="s">
        <v>2878</v>
      </c>
      <c r="E37" s="364">
        <v>512</v>
      </c>
      <c r="F37" s="131">
        <f t="shared" si="2"/>
        <v>337.890625</v>
      </c>
      <c r="G37" s="133" t="s">
        <v>2867</v>
      </c>
      <c r="H37" s="133" t="s">
        <v>2852</v>
      </c>
      <c r="I37" s="367">
        <v>20</v>
      </c>
      <c r="J37" s="374">
        <v>560</v>
      </c>
      <c r="K37" s="374">
        <v>500</v>
      </c>
      <c r="L37" s="379">
        <v>98</v>
      </c>
      <c r="M37" s="379">
        <v>88</v>
      </c>
      <c r="N37" s="371">
        <v>3</v>
      </c>
      <c r="O37" s="134"/>
      <c r="P37" s="133"/>
    </row>
    <row r="38" spans="2:16" x14ac:dyDescent="0.3">
      <c r="B38" s="133" t="s">
        <v>2877</v>
      </c>
      <c r="C38" s="131">
        <v>399200</v>
      </c>
      <c r="D38" s="133" t="s">
        <v>2878</v>
      </c>
      <c r="E38" s="364">
        <v>1000</v>
      </c>
      <c r="F38" s="131">
        <f t="shared" si="2"/>
        <v>399.2</v>
      </c>
      <c r="G38" s="133" t="s">
        <v>2867</v>
      </c>
      <c r="H38" s="133" t="s">
        <v>2852</v>
      </c>
      <c r="I38" s="367">
        <v>20</v>
      </c>
      <c r="J38" s="374">
        <v>560</v>
      </c>
      <c r="K38" s="374">
        <v>500</v>
      </c>
      <c r="L38" s="379">
        <v>98</v>
      </c>
      <c r="M38" s="379">
        <v>88</v>
      </c>
      <c r="N38" s="371">
        <v>3</v>
      </c>
      <c r="O38" s="134"/>
      <c r="P38" s="133"/>
    </row>
    <row r="39" spans="2:16" x14ac:dyDescent="0.3">
      <c r="B39" s="133" t="s">
        <v>2880</v>
      </c>
      <c r="C39" s="131">
        <v>46000</v>
      </c>
      <c r="D39" s="133" t="s">
        <v>2878</v>
      </c>
      <c r="E39" s="364">
        <v>120</v>
      </c>
      <c r="F39" s="131">
        <f t="shared" si="2"/>
        <v>383.33333333333331</v>
      </c>
      <c r="G39" s="133" t="s">
        <v>2879</v>
      </c>
      <c r="H39" s="133" t="s">
        <v>2868</v>
      </c>
      <c r="I39" s="367">
        <v>15</v>
      </c>
      <c r="J39" s="374">
        <v>560</v>
      </c>
      <c r="K39" s="374">
        <v>410</v>
      </c>
      <c r="L39" s="379"/>
      <c r="M39" s="379"/>
      <c r="N39" s="371">
        <v>3</v>
      </c>
      <c r="O39" s="134"/>
      <c r="P39" s="133"/>
    </row>
    <row r="40" spans="2:16" x14ac:dyDescent="0.3">
      <c r="B40" s="133" t="s">
        <v>2886</v>
      </c>
      <c r="C40" s="131">
        <v>94400</v>
      </c>
      <c r="D40" s="133" t="s">
        <v>230</v>
      </c>
      <c r="E40" s="364">
        <v>128</v>
      </c>
      <c r="F40" s="131">
        <f t="shared" si="2"/>
        <v>737.5</v>
      </c>
      <c r="G40" s="133" t="s">
        <v>228</v>
      </c>
      <c r="H40" s="133" t="s">
        <v>2852</v>
      </c>
      <c r="I40" s="367">
        <v>19</v>
      </c>
      <c r="J40" s="374">
        <v>545</v>
      </c>
      <c r="K40" s="374">
        <v>490</v>
      </c>
      <c r="L40" s="379">
        <v>100</v>
      </c>
      <c r="M40" s="379">
        <v>86</v>
      </c>
      <c r="N40" s="371">
        <v>5</v>
      </c>
      <c r="O40" s="134"/>
      <c r="P40" s="133"/>
    </row>
    <row r="41" spans="2:16" x14ac:dyDescent="0.3">
      <c r="B41" s="133" t="s">
        <v>2887</v>
      </c>
      <c r="C41" s="131">
        <v>123790</v>
      </c>
      <c r="D41" s="133" t="s">
        <v>230</v>
      </c>
      <c r="E41" s="364">
        <v>256</v>
      </c>
      <c r="F41" s="131">
        <f t="shared" si="2"/>
        <v>483.5546875</v>
      </c>
      <c r="G41" s="133" t="s">
        <v>228</v>
      </c>
      <c r="H41" s="133" t="s">
        <v>2852</v>
      </c>
      <c r="I41" s="367">
        <v>19</v>
      </c>
      <c r="J41" s="374">
        <v>545</v>
      </c>
      <c r="K41" s="374">
        <v>490</v>
      </c>
      <c r="L41" s="379">
        <v>100</v>
      </c>
      <c r="M41" s="379">
        <v>86</v>
      </c>
      <c r="N41" s="371">
        <v>5</v>
      </c>
      <c r="O41" s="134"/>
      <c r="P41" s="133"/>
    </row>
    <row r="42" spans="2:16" x14ac:dyDescent="0.3">
      <c r="B42" s="133" t="s">
        <v>2888</v>
      </c>
      <c r="C42" s="131">
        <v>339800</v>
      </c>
      <c r="D42" s="133" t="s">
        <v>230</v>
      </c>
      <c r="E42" s="364">
        <v>512</v>
      </c>
      <c r="F42" s="131">
        <f t="shared" si="2"/>
        <v>663.671875</v>
      </c>
      <c r="G42" s="133" t="s">
        <v>228</v>
      </c>
      <c r="H42" s="133" t="s">
        <v>2852</v>
      </c>
      <c r="I42" s="367">
        <v>19</v>
      </c>
      <c r="J42" s="374">
        <v>545</v>
      </c>
      <c r="K42" s="374">
        <v>490</v>
      </c>
      <c r="L42" s="379">
        <v>100</v>
      </c>
      <c r="M42" s="379">
        <v>86</v>
      </c>
      <c r="N42" s="371">
        <v>5</v>
      </c>
      <c r="O42" s="134"/>
      <c r="P42" s="133"/>
    </row>
    <row r="43" spans="2:16" x14ac:dyDescent="0.3">
      <c r="B43" s="133" t="s">
        <v>2889</v>
      </c>
      <c r="C43" s="131">
        <v>571200</v>
      </c>
      <c r="D43" s="133" t="s">
        <v>230</v>
      </c>
      <c r="E43" s="364">
        <v>1000</v>
      </c>
      <c r="F43" s="131">
        <f t="shared" si="2"/>
        <v>571.20000000000005</v>
      </c>
      <c r="G43" s="133" t="s">
        <v>228</v>
      </c>
      <c r="H43" s="133" t="s">
        <v>2852</v>
      </c>
      <c r="I43" s="367">
        <v>19</v>
      </c>
      <c r="J43" s="374">
        <v>545</v>
      </c>
      <c r="K43" s="374">
        <v>490</v>
      </c>
      <c r="L43" s="379">
        <v>100</v>
      </c>
      <c r="M43" s="379">
        <v>86</v>
      </c>
      <c r="N43" s="371">
        <v>5</v>
      </c>
      <c r="O43" s="134"/>
      <c r="P43" s="133"/>
    </row>
    <row r="44" spans="2:16" x14ac:dyDescent="0.3">
      <c r="B44" s="133" t="s">
        <v>2890</v>
      </c>
      <c r="C44" s="131">
        <v>60840</v>
      </c>
      <c r="D44" s="133" t="s">
        <v>230</v>
      </c>
      <c r="E44" s="364">
        <v>128</v>
      </c>
      <c r="F44" s="131">
        <f t="shared" si="2"/>
        <v>475.3125</v>
      </c>
      <c r="G44" s="133" t="s">
        <v>228</v>
      </c>
      <c r="H44" s="133" t="s">
        <v>2852</v>
      </c>
      <c r="I44" s="367">
        <v>19</v>
      </c>
      <c r="J44" s="374">
        <v>520</v>
      </c>
      <c r="K44" s="374">
        <v>300</v>
      </c>
      <c r="L44" s="379">
        <v>88</v>
      </c>
      <c r="M44" s="379">
        <v>75</v>
      </c>
      <c r="N44" s="371">
        <v>3</v>
      </c>
      <c r="O44" s="134"/>
      <c r="P44" s="133"/>
    </row>
    <row r="45" spans="2:16" x14ac:dyDescent="0.3">
      <c r="B45" s="133" t="s">
        <v>2891</v>
      </c>
      <c r="C45" s="131">
        <v>95200</v>
      </c>
      <c r="D45" s="133" t="s">
        <v>230</v>
      </c>
      <c r="E45" s="364">
        <v>256</v>
      </c>
      <c r="F45" s="131">
        <f t="shared" ref="F45:F60" si="3">C45/E45</f>
        <v>371.875</v>
      </c>
      <c r="G45" s="133" t="s">
        <v>228</v>
      </c>
      <c r="H45" s="133" t="s">
        <v>2852</v>
      </c>
      <c r="I45" s="367">
        <v>19</v>
      </c>
      <c r="J45" s="374">
        <v>520</v>
      </c>
      <c r="K45" s="374">
        <v>420</v>
      </c>
      <c r="L45" s="379">
        <v>90</v>
      </c>
      <c r="M45" s="379">
        <v>80</v>
      </c>
      <c r="N45" s="371">
        <v>3</v>
      </c>
      <c r="O45" s="134"/>
      <c r="P45" s="133"/>
    </row>
    <row r="46" spans="2:16" x14ac:dyDescent="0.3">
      <c r="B46" s="133" t="s">
        <v>2892</v>
      </c>
      <c r="C46" s="131">
        <v>210900</v>
      </c>
      <c r="D46" s="133" t="s">
        <v>230</v>
      </c>
      <c r="E46" s="364">
        <v>512</v>
      </c>
      <c r="F46" s="131">
        <f t="shared" si="3"/>
        <v>411.9140625</v>
      </c>
      <c r="G46" s="133" t="s">
        <v>228</v>
      </c>
      <c r="H46" s="133" t="s">
        <v>2852</v>
      </c>
      <c r="I46" s="367">
        <v>19</v>
      </c>
      <c r="J46" s="374">
        <v>520</v>
      </c>
      <c r="K46" s="374">
        <v>440</v>
      </c>
      <c r="L46" s="379">
        <v>94</v>
      </c>
      <c r="M46" s="379">
        <v>80</v>
      </c>
      <c r="N46" s="371">
        <v>3</v>
      </c>
      <c r="O46" s="134"/>
      <c r="P46" s="133"/>
    </row>
    <row r="47" spans="2:16" x14ac:dyDescent="0.3">
      <c r="B47" s="133" t="s">
        <v>2893</v>
      </c>
      <c r="C47" s="131">
        <v>56300</v>
      </c>
      <c r="D47" s="133" t="s">
        <v>230</v>
      </c>
      <c r="E47" s="364">
        <v>128</v>
      </c>
      <c r="F47" s="131">
        <f t="shared" si="3"/>
        <v>439.84375</v>
      </c>
      <c r="G47" s="133" t="s">
        <v>2899</v>
      </c>
      <c r="H47" s="133" t="s">
        <v>2868</v>
      </c>
      <c r="I47" s="367">
        <v>15</v>
      </c>
      <c r="J47" s="374">
        <v>560</v>
      </c>
      <c r="K47" s="374">
        <v>500</v>
      </c>
      <c r="L47" s="379">
        <v>97</v>
      </c>
      <c r="M47" s="379">
        <v>51</v>
      </c>
      <c r="N47" s="371">
        <v>3</v>
      </c>
      <c r="O47" s="134"/>
      <c r="P47" s="133"/>
    </row>
    <row r="48" spans="2:16" x14ac:dyDescent="0.3">
      <c r="B48" s="133" t="s">
        <v>2894</v>
      </c>
      <c r="C48" s="131">
        <v>78600</v>
      </c>
      <c r="D48" s="133" t="s">
        <v>230</v>
      </c>
      <c r="E48" s="364">
        <v>256</v>
      </c>
      <c r="F48" s="131">
        <f t="shared" si="3"/>
        <v>307.03125</v>
      </c>
      <c r="G48" s="133" t="s">
        <v>2899</v>
      </c>
      <c r="H48" s="133" t="s">
        <v>2868</v>
      </c>
      <c r="I48" s="367">
        <v>15</v>
      </c>
      <c r="J48" s="374">
        <v>560</v>
      </c>
      <c r="K48" s="374">
        <v>530</v>
      </c>
      <c r="L48" s="379">
        <v>98</v>
      </c>
      <c r="M48" s="379">
        <v>84</v>
      </c>
      <c r="N48" s="371">
        <v>3</v>
      </c>
      <c r="O48" s="134"/>
      <c r="P48" s="133"/>
    </row>
    <row r="49" spans="2:16" x14ac:dyDescent="0.3">
      <c r="B49" s="133" t="s">
        <v>2895</v>
      </c>
      <c r="C49" s="131">
        <v>169300</v>
      </c>
      <c r="D49" s="133" t="s">
        <v>230</v>
      </c>
      <c r="E49" s="364">
        <v>512</v>
      </c>
      <c r="F49" s="131">
        <f t="shared" si="3"/>
        <v>330.6640625</v>
      </c>
      <c r="G49" s="133" t="s">
        <v>2899</v>
      </c>
      <c r="H49" s="133" t="s">
        <v>2868</v>
      </c>
      <c r="I49" s="367">
        <v>15</v>
      </c>
      <c r="J49" s="374">
        <v>560</v>
      </c>
      <c r="K49" s="374">
        <v>530</v>
      </c>
      <c r="L49" s="379">
        <v>98</v>
      </c>
      <c r="M49" s="379">
        <v>84</v>
      </c>
      <c r="N49" s="371">
        <v>3</v>
      </c>
      <c r="O49" s="134"/>
      <c r="P49" s="133"/>
    </row>
    <row r="50" spans="2:16" x14ac:dyDescent="0.3">
      <c r="B50" s="133" t="s">
        <v>2896</v>
      </c>
      <c r="C50" s="131">
        <v>199000</v>
      </c>
      <c r="D50" s="133" t="s">
        <v>230</v>
      </c>
      <c r="E50" s="364">
        <v>256</v>
      </c>
      <c r="F50" s="131">
        <f t="shared" si="3"/>
        <v>777.34375</v>
      </c>
      <c r="G50" s="133" t="s">
        <v>228</v>
      </c>
      <c r="H50" s="133" t="s">
        <v>2852</v>
      </c>
      <c r="I50" s="367">
        <v>15</v>
      </c>
      <c r="J50" s="374">
        <v>520</v>
      </c>
      <c r="K50" s="374">
        <v>300</v>
      </c>
      <c r="L50" s="379">
        <v>88</v>
      </c>
      <c r="M50" s="379">
        <v>75</v>
      </c>
      <c r="N50" s="371">
        <v>3</v>
      </c>
      <c r="O50" s="134"/>
      <c r="P50" s="133"/>
    </row>
    <row r="51" spans="2:16" x14ac:dyDescent="0.3">
      <c r="B51" s="133" t="s">
        <v>2897</v>
      </c>
      <c r="C51" s="131">
        <v>369000</v>
      </c>
      <c r="D51" s="133" t="s">
        <v>230</v>
      </c>
      <c r="E51" s="364">
        <v>512</v>
      </c>
      <c r="F51" s="131">
        <f t="shared" si="3"/>
        <v>720.703125</v>
      </c>
      <c r="G51" s="133" t="s">
        <v>228</v>
      </c>
      <c r="H51" s="133" t="s">
        <v>2852</v>
      </c>
      <c r="I51" s="367">
        <v>15</v>
      </c>
      <c r="J51" s="374">
        <v>520</v>
      </c>
      <c r="K51" s="374">
        <v>420</v>
      </c>
      <c r="L51" s="379">
        <v>90</v>
      </c>
      <c r="M51" s="379">
        <v>80</v>
      </c>
      <c r="N51" s="371">
        <v>3</v>
      </c>
      <c r="O51" s="134"/>
      <c r="P51" s="133"/>
    </row>
    <row r="52" spans="2:16" x14ac:dyDescent="0.3">
      <c r="B52" s="133" t="s">
        <v>2898</v>
      </c>
      <c r="C52" s="131">
        <v>719000</v>
      </c>
      <c r="D52" s="133" t="s">
        <v>230</v>
      </c>
      <c r="E52" s="364">
        <v>1000</v>
      </c>
      <c r="F52" s="131">
        <f t="shared" si="3"/>
        <v>719</v>
      </c>
      <c r="G52" s="133" t="s">
        <v>228</v>
      </c>
      <c r="H52" s="133" t="s">
        <v>2852</v>
      </c>
      <c r="I52" s="367">
        <v>15</v>
      </c>
      <c r="J52" s="374">
        <v>520</v>
      </c>
      <c r="K52" s="374">
        <v>440</v>
      </c>
      <c r="L52" s="379">
        <v>94</v>
      </c>
      <c r="M52" s="379">
        <v>80</v>
      </c>
      <c r="N52" s="371">
        <v>3</v>
      </c>
      <c r="O52" s="134"/>
      <c r="P52" s="133"/>
    </row>
    <row r="53" spans="2:16" x14ac:dyDescent="0.3">
      <c r="B53" s="133" t="s">
        <v>2900</v>
      </c>
      <c r="C53" s="131">
        <v>62200</v>
      </c>
      <c r="D53" s="133" t="s">
        <v>216</v>
      </c>
      <c r="E53" s="364">
        <v>128</v>
      </c>
      <c r="F53" s="131">
        <f t="shared" si="3"/>
        <v>485.9375</v>
      </c>
      <c r="G53" s="133" t="s">
        <v>231</v>
      </c>
      <c r="H53" s="133" t="s">
        <v>2852</v>
      </c>
      <c r="I53" s="367">
        <v>15</v>
      </c>
      <c r="J53" s="374">
        <v>550</v>
      </c>
      <c r="K53" s="374">
        <v>510</v>
      </c>
      <c r="L53" s="379">
        <v>91</v>
      </c>
      <c r="M53" s="379">
        <v>59</v>
      </c>
      <c r="N53" s="371">
        <v>5</v>
      </c>
      <c r="O53" s="134"/>
      <c r="P53" s="133"/>
    </row>
    <row r="54" spans="2:16" x14ac:dyDescent="0.3">
      <c r="B54" s="133" t="s">
        <v>2901</v>
      </c>
      <c r="C54" s="131">
        <v>105500</v>
      </c>
      <c r="D54" s="133" t="s">
        <v>216</v>
      </c>
      <c r="E54" s="364">
        <v>256</v>
      </c>
      <c r="F54" s="131">
        <f t="shared" si="3"/>
        <v>412.109375</v>
      </c>
      <c r="G54" s="133" t="s">
        <v>231</v>
      </c>
      <c r="H54" s="133" t="s">
        <v>2852</v>
      </c>
      <c r="I54" s="367">
        <v>15</v>
      </c>
      <c r="J54" s="374">
        <v>550</v>
      </c>
      <c r="K54" s="374">
        <v>520</v>
      </c>
      <c r="L54" s="379">
        <v>92</v>
      </c>
      <c r="M54" s="379">
        <v>63</v>
      </c>
      <c r="N54" s="371">
        <v>5</v>
      </c>
      <c r="O54" s="134"/>
      <c r="P54" s="133"/>
    </row>
    <row r="55" spans="2:16" x14ac:dyDescent="0.3">
      <c r="B55" s="133" t="s">
        <v>2902</v>
      </c>
      <c r="C55" s="131">
        <v>216700</v>
      </c>
      <c r="D55" s="133" t="s">
        <v>216</v>
      </c>
      <c r="E55" s="364">
        <v>512</v>
      </c>
      <c r="F55" s="131">
        <f t="shared" si="3"/>
        <v>423.2421875</v>
      </c>
      <c r="G55" s="133" t="s">
        <v>231</v>
      </c>
      <c r="H55" s="133" t="s">
        <v>2852</v>
      </c>
      <c r="I55" s="367">
        <v>15</v>
      </c>
      <c r="J55" s="374">
        <v>550</v>
      </c>
      <c r="K55" s="374">
        <v>520</v>
      </c>
      <c r="L55" s="379">
        <v>92</v>
      </c>
      <c r="M55" s="379">
        <v>63</v>
      </c>
      <c r="N55" s="371">
        <v>5</v>
      </c>
      <c r="O55" s="134"/>
      <c r="P55" s="133"/>
    </row>
    <row r="56" spans="2:16" x14ac:dyDescent="0.3">
      <c r="B56" s="133" t="s">
        <v>2903</v>
      </c>
      <c r="C56" s="131">
        <v>430000</v>
      </c>
      <c r="D56" s="133" t="s">
        <v>216</v>
      </c>
      <c r="E56" s="364">
        <v>1000</v>
      </c>
      <c r="F56" s="131">
        <f t="shared" si="3"/>
        <v>430</v>
      </c>
      <c r="G56" s="133" t="s">
        <v>231</v>
      </c>
      <c r="H56" s="133" t="s">
        <v>2852</v>
      </c>
      <c r="I56" s="367">
        <v>15</v>
      </c>
      <c r="J56" s="374">
        <v>550</v>
      </c>
      <c r="K56" s="374">
        <v>520</v>
      </c>
      <c r="L56" s="379">
        <v>92</v>
      </c>
      <c r="M56" s="379">
        <v>63</v>
      </c>
      <c r="N56" s="371">
        <v>5</v>
      </c>
      <c r="O56" s="134"/>
      <c r="P56" s="133"/>
    </row>
    <row r="57" spans="2:16" x14ac:dyDescent="0.3">
      <c r="B57" s="133" t="s">
        <v>2907</v>
      </c>
      <c r="C57" s="131">
        <v>79600</v>
      </c>
      <c r="D57" s="133" t="s">
        <v>216</v>
      </c>
      <c r="E57" s="364">
        <v>128</v>
      </c>
      <c r="F57" s="131">
        <f t="shared" si="3"/>
        <v>621.875</v>
      </c>
      <c r="G57" s="133" t="s">
        <v>231</v>
      </c>
      <c r="H57" s="133" t="s">
        <v>2868</v>
      </c>
      <c r="I57" s="367">
        <v>15</v>
      </c>
      <c r="J57" s="374">
        <v>550</v>
      </c>
      <c r="K57" s="374">
        <v>450</v>
      </c>
      <c r="L57" s="379">
        <v>81</v>
      </c>
      <c r="M57" s="379">
        <v>40</v>
      </c>
      <c r="N57" s="371">
        <v>3</v>
      </c>
      <c r="O57" s="134"/>
      <c r="P57" s="133"/>
    </row>
    <row r="58" spans="2:16" x14ac:dyDescent="0.3">
      <c r="B58" s="133" t="s">
        <v>2906</v>
      </c>
      <c r="C58" s="131">
        <v>98870</v>
      </c>
      <c r="D58" s="133" t="s">
        <v>216</v>
      </c>
      <c r="E58" s="364">
        <v>240</v>
      </c>
      <c r="F58" s="131">
        <f t="shared" si="3"/>
        <v>411.95833333333331</v>
      </c>
      <c r="G58" s="133" t="s">
        <v>231</v>
      </c>
      <c r="H58" s="133" t="s">
        <v>2868</v>
      </c>
      <c r="I58" s="367">
        <v>15</v>
      </c>
      <c r="J58" s="374">
        <v>550</v>
      </c>
      <c r="K58" s="374">
        <v>520</v>
      </c>
      <c r="L58" s="379">
        <v>86</v>
      </c>
      <c r="M58" s="379">
        <v>73</v>
      </c>
      <c r="N58" s="371">
        <v>3</v>
      </c>
      <c r="O58" s="134"/>
      <c r="P58" s="133"/>
    </row>
    <row r="59" spans="2:16" x14ac:dyDescent="0.3">
      <c r="B59" s="133" t="s">
        <v>2904</v>
      </c>
      <c r="C59" s="131">
        <v>159800</v>
      </c>
      <c r="D59" s="133" t="s">
        <v>216</v>
      </c>
      <c r="E59" s="364">
        <v>480</v>
      </c>
      <c r="F59" s="131">
        <f t="shared" si="3"/>
        <v>332.91666666666669</v>
      </c>
      <c r="G59" s="133" t="s">
        <v>231</v>
      </c>
      <c r="H59" s="133" t="s">
        <v>2868</v>
      </c>
      <c r="I59" s="367">
        <v>15</v>
      </c>
      <c r="J59" s="374">
        <v>550</v>
      </c>
      <c r="K59" s="374">
        <v>520</v>
      </c>
      <c r="L59" s="379">
        <v>86</v>
      </c>
      <c r="M59" s="379">
        <v>83</v>
      </c>
      <c r="N59" s="371">
        <v>3</v>
      </c>
      <c r="O59" s="134"/>
      <c r="P59" s="133"/>
    </row>
    <row r="60" spans="2:16" x14ac:dyDescent="0.3">
      <c r="B60" s="133" t="s">
        <v>2905</v>
      </c>
      <c r="C60" s="131">
        <v>362200</v>
      </c>
      <c r="D60" s="133" t="s">
        <v>216</v>
      </c>
      <c r="E60" s="364">
        <v>960</v>
      </c>
      <c r="F60" s="131">
        <f t="shared" si="3"/>
        <v>377.29166666666669</v>
      </c>
      <c r="G60" s="133" t="s">
        <v>231</v>
      </c>
      <c r="H60" s="133" t="s">
        <v>2868</v>
      </c>
      <c r="I60" s="367">
        <v>15</v>
      </c>
      <c r="J60" s="374">
        <v>550</v>
      </c>
      <c r="K60" s="374">
        <v>530</v>
      </c>
      <c r="L60" s="379">
        <v>86</v>
      </c>
      <c r="M60" s="379">
        <v>83</v>
      </c>
      <c r="N60" s="371">
        <v>3</v>
      </c>
      <c r="O60" s="134"/>
      <c r="P60" s="133"/>
    </row>
    <row r="61" spans="2:16" x14ac:dyDescent="0.3">
      <c r="B61" s="133" t="s">
        <v>2915</v>
      </c>
      <c r="C61" s="131">
        <v>56000</v>
      </c>
      <c r="D61" s="133" t="s">
        <v>232</v>
      </c>
      <c r="E61" s="364">
        <v>120</v>
      </c>
      <c r="F61" s="131">
        <f t="shared" ref="F61:F69" si="4">C61/E61</f>
        <v>466.66666666666669</v>
      </c>
      <c r="G61" s="133" t="s">
        <v>232</v>
      </c>
      <c r="H61" s="133" t="s">
        <v>2868</v>
      </c>
      <c r="I61" s="367">
        <v>16</v>
      </c>
      <c r="J61" s="374">
        <v>560</v>
      </c>
      <c r="K61" s="374">
        <v>480</v>
      </c>
      <c r="L61" s="379">
        <v>78</v>
      </c>
      <c r="M61" s="379">
        <v>85</v>
      </c>
      <c r="N61" s="371">
        <v>5</v>
      </c>
      <c r="O61" s="134"/>
    </row>
    <row r="62" spans="2:16" x14ac:dyDescent="0.3">
      <c r="B62" s="133" t="s">
        <v>2916</v>
      </c>
      <c r="C62" s="131">
        <v>95800</v>
      </c>
      <c r="D62" s="133" t="s">
        <v>232</v>
      </c>
      <c r="E62" s="364">
        <v>240</v>
      </c>
      <c r="F62" s="131">
        <f t="shared" si="4"/>
        <v>399.16666666666669</v>
      </c>
      <c r="G62" s="133" t="s">
        <v>232</v>
      </c>
      <c r="H62" s="133" t="s">
        <v>2868</v>
      </c>
      <c r="I62" s="367">
        <v>16</v>
      </c>
      <c r="J62" s="374">
        <v>560</v>
      </c>
      <c r="K62" s="374">
        <v>480</v>
      </c>
      <c r="L62" s="379">
        <v>78</v>
      </c>
      <c r="M62" s="379">
        <v>85</v>
      </c>
      <c r="N62" s="371">
        <v>5</v>
      </c>
      <c r="O62" s="134"/>
    </row>
    <row r="63" spans="2:16" x14ac:dyDescent="0.3">
      <c r="B63" s="133" t="s">
        <v>2917</v>
      </c>
      <c r="C63" s="131">
        <v>178800</v>
      </c>
      <c r="D63" s="133" t="s">
        <v>232</v>
      </c>
      <c r="E63" s="364">
        <v>480</v>
      </c>
      <c r="F63" s="131">
        <f t="shared" si="4"/>
        <v>372.5</v>
      </c>
      <c r="G63" s="133" t="s">
        <v>232</v>
      </c>
      <c r="H63" s="133" t="s">
        <v>2868</v>
      </c>
      <c r="I63" s="367">
        <v>16</v>
      </c>
      <c r="J63" s="374">
        <v>560</v>
      </c>
      <c r="K63" s="374">
        <v>480</v>
      </c>
      <c r="L63" s="379">
        <v>78</v>
      </c>
      <c r="M63" s="379">
        <v>85</v>
      </c>
      <c r="N63" s="371">
        <v>5</v>
      </c>
      <c r="O63" s="134"/>
    </row>
    <row r="64" spans="2:16" x14ac:dyDescent="0.3">
      <c r="B64" s="133" t="s">
        <v>2918</v>
      </c>
      <c r="C64" s="131">
        <v>380800</v>
      </c>
      <c r="D64" s="133" t="s">
        <v>232</v>
      </c>
      <c r="E64" s="364">
        <v>1000</v>
      </c>
      <c r="F64" s="131">
        <f t="shared" si="4"/>
        <v>380.8</v>
      </c>
      <c r="G64" s="133" t="s">
        <v>232</v>
      </c>
      <c r="H64" s="133" t="s">
        <v>2868</v>
      </c>
      <c r="I64" s="367">
        <v>16</v>
      </c>
      <c r="J64" s="374">
        <v>560</v>
      </c>
      <c r="K64" s="374">
        <v>480</v>
      </c>
      <c r="L64" s="379">
        <v>78</v>
      </c>
      <c r="M64" s="379">
        <v>85</v>
      </c>
      <c r="N64" s="371">
        <v>5</v>
      </c>
      <c r="O64" s="134"/>
    </row>
    <row r="65" spans="2:15" x14ac:dyDescent="0.3">
      <c r="B65" s="133" t="s">
        <v>2920</v>
      </c>
      <c r="C65" s="131">
        <v>58880</v>
      </c>
      <c r="D65" s="133" t="s">
        <v>232</v>
      </c>
      <c r="E65" s="364">
        <v>120</v>
      </c>
      <c r="F65" s="131">
        <f t="shared" si="4"/>
        <v>490.66666666666669</v>
      </c>
      <c r="G65" s="133" t="s">
        <v>232</v>
      </c>
      <c r="H65" s="133" t="s">
        <v>2852</v>
      </c>
      <c r="I65" s="367">
        <v>16</v>
      </c>
      <c r="J65" s="374">
        <v>540</v>
      </c>
      <c r="K65" s="374">
        <v>490</v>
      </c>
      <c r="L65" s="379">
        <v>48</v>
      </c>
      <c r="M65" s="379">
        <v>80</v>
      </c>
      <c r="N65" s="371">
        <v>5</v>
      </c>
      <c r="O65" s="134"/>
    </row>
    <row r="66" spans="2:15" x14ac:dyDescent="0.3">
      <c r="B66" s="133" t="s">
        <v>2910</v>
      </c>
      <c r="C66" s="131">
        <v>106720</v>
      </c>
      <c r="D66" s="133" t="s">
        <v>232</v>
      </c>
      <c r="E66" s="364">
        <v>240</v>
      </c>
      <c r="F66" s="131">
        <f t="shared" si="4"/>
        <v>444.66666666666669</v>
      </c>
      <c r="G66" s="133" t="s">
        <v>232</v>
      </c>
      <c r="H66" s="133" t="s">
        <v>2852</v>
      </c>
      <c r="I66" s="367">
        <v>16</v>
      </c>
      <c r="J66" s="374">
        <v>540</v>
      </c>
      <c r="K66" s="374">
        <v>490</v>
      </c>
      <c r="L66" s="379">
        <v>48</v>
      </c>
      <c r="M66" s="379">
        <v>80</v>
      </c>
      <c r="N66" s="371">
        <v>5</v>
      </c>
      <c r="O66" s="134"/>
    </row>
    <row r="67" spans="2:15" x14ac:dyDescent="0.3">
      <c r="B67" s="133" t="s">
        <v>2911</v>
      </c>
      <c r="C67" s="131">
        <v>172440</v>
      </c>
      <c r="D67" s="133" t="s">
        <v>232</v>
      </c>
      <c r="E67" s="364">
        <v>480</v>
      </c>
      <c r="F67" s="131">
        <f t="shared" si="4"/>
        <v>359.25</v>
      </c>
      <c r="G67" s="133" t="s">
        <v>232</v>
      </c>
      <c r="H67" s="133" t="s">
        <v>2852</v>
      </c>
      <c r="I67" s="367">
        <v>16</v>
      </c>
      <c r="J67" s="374">
        <v>540</v>
      </c>
      <c r="K67" s="374">
        <v>490</v>
      </c>
      <c r="L67" s="379">
        <v>48</v>
      </c>
      <c r="M67" s="379">
        <v>80</v>
      </c>
      <c r="N67" s="371">
        <v>5</v>
      </c>
      <c r="O67" s="134"/>
    </row>
    <row r="68" spans="2:15" x14ac:dyDescent="0.3">
      <c r="B68" s="133" t="s">
        <v>2908</v>
      </c>
      <c r="C68" s="131">
        <v>133500</v>
      </c>
      <c r="D68" s="133" t="s">
        <v>232</v>
      </c>
      <c r="E68" s="364">
        <v>240</v>
      </c>
      <c r="F68" s="131">
        <f t="shared" si="4"/>
        <v>556.25</v>
      </c>
      <c r="G68" s="133" t="s">
        <v>232</v>
      </c>
      <c r="H68" s="133" t="s">
        <v>2919</v>
      </c>
      <c r="I68" s="367">
        <v>20</v>
      </c>
      <c r="J68" s="374">
        <v>550</v>
      </c>
      <c r="K68" s="374">
        <v>270</v>
      </c>
      <c r="L68" s="379">
        <v>86</v>
      </c>
      <c r="M68" s="379">
        <v>56</v>
      </c>
      <c r="N68" s="371">
        <v>5</v>
      </c>
      <c r="O68" s="134"/>
    </row>
    <row r="69" spans="2:15" x14ac:dyDescent="0.3">
      <c r="B69" s="133" t="s">
        <v>2909</v>
      </c>
      <c r="C69" s="131">
        <v>243000</v>
      </c>
      <c r="D69" s="133" t="s">
        <v>232</v>
      </c>
      <c r="E69" s="364">
        <v>480</v>
      </c>
      <c r="F69" s="131">
        <f t="shared" si="4"/>
        <v>506.25</v>
      </c>
      <c r="G69" s="133" t="s">
        <v>232</v>
      </c>
      <c r="H69" s="133" t="s">
        <v>2919</v>
      </c>
      <c r="I69" s="367">
        <v>20</v>
      </c>
      <c r="J69" s="374">
        <v>550</v>
      </c>
      <c r="K69" s="374">
        <v>470</v>
      </c>
      <c r="L69" s="379">
        <v>89</v>
      </c>
      <c r="M69" s="379">
        <v>74</v>
      </c>
      <c r="N69" s="371">
        <v>5</v>
      </c>
      <c r="O69" s="134"/>
    </row>
    <row r="70" spans="2:15" x14ac:dyDescent="0.3">
      <c r="B70" s="133" t="s">
        <v>2921</v>
      </c>
      <c r="C70" s="131">
        <v>90500</v>
      </c>
      <c r="D70" s="133" t="s">
        <v>234</v>
      </c>
      <c r="E70" s="364">
        <v>128</v>
      </c>
      <c r="F70" s="131">
        <f t="shared" ref="F70:F82" si="5">C70/E70</f>
        <v>707.03125</v>
      </c>
      <c r="G70" s="133" t="s">
        <v>234</v>
      </c>
      <c r="H70" s="133" t="s">
        <v>2937</v>
      </c>
      <c r="I70" s="367">
        <v>40</v>
      </c>
      <c r="J70" s="374">
        <v>550</v>
      </c>
      <c r="K70" s="374">
        <v>470</v>
      </c>
      <c r="L70" s="379">
        <v>100</v>
      </c>
      <c r="M70" s="379">
        <v>90</v>
      </c>
      <c r="N70" s="371">
        <v>10</v>
      </c>
      <c r="O70" s="134"/>
    </row>
    <row r="71" spans="2:15" x14ac:dyDescent="0.3">
      <c r="B71" s="133" t="s">
        <v>2922</v>
      </c>
      <c r="C71" s="131">
        <v>132700</v>
      </c>
      <c r="D71" s="133" t="s">
        <v>234</v>
      </c>
      <c r="E71" s="364">
        <v>256</v>
      </c>
      <c r="F71" s="131">
        <f t="shared" si="5"/>
        <v>518.359375</v>
      </c>
      <c r="G71" s="133" t="s">
        <v>234</v>
      </c>
      <c r="H71" s="133" t="s">
        <v>2937</v>
      </c>
      <c r="I71" s="367">
        <v>40</v>
      </c>
      <c r="J71" s="374">
        <v>550</v>
      </c>
      <c r="K71" s="374">
        <v>520</v>
      </c>
      <c r="L71" s="379">
        <v>100</v>
      </c>
      <c r="M71" s="379">
        <v>90</v>
      </c>
      <c r="N71" s="371">
        <v>10</v>
      </c>
      <c r="O71" s="134"/>
    </row>
    <row r="72" spans="2:15" x14ac:dyDescent="0.3">
      <c r="B72" s="133" t="s">
        <v>2923</v>
      </c>
      <c r="C72" s="131">
        <v>243700</v>
      </c>
      <c r="D72" s="133" t="s">
        <v>234</v>
      </c>
      <c r="E72" s="364">
        <v>512</v>
      </c>
      <c r="F72" s="131">
        <f t="shared" si="5"/>
        <v>475.9765625</v>
      </c>
      <c r="G72" s="133" t="s">
        <v>234</v>
      </c>
      <c r="H72" s="133" t="s">
        <v>2937</v>
      </c>
      <c r="I72" s="367">
        <v>40</v>
      </c>
      <c r="J72" s="374">
        <v>550</v>
      </c>
      <c r="K72" s="374">
        <v>520</v>
      </c>
      <c r="L72" s="379">
        <v>100</v>
      </c>
      <c r="M72" s="379">
        <v>90</v>
      </c>
      <c r="N72" s="371">
        <v>10</v>
      </c>
      <c r="O72" s="134"/>
    </row>
    <row r="73" spans="2:15" x14ac:dyDescent="0.3">
      <c r="B73" s="133" t="s">
        <v>2924</v>
      </c>
      <c r="C73" s="131">
        <v>481900</v>
      </c>
      <c r="D73" s="133" t="s">
        <v>234</v>
      </c>
      <c r="E73" s="364">
        <v>1000</v>
      </c>
      <c r="F73" s="131">
        <f t="shared" si="5"/>
        <v>481.9</v>
      </c>
      <c r="G73" s="133" t="s">
        <v>234</v>
      </c>
      <c r="H73" s="133" t="s">
        <v>2937</v>
      </c>
      <c r="I73" s="367">
        <v>40</v>
      </c>
      <c r="J73" s="374">
        <v>550</v>
      </c>
      <c r="K73" s="374">
        <v>470</v>
      </c>
      <c r="L73" s="379">
        <v>100</v>
      </c>
      <c r="M73" s="379">
        <v>90</v>
      </c>
      <c r="N73" s="371">
        <v>10</v>
      </c>
      <c r="O73" s="134"/>
    </row>
    <row r="74" spans="2:15" x14ac:dyDescent="0.3">
      <c r="B74" s="133" t="s">
        <v>2925</v>
      </c>
      <c r="C74" s="131">
        <v>998700</v>
      </c>
      <c r="D74" s="133" t="s">
        <v>234</v>
      </c>
      <c r="E74" s="364">
        <v>2000</v>
      </c>
      <c r="F74" s="131">
        <f t="shared" si="5"/>
        <v>499.35</v>
      </c>
      <c r="G74" s="133" t="s">
        <v>234</v>
      </c>
      <c r="H74" s="133" t="s">
        <v>2937</v>
      </c>
      <c r="I74" s="367">
        <v>40</v>
      </c>
      <c r="J74" s="374">
        <v>550</v>
      </c>
      <c r="K74" s="374">
        <v>470</v>
      </c>
      <c r="L74" s="379">
        <v>100</v>
      </c>
      <c r="M74" s="379">
        <v>90</v>
      </c>
      <c r="N74" s="371">
        <v>10</v>
      </c>
      <c r="O74" s="134"/>
    </row>
    <row r="75" spans="2:15" x14ac:dyDescent="0.3">
      <c r="B75" s="133" t="s">
        <v>2926</v>
      </c>
      <c r="C75" s="131">
        <v>45800</v>
      </c>
      <c r="D75" s="133" t="s">
        <v>234</v>
      </c>
      <c r="E75" s="364">
        <v>120</v>
      </c>
      <c r="F75" s="131">
        <f t="shared" si="5"/>
        <v>381.66666666666669</v>
      </c>
      <c r="G75" s="133" t="s">
        <v>234</v>
      </c>
      <c r="H75" s="133" t="s">
        <v>2868</v>
      </c>
      <c r="I75" s="367">
        <v>16</v>
      </c>
      <c r="J75" s="374">
        <v>540</v>
      </c>
      <c r="K75" s="374">
        <v>520</v>
      </c>
      <c r="L75" s="379">
        <v>97</v>
      </c>
      <c r="M75" s="379">
        <v>88</v>
      </c>
      <c r="N75" s="371">
        <v>3</v>
      </c>
      <c r="O75" s="134"/>
    </row>
    <row r="76" spans="2:15" x14ac:dyDescent="0.3">
      <c r="B76" s="133" t="s">
        <v>2927</v>
      </c>
      <c r="C76" s="131">
        <v>80500</v>
      </c>
      <c r="D76" s="133" t="s">
        <v>234</v>
      </c>
      <c r="E76" s="364">
        <v>250</v>
      </c>
      <c r="F76" s="131">
        <f t="shared" si="5"/>
        <v>322</v>
      </c>
      <c r="G76" s="133" t="s">
        <v>234</v>
      </c>
      <c r="H76" s="133" t="s">
        <v>2868</v>
      </c>
      <c r="I76" s="367">
        <v>16</v>
      </c>
      <c r="J76" s="374">
        <v>540</v>
      </c>
      <c r="K76" s="374">
        <v>520</v>
      </c>
      <c r="L76" s="379">
        <v>97</v>
      </c>
      <c r="M76" s="379">
        <v>88</v>
      </c>
      <c r="N76" s="371">
        <v>3</v>
      </c>
      <c r="O76" s="134"/>
    </row>
    <row r="77" spans="2:15" x14ac:dyDescent="0.3">
      <c r="B77" s="133" t="s">
        <v>2928</v>
      </c>
      <c r="C77" s="131">
        <v>168000</v>
      </c>
      <c r="D77" s="133" t="s">
        <v>234</v>
      </c>
      <c r="E77" s="364">
        <v>500</v>
      </c>
      <c r="F77" s="131">
        <f t="shared" si="5"/>
        <v>336</v>
      </c>
      <c r="G77" s="133" t="s">
        <v>234</v>
      </c>
      <c r="H77" s="133" t="s">
        <v>2868</v>
      </c>
      <c r="I77" s="367">
        <v>16</v>
      </c>
      <c r="J77" s="374">
        <v>540</v>
      </c>
      <c r="K77" s="374">
        <v>520</v>
      </c>
      <c r="L77" s="379">
        <v>98</v>
      </c>
      <c r="M77" s="379">
        <v>88</v>
      </c>
      <c r="N77" s="371">
        <v>3</v>
      </c>
      <c r="O77" s="134"/>
    </row>
    <row r="78" spans="2:15" x14ac:dyDescent="0.3">
      <c r="B78" s="133" t="s">
        <v>2929</v>
      </c>
      <c r="C78" s="131">
        <v>74900</v>
      </c>
      <c r="D78" s="133" t="s">
        <v>234</v>
      </c>
      <c r="E78" s="364">
        <v>128</v>
      </c>
      <c r="F78" s="131">
        <f t="shared" si="5"/>
        <v>585.15625</v>
      </c>
      <c r="G78" s="133" t="s">
        <v>234</v>
      </c>
      <c r="H78" s="133" t="s">
        <v>2851</v>
      </c>
      <c r="I78" s="367">
        <v>40</v>
      </c>
      <c r="J78" s="374">
        <v>540</v>
      </c>
      <c r="K78" s="374">
        <v>520</v>
      </c>
      <c r="L78" s="379">
        <v>94</v>
      </c>
      <c r="M78" s="379">
        <v>88</v>
      </c>
      <c r="N78" s="371">
        <v>5</v>
      </c>
      <c r="O78" s="134"/>
    </row>
    <row r="79" spans="2:15" x14ac:dyDescent="0.3">
      <c r="B79" s="133" t="s">
        <v>3105</v>
      </c>
      <c r="C79" s="131">
        <v>100200</v>
      </c>
      <c r="D79" s="133" t="s">
        <v>234</v>
      </c>
      <c r="E79" s="364">
        <v>250</v>
      </c>
      <c r="F79" s="131">
        <f t="shared" si="5"/>
        <v>400.8</v>
      </c>
      <c r="G79" s="133" t="s">
        <v>234</v>
      </c>
      <c r="H79" s="133" t="s">
        <v>2851</v>
      </c>
      <c r="I79" s="367">
        <v>40</v>
      </c>
      <c r="J79" s="374">
        <v>540</v>
      </c>
      <c r="K79" s="374">
        <v>520</v>
      </c>
      <c r="L79" s="379">
        <v>97</v>
      </c>
      <c r="M79" s="379">
        <v>88</v>
      </c>
      <c r="N79" s="371">
        <v>5</v>
      </c>
      <c r="O79" s="134"/>
    </row>
    <row r="80" spans="2:15" x14ac:dyDescent="0.3">
      <c r="B80" s="133" t="s">
        <v>2930</v>
      </c>
      <c r="C80" s="131">
        <v>181000</v>
      </c>
      <c r="D80" s="133" t="s">
        <v>234</v>
      </c>
      <c r="E80" s="364">
        <v>500</v>
      </c>
      <c r="F80" s="131">
        <f t="shared" si="5"/>
        <v>362</v>
      </c>
      <c r="G80" s="133" t="s">
        <v>234</v>
      </c>
      <c r="H80" s="133" t="s">
        <v>2851</v>
      </c>
      <c r="I80" s="367">
        <v>40</v>
      </c>
      <c r="J80" s="374">
        <v>540</v>
      </c>
      <c r="K80" s="374">
        <v>520</v>
      </c>
      <c r="L80" s="379">
        <v>98</v>
      </c>
      <c r="M80" s="379">
        <v>90</v>
      </c>
      <c r="N80" s="371">
        <v>5</v>
      </c>
      <c r="O80" s="134"/>
    </row>
    <row r="81" spans="2:15" x14ac:dyDescent="0.3">
      <c r="B81" s="133" t="s">
        <v>2931</v>
      </c>
      <c r="C81" s="131">
        <v>357700</v>
      </c>
      <c r="D81" s="133" t="s">
        <v>234</v>
      </c>
      <c r="E81" s="364">
        <v>1000</v>
      </c>
      <c r="F81" s="131">
        <f t="shared" si="5"/>
        <v>357.7</v>
      </c>
      <c r="G81" s="133" t="s">
        <v>234</v>
      </c>
      <c r="H81" s="133" t="s">
        <v>2851</v>
      </c>
      <c r="I81" s="367">
        <v>40</v>
      </c>
      <c r="J81" s="374">
        <v>540</v>
      </c>
      <c r="K81" s="374">
        <v>520</v>
      </c>
      <c r="L81" s="379">
        <v>98</v>
      </c>
      <c r="M81" s="379">
        <v>90</v>
      </c>
      <c r="N81" s="371">
        <v>5</v>
      </c>
      <c r="O81" s="134"/>
    </row>
    <row r="82" spans="2:15" x14ac:dyDescent="0.3">
      <c r="B82" s="133" t="s">
        <v>2932</v>
      </c>
      <c r="C82" s="131">
        <v>755000</v>
      </c>
      <c r="D82" s="133" t="s">
        <v>234</v>
      </c>
      <c r="E82" s="364">
        <v>2000</v>
      </c>
      <c r="F82" s="131">
        <f t="shared" si="5"/>
        <v>377.5</v>
      </c>
      <c r="G82" s="133" t="s">
        <v>234</v>
      </c>
      <c r="H82" s="133" t="s">
        <v>2851</v>
      </c>
      <c r="I82" s="367">
        <v>40</v>
      </c>
      <c r="J82" s="374">
        <v>540</v>
      </c>
      <c r="K82" s="374">
        <v>520</v>
      </c>
      <c r="L82" s="379">
        <v>98</v>
      </c>
      <c r="M82" s="379">
        <v>90</v>
      </c>
      <c r="N82" s="371">
        <v>5</v>
      </c>
      <c r="O82" s="134"/>
    </row>
    <row r="83" spans="2:15" x14ac:dyDescent="0.3">
      <c r="B83" s="126" t="s">
        <v>918</v>
      </c>
    </row>
    <row r="84" spans="2:15" x14ac:dyDescent="0.3">
      <c r="B84" s="358" t="s">
        <v>2933</v>
      </c>
    </row>
    <row r="85" spans="2:15" x14ac:dyDescent="0.3">
      <c r="B85" s="133" t="s">
        <v>2935</v>
      </c>
      <c r="C85" s="131">
        <v>419790</v>
      </c>
      <c r="D85" s="133" t="s">
        <v>2934</v>
      </c>
      <c r="E85" s="364">
        <v>512</v>
      </c>
      <c r="F85" s="131">
        <f>C85/E85</f>
        <v>819.90234375</v>
      </c>
      <c r="G85" s="133" t="s">
        <v>2936</v>
      </c>
      <c r="H85" s="133" t="s">
        <v>2852</v>
      </c>
      <c r="I85" s="367">
        <v>15</v>
      </c>
      <c r="J85" s="374">
        <v>2600</v>
      </c>
      <c r="K85" s="374">
        <v>1300</v>
      </c>
      <c r="L85" s="379">
        <v>350</v>
      </c>
      <c r="M85" s="379">
        <v>250</v>
      </c>
      <c r="N85" s="371">
        <v>3</v>
      </c>
      <c r="O85" s="310" t="s">
        <v>233</v>
      </c>
    </row>
    <row r="86" spans="2:15" x14ac:dyDescent="0.3">
      <c r="B86" s="133" t="s">
        <v>2912</v>
      </c>
      <c r="C86" s="131">
        <v>459800</v>
      </c>
      <c r="D86" s="133" t="s">
        <v>232</v>
      </c>
      <c r="E86" s="364">
        <v>400</v>
      </c>
      <c r="F86" s="131">
        <f>C86/E86</f>
        <v>1149.5</v>
      </c>
      <c r="G86" s="133" t="s">
        <v>232</v>
      </c>
      <c r="H86" s="133" t="s">
        <v>214</v>
      </c>
      <c r="I86" s="367">
        <v>20</v>
      </c>
      <c r="J86" s="374">
        <v>2200</v>
      </c>
      <c r="K86" s="374">
        <v>900</v>
      </c>
      <c r="L86" s="379">
        <v>430</v>
      </c>
      <c r="M86" s="379">
        <v>230</v>
      </c>
      <c r="N86" s="371">
        <v>5</v>
      </c>
      <c r="O86" s="310" t="s">
        <v>233</v>
      </c>
    </row>
    <row r="87" spans="2:15" x14ac:dyDescent="0.3">
      <c r="B87" s="133" t="s">
        <v>2913</v>
      </c>
      <c r="C87" s="131">
        <v>673150</v>
      </c>
      <c r="D87" s="133" t="s">
        <v>232</v>
      </c>
      <c r="E87" s="364">
        <v>800</v>
      </c>
      <c r="F87" s="131">
        <f>C87/E87</f>
        <v>841.4375</v>
      </c>
      <c r="G87" s="133" t="s">
        <v>232</v>
      </c>
      <c r="H87" s="133" t="s">
        <v>214</v>
      </c>
      <c r="I87" s="367">
        <v>20</v>
      </c>
      <c r="J87" s="374">
        <v>2100</v>
      </c>
      <c r="K87" s="374">
        <v>800</v>
      </c>
      <c r="L87" s="379">
        <v>420</v>
      </c>
      <c r="M87" s="379">
        <v>210</v>
      </c>
      <c r="N87" s="371">
        <v>5</v>
      </c>
      <c r="O87" s="310" t="s">
        <v>233</v>
      </c>
    </row>
    <row r="88" spans="2:15" x14ac:dyDescent="0.3">
      <c r="B88" s="133" t="s">
        <v>2914</v>
      </c>
      <c r="C88" s="131">
        <v>1188000</v>
      </c>
      <c r="D88" s="133" t="s">
        <v>232</v>
      </c>
      <c r="E88" s="364">
        <v>1200</v>
      </c>
      <c r="F88" s="131">
        <f>C88/E88</f>
        <v>990</v>
      </c>
      <c r="G88" s="133" t="s">
        <v>232</v>
      </c>
      <c r="H88" s="133" t="s">
        <v>214</v>
      </c>
      <c r="I88" s="367">
        <v>20</v>
      </c>
      <c r="J88" s="374">
        <v>2400</v>
      </c>
      <c r="K88" s="374">
        <v>1200</v>
      </c>
      <c r="L88" s="379">
        <v>440</v>
      </c>
      <c r="M88" s="379">
        <v>290</v>
      </c>
      <c r="N88" s="371">
        <v>5</v>
      </c>
      <c r="O88" s="310" t="s">
        <v>233</v>
      </c>
    </row>
  </sheetData>
  <phoneticPr fontId="4" type="noConversion"/>
  <conditionalFormatting sqref="E45">
    <cfRule type="colorScale" priority="25">
      <colorScale>
        <cfvo type="percent" val="0"/>
        <cfvo type="percent" val="50"/>
        <color theme="9" tint="0.79998168889431442"/>
        <color theme="8" tint="0.39997558519241921"/>
      </colorScale>
    </cfRule>
  </conditionalFormatting>
  <conditionalFormatting sqref="J45:J60">
    <cfRule type="colorScale" priority="27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K45:K60">
    <cfRule type="colorScale" priority="28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L45:L60">
    <cfRule type="colorScale" priority="29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M45:M60">
    <cfRule type="colorScale" priority="30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E40:E42">
    <cfRule type="colorScale" priority="19">
      <colorScale>
        <cfvo type="percent" val="0"/>
        <cfvo type="percent" val="50"/>
        <color theme="9" tint="0.79998168889431442"/>
        <color theme="8" tint="0.39997558519241921"/>
      </colorScale>
    </cfRule>
  </conditionalFormatting>
  <conditionalFormatting sqref="J40:J42">
    <cfRule type="colorScale" priority="21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K40:K42">
    <cfRule type="colorScale" priority="22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L40:L42">
    <cfRule type="colorScale" priority="23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M40:M42">
    <cfRule type="colorScale" priority="24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J6:J39 J43:J44 J46:J69 J73:J81">
    <cfRule type="colorScale" priority="278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K6:K39 K43:K44 K46:K69 K73:K81">
    <cfRule type="colorScale" priority="282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L6:L39 L43:L44 L46:L69 L73:L81">
    <cfRule type="colorScale" priority="286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M6:M39 M43:M44 M46:M69 M73:M81">
    <cfRule type="colorScale" priority="290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I83:I1048576 I1:I69 I73:I77">
    <cfRule type="colorScale" priority="18">
      <colorScale>
        <cfvo type="percent" val="0"/>
        <cfvo type="percent" val="50"/>
        <color theme="9" tint="0.79998168889431442"/>
        <color theme="6" tint="0.79998168889431442"/>
      </colorScale>
    </cfRule>
  </conditionalFormatting>
  <conditionalFormatting sqref="J82">
    <cfRule type="colorScale" priority="12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K82">
    <cfRule type="colorScale" priority="13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L82">
    <cfRule type="colorScale" priority="14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M82">
    <cfRule type="colorScale" priority="15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E82">
    <cfRule type="colorScale" priority="16">
      <colorScale>
        <cfvo type="percent" val="0"/>
        <cfvo type="percent" val="50"/>
        <color theme="9" tint="0.79998168889431442"/>
        <color theme="8" tint="0.39997558519241921"/>
      </colorScale>
    </cfRule>
  </conditionalFormatting>
  <conditionalFormatting sqref="J70:J72">
    <cfRule type="colorScale" priority="5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K70:K72">
    <cfRule type="colorScale" priority="6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L70:L72">
    <cfRule type="colorScale" priority="7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M70:M72">
    <cfRule type="colorScale" priority="8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E70:E72">
    <cfRule type="colorScale" priority="9">
      <colorScale>
        <cfvo type="percent" val="0"/>
        <cfvo type="percent" val="50"/>
        <color theme="9" tint="0.79998168889431442"/>
        <color theme="8" tint="0.39997558519241921"/>
      </colorScale>
    </cfRule>
  </conditionalFormatting>
  <conditionalFormatting sqref="F6:F82">
    <cfRule type="colorScale" priority="10">
      <colorScale>
        <cfvo type="percent" val="20"/>
        <cfvo type="percent" val="80"/>
        <color theme="6" tint="0.39997558519241921"/>
        <color theme="5" tint="0.79998168889431442"/>
      </colorScale>
    </cfRule>
  </conditionalFormatting>
  <conditionalFormatting sqref="I70:I74">
    <cfRule type="colorScale" priority="4">
      <colorScale>
        <cfvo type="percent" val="0"/>
        <cfvo type="percent" val="50"/>
        <color theme="9" tint="0.79998168889431442"/>
        <color theme="6" tint="0.79998168889431442"/>
      </colorScale>
    </cfRule>
  </conditionalFormatting>
  <conditionalFormatting sqref="J85:J88">
    <cfRule type="colorScale" priority="296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K85:K88">
    <cfRule type="colorScale" priority="297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L85:L88">
    <cfRule type="colorScale" priority="298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M85:M88">
    <cfRule type="colorScale" priority="299">
      <colorScale>
        <cfvo type="percent" val="0"/>
        <cfvo type="percent" val="100"/>
        <color theme="5" tint="0.79998168889431442"/>
        <color theme="4" tint="0.39997558519241921"/>
      </colorScale>
    </cfRule>
  </conditionalFormatting>
  <conditionalFormatting sqref="E6:E39 E46:E69 E43:E44 E83:E114 E73:E81">
    <cfRule type="colorScale" priority="300">
      <colorScale>
        <cfvo type="percent" val="0"/>
        <cfvo type="percent" val="50"/>
        <color theme="9" tint="0.79998168889431442"/>
        <color theme="8" tint="0.39997558519241921"/>
      </colorScale>
    </cfRule>
  </conditionalFormatting>
  <conditionalFormatting sqref="I78:I82">
    <cfRule type="colorScale" priority="3">
      <colorScale>
        <cfvo type="percent" val="0"/>
        <cfvo type="percent" val="50"/>
        <color theme="9" tint="0.79998168889431442"/>
        <color theme="6" tint="0.79998168889431442"/>
      </colorScale>
    </cfRule>
  </conditionalFormatting>
  <conditionalFormatting sqref="I78:I82">
    <cfRule type="colorScale" priority="2">
      <colorScale>
        <cfvo type="percent" val="0"/>
        <cfvo type="percent" val="50"/>
        <color theme="9" tint="0.79998168889431442"/>
        <color theme="6" tint="0.79998168889431442"/>
      </colorScale>
    </cfRule>
  </conditionalFormatting>
  <conditionalFormatting sqref="F85:F88">
    <cfRule type="colorScale" priority="1">
      <colorScale>
        <cfvo type="percent" val="20"/>
        <cfvo type="percent" val="80"/>
        <color theme="6" tint="0.39997558519241921"/>
        <color theme="5" tint="0.79998168889431442"/>
      </colorScale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59999389629810485"/>
  </sheetPr>
  <dimension ref="A1:F9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9" defaultRowHeight="15.6" x14ac:dyDescent="0.35"/>
  <cols>
    <col min="1" max="1" width="2.59765625" style="136" bestFit="1" customWidth="1"/>
    <col min="2" max="2" width="44.3984375" style="136" bestFit="1" customWidth="1"/>
    <col min="3" max="3" width="9.8984375" style="136" bestFit="1" customWidth="1"/>
    <col min="4" max="16384" width="9" style="136"/>
  </cols>
  <sheetData>
    <row r="1" spans="1:6" ht="24" customHeight="1" x14ac:dyDescent="0.35">
      <c r="A1" s="136">
        <v>7</v>
      </c>
    </row>
    <row r="2" spans="1:6" x14ac:dyDescent="0.35">
      <c r="B2" s="137" t="s">
        <v>0</v>
      </c>
      <c r="C2" s="137" t="s">
        <v>197</v>
      </c>
      <c r="D2" s="137" t="s">
        <v>2</v>
      </c>
      <c r="E2" s="122" t="s">
        <v>970</v>
      </c>
      <c r="F2" s="122" t="s">
        <v>971</v>
      </c>
    </row>
    <row r="3" spans="1:6" x14ac:dyDescent="0.35">
      <c r="B3" s="138" t="s">
        <v>1208</v>
      </c>
      <c r="C3" s="137"/>
      <c r="D3" s="137"/>
      <c r="E3" s="122"/>
      <c r="F3" s="122"/>
    </row>
    <row r="4" spans="1:6" x14ac:dyDescent="0.35">
      <c r="B4" s="137" t="s">
        <v>1209</v>
      </c>
      <c r="C4" s="137"/>
      <c r="D4" s="137"/>
      <c r="E4" s="122"/>
      <c r="F4" s="122"/>
    </row>
    <row r="5" spans="1:6" x14ac:dyDescent="0.35">
      <c r="B5" s="138" t="s">
        <v>3107</v>
      </c>
      <c r="C5" s="139">
        <v>15640</v>
      </c>
      <c r="D5" s="138" t="s">
        <v>972</v>
      </c>
      <c r="E5" s="123" t="s">
        <v>87</v>
      </c>
      <c r="F5" s="123"/>
    </row>
    <row r="6" spans="1:6" x14ac:dyDescent="0.35">
      <c r="B6" s="138" t="s">
        <v>1652</v>
      </c>
      <c r="C6" s="139">
        <v>16000</v>
      </c>
      <c r="D6" s="138" t="s">
        <v>972</v>
      </c>
      <c r="E6" s="123" t="s">
        <v>87</v>
      </c>
      <c r="F6" s="123"/>
    </row>
    <row r="7" spans="1:6" x14ac:dyDescent="0.35">
      <c r="B7" s="138" t="s">
        <v>1654</v>
      </c>
      <c r="C7" s="139">
        <v>17300</v>
      </c>
      <c r="D7" s="138" t="s">
        <v>973</v>
      </c>
      <c r="E7" s="123" t="s">
        <v>87</v>
      </c>
      <c r="F7" s="123"/>
    </row>
    <row r="8" spans="1:6" x14ac:dyDescent="0.35">
      <c r="B8" s="138" t="s">
        <v>918</v>
      </c>
      <c r="C8" s="139"/>
      <c r="D8" s="138"/>
      <c r="E8" s="123"/>
      <c r="F8" s="123"/>
    </row>
    <row r="9" spans="1:6" x14ac:dyDescent="0.35">
      <c r="B9" s="138" t="s">
        <v>1653</v>
      </c>
      <c r="C9" s="139">
        <v>95000</v>
      </c>
      <c r="D9" s="138" t="s">
        <v>972</v>
      </c>
      <c r="E9" s="123" t="s">
        <v>87</v>
      </c>
      <c r="F9" s="123" t="s">
        <v>87</v>
      </c>
    </row>
  </sheetData>
  <phoneticPr fontId="4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0.59999389629810485"/>
  </sheetPr>
  <dimension ref="A1:L131"/>
  <sheetViews>
    <sheetView zoomScale="115" zoomScaleNormal="115" workbookViewId="0">
      <pane xSplit="2" ySplit="2" topLeftCell="C12" activePane="bottomRight" state="frozen"/>
      <selection pane="topRight" activeCell="C1" sqref="C1"/>
      <selection pane="bottomLeft" activeCell="A3" sqref="A3"/>
      <selection pane="bottomRight" activeCell="B29" sqref="B29"/>
    </sheetView>
  </sheetViews>
  <sheetFormatPr defaultColWidth="9" defaultRowHeight="13.2" x14ac:dyDescent="0.3"/>
  <cols>
    <col min="1" max="1" width="2.5" style="124" bestFit="1" customWidth="1"/>
    <col min="2" max="2" width="47.69921875" style="124" bestFit="1" customWidth="1"/>
    <col min="3" max="3" width="9.59765625" style="124" bestFit="1" customWidth="1"/>
    <col min="4" max="4" width="10.19921875" style="124" bestFit="1" customWidth="1"/>
    <col min="5" max="5" width="9" style="237"/>
    <col min="6" max="16384" width="9" style="124"/>
  </cols>
  <sheetData>
    <row r="1" spans="1:12" ht="24" customHeight="1" x14ac:dyDescent="0.3">
      <c r="A1" s="124">
        <v>8</v>
      </c>
    </row>
    <row r="2" spans="1:12" x14ac:dyDescent="0.3">
      <c r="B2" s="126" t="s">
        <v>0</v>
      </c>
      <c r="C2" s="126" t="s">
        <v>197</v>
      </c>
      <c r="D2" s="126" t="s">
        <v>2</v>
      </c>
      <c r="E2" s="238" t="s">
        <v>235</v>
      </c>
      <c r="F2" s="126" t="s">
        <v>236</v>
      </c>
      <c r="G2" s="126" t="s">
        <v>237</v>
      </c>
      <c r="H2" s="127" t="s">
        <v>238</v>
      </c>
      <c r="I2" s="127" t="s">
        <v>239</v>
      </c>
      <c r="J2" s="127" t="s">
        <v>240</v>
      </c>
      <c r="K2" s="127" t="s">
        <v>241</v>
      </c>
      <c r="L2" s="127" t="s">
        <v>242</v>
      </c>
    </row>
    <row r="3" spans="1:12" x14ac:dyDescent="0.3">
      <c r="B3" s="124" t="s">
        <v>1210</v>
      </c>
      <c r="E3" s="239"/>
      <c r="H3" s="134"/>
      <c r="I3" s="134"/>
      <c r="J3" s="134"/>
      <c r="K3" s="134"/>
      <c r="L3" s="134"/>
    </row>
    <row r="4" spans="1:12" x14ac:dyDescent="0.3">
      <c r="B4" s="124" t="s">
        <v>1203</v>
      </c>
      <c r="E4" s="239"/>
      <c r="H4" s="134"/>
      <c r="I4" s="134"/>
      <c r="J4" s="134"/>
      <c r="K4" s="134"/>
      <c r="L4" s="134"/>
    </row>
    <row r="5" spans="1:12" x14ac:dyDescent="0.3">
      <c r="B5" s="127" t="s">
        <v>243</v>
      </c>
      <c r="E5" s="239"/>
      <c r="H5" s="134"/>
      <c r="I5" s="134"/>
      <c r="J5" s="134"/>
      <c r="K5" s="134"/>
      <c r="L5" s="134"/>
    </row>
    <row r="6" spans="1:12" x14ac:dyDescent="0.3">
      <c r="B6" s="130" t="s">
        <v>244</v>
      </c>
      <c r="C6" s="131">
        <v>41370</v>
      </c>
      <c r="D6" s="124" t="s">
        <v>245</v>
      </c>
      <c r="E6" s="239">
        <v>120</v>
      </c>
      <c r="F6" s="124" t="s">
        <v>246</v>
      </c>
      <c r="H6" s="134">
        <v>90</v>
      </c>
      <c r="I6" s="134">
        <v>2</v>
      </c>
      <c r="J6" s="134">
        <v>0</v>
      </c>
      <c r="K6" s="134">
        <v>0</v>
      </c>
      <c r="L6" s="134">
        <v>1</v>
      </c>
    </row>
    <row r="7" spans="1:12" x14ac:dyDescent="0.3">
      <c r="B7" s="130" t="s">
        <v>247</v>
      </c>
      <c r="C7" s="131">
        <v>60340</v>
      </c>
      <c r="D7" s="124" t="s">
        <v>248</v>
      </c>
      <c r="E7" s="239">
        <v>120</v>
      </c>
      <c r="F7" s="124" t="s">
        <v>246</v>
      </c>
      <c r="H7" s="134" t="s">
        <v>217</v>
      </c>
      <c r="I7" s="134">
        <v>1</v>
      </c>
      <c r="J7" s="134">
        <v>0</v>
      </c>
      <c r="K7" s="134">
        <v>0</v>
      </c>
      <c r="L7" s="134">
        <v>4</v>
      </c>
    </row>
    <row r="8" spans="1:12" x14ac:dyDescent="0.3">
      <c r="B8" s="130" t="s">
        <v>249</v>
      </c>
      <c r="C8" s="131">
        <v>82550</v>
      </c>
      <c r="D8" s="124" t="s">
        <v>248</v>
      </c>
      <c r="E8" s="239">
        <v>200</v>
      </c>
      <c r="F8" s="124" t="s">
        <v>246</v>
      </c>
      <c r="H8" s="134" t="s">
        <v>217</v>
      </c>
      <c r="I8" s="134">
        <v>1</v>
      </c>
      <c r="J8" s="134">
        <v>0</v>
      </c>
      <c r="K8" s="134">
        <v>0</v>
      </c>
      <c r="L8" s="134">
        <v>4</v>
      </c>
    </row>
    <row r="9" spans="1:12" x14ac:dyDescent="0.3">
      <c r="B9" s="130" t="s">
        <v>919</v>
      </c>
      <c r="C9" s="131"/>
      <c r="E9" s="239"/>
      <c r="H9" s="134"/>
      <c r="I9" s="134"/>
      <c r="J9" s="134"/>
      <c r="K9" s="134"/>
      <c r="L9" s="134"/>
    </row>
    <row r="10" spans="1:12" x14ac:dyDescent="0.3">
      <c r="B10" s="127" t="s">
        <v>250</v>
      </c>
      <c r="C10" s="131"/>
      <c r="E10" s="239"/>
      <c r="H10" s="134"/>
      <c r="I10" s="134"/>
      <c r="J10" s="134"/>
      <c r="K10" s="134"/>
      <c r="L10" s="134"/>
    </row>
    <row r="11" spans="1:12" x14ac:dyDescent="0.3">
      <c r="B11" s="142" t="s">
        <v>251</v>
      </c>
      <c r="C11" s="131">
        <v>45800</v>
      </c>
      <c r="D11" s="124" t="s">
        <v>252</v>
      </c>
      <c r="E11" s="239">
        <v>500</v>
      </c>
      <c r="F11" s="124" t="s">
        <v>253</v>
      </c>
      <c r="G11" s="124" t="s">
        <v>254</v>
      </c>
      <c r="H11" s="145">
        <v>0.88</v>
      </c>
      <c r="I11" s="134">
        <v>4</v>
      </c>
      <c r="J11" s="134">
        <v>2</v>
      </c>
      <c r="K11" s="134">
        <v>1</v>
      </c>
      <c r="L11" s="134">
        <v>3</v>
      </c>
    </row>
    <row r="12" spans="1:12" x14ac:dyDescent="0.3">
      <c r="B12" s="130" t="s">
        <v>255</v>
      </c>
      <c r="C12" s="131">
        <v>68000</v>
      </c>
      <c r="D12" s="124" t="s">
        <v>252</v>
      </c>
      <c r="E12" s="239">
        <v>550</v>
      </c>
      <c r="F12" s="124" t="s">
        <v>253</v>
      </c>
      <c r="G12" s="124" t="s">
        <v>254</v>
      </c>
      <c r="H12" s="271" t="s">
        <v>256</v>
      </c>
      <c r="I12" s="134">
        <v>5</v>
      </c>
      <c r="J12" s="134">
        <v>2</v>
      </c>
      <c r="K12" s="134">
        <v>2</v>
      </c>
      <c r="L12" s="134">
        <v>3</v>
      </c>
    </row>
    <row r="13" spans="1:12" x14ac:dyDescent="0.3">
      <c r="B13" s="124" t="s">
        <v>257</v>
      </c>
      <c r="C13" s="131">
        <v>143800</v>
      </c>
      <c r="D13" s="124" t="s">
        <v>252</v>
      </c>
      <c r="E13" s="239">
        <v>550</v>
      </c>
      <c r="F13" s="124" t="s">
        <v>258</v>
      </c>
      <c r="G13" s="124" t="s">
        <v>254</v>
      </c>
      <c r="H13" s="270" t="s">
        <v>259</v>
      </c>
      <c r="I13" s="134">
        <v>8</v>
      </c>
      <c r="J13" s="134">
        <v>2</v>
      </c>
      <c r="K13" s="134">
        <v>2</v>
      </c>
      <c r="L13" s="134">
        <v>3</v>
      </c>
    </row>
    <row r="14" spans="1:12" x14ac:dyDescent="0.3">
      <c r="B14" s="124" t="s">
        <v>260</v>
      </c>
      <c r="C14" s="131">
        <v>66000</v>
      </c>
      <c r="D14" s="124" t="s">
        <v>261</v>
      </c>
      <c r="E14" s="239">
        <v>500</v>
      </c>
      <c r="F14" s="124" t="s">
        <v>253</v>
      </c>
      <c r="G14" s="124" t="s">
        <v>262</v>
      </c>
      <c r="H14" s="145">
        <v>0.87</v>
      </c>
      <c r="I14" s="134">
        <v>5</v>
      </c>
      <c r="J14" s="134">
        <v>2</v>
      </c>
      <c r="K14" s="134">
        <v>2</v>
      </c>
      <c r="L14" s="134">
        <v>4</v>
      </c>
    </row>
    <row r="15" spans="1:12" x14ac:dyDescent="0.3">
      <c r="B15" s="124" t="s">
        <v>263</v>
      </c>
      <c r="C15" s="131">
        <v>93000</v>
      </c>
      <c r="D15" s="124" t="s">
        <v>261</v>
      </c>
      <c r="E15" s="239">
        <v>550</v>
      </c>
      <c r="F15" s="124" t="s">
        <v>253</v>
      </c>
      <c r="G15" s="124" t="s">
        <v>262</v>
      </c>
      <c r="H15" s="145">
        <v>0.87</v>
      </c>
      <c r="I15" s="134">
        <v>5</v>
      </c>
      <c r="J15" s="134">
        <v>2</v>
      </c>
      <c r="K15" s="134">
        <v>2</v>
      </c>
      <c r="L15" s="134">
        <v>4</v>
      </c>
    </row>
    <row r="16" spans="1:12" x14ac:dyDescent="0.3">
      <c r="B16" s="124" t="s">
        <v>1862</v>
      </c>
      <c r="C16" s="131">
        <v>41100</v>
      </c>
      <c r="D16" s="124" t="s">
        <v>1863</v>
      </c>
      <c r="E16" s="239" t="s">
        <v>1864</v>
      </c>
      <c r="F16" s="124" t="s">
        <v>253</v>
      </c>
      <c r="G16" s="124" t="s">
        <v>254</v>
      </c>
      <c r="H16" s="145">
        <v>0.85</v>
      </c>
      <c r="I16" s="134">
        <v>5</v>
      </c>
      <c r="J16" s="134">
        <v>2</v>
      </c>
      <c r="K16" s="134">
        <v>2</v>
      </c>
      <c r="L16" s="134">
        <v>2</v>
      </c>
    </row>
    <row r="17" spans="2:12" x14ac:dyDescent="0.3">
      <c r="B17" s="124" t="s">
        <v>1866</v>
      </c>
      <c r="C17" s="131">
        <v>44400</v>
      </c>
      <c r="D17" s="124" t="s">
        <v>265</v>
      </c>
      <c r="E17" s="239">
        <v>500</v>
      </c>
      <c r="F17" s="124" t="s">
        <v>253</v>
      </c>
      <c r="G17" s="124" t="s">
        <v>262</v>
      </c>
      <c r="H17" s="145">
        <v>0.85</v>
      </c>
      <c r="I17" s="134">
        <v>6</v>
      </c>
      <c r="J17" s="134">
        <v>2</v>
      </c>
      <c r="K17" s="134">
        <v>2</v>
      </c>
      <c r="L17" s="134">
        <v>3</v>
      </c>
    </row>
    <row r="18" spans="2:12" x14ac:dyDescent="0.3">
      <c r="B18" s="124" t="s">
        <v>264</v>
      </c>
      <c r="C18" s="131">
        <v>53000</v>
      </c>
      <c r="D18" s="124" t="s">
        <v>265</v>
      </c>
      <c r="E18" s="239">
        <v>500</v>
      </c>
      <c r="F18" s="124" t="s">
        <v>253</v>
      </c>
      <c r="G18" s="124" t="s">
        <v>262</v>
      </c>
      <c r="H18" s="145">
        <v>0.85</v>
      </c>
      <c r="I18" s="134">
        <v>8</v>
      </c>
      <c r="J18" s="134">
        <v>2</v>
      </c>
      <c r="K18" s="134">
        <v>2</v>
      </c>
      <c r="L18" s="134">
        <v>2</v>
      </c>
    </row>
    <row r="19" spans="2:12" x14ac:dyDescent="0.3">
      <c r="B19" s="124" t="s">
        <v>1865</v>
      </c>
      <c r="C19" s="131">
        <v>57800</v>
      </c>
      <c r="D19" s="124" t="s">
        <v>265</v>
      </c>
      <c r="E19" s="239">
        <v>500</v>
      </c>
      <c r="F19" s="124" t="s">
        <v>253</v>
      </c>
      <c r="G19" s="124" t="s">
        <v>262</v>
      </c>
      <c r="H19" s="271" t="s">
        <v>256</v>
      </c>
      <c r="I19" s="134">
        <v>7</v>
      </c>
      <c r="J19" s="134">
        <v>2</v>
      </c>
      <c r="K19" s="134">
        <v>2</v>
      </c>
      <c r="L19" s="134">
        <v>3</v>
      </c>
    </row>
    <row r="20" spans="2:12" x14ac:dyDescent="0.3">
      <c r="B20" s="124" t="s">
        <v>266</v>
      </c>
      <c r="C20" s="131">
        <v>60000</v>
      </c>
      <c r="D20" s="124" t="s">
        <v>265</v>
      </c>
      <c r="E20" s="239">
        <v>550</v>
      </c>
      <c r="F20" s="124" t="s">
        <v>253</v>
      </c>
      <c r="G20" s="124" t="s">
        <v>262</v>
      </c>
      <c r="H20" s="145">
        <v>0.88</v>
      </c>
      <c r="I20" s="134">
        <v>6</v>
      </c>
      <c r="J20" s="134">
        <v>2</v>
      </c>
      <c r="K20" s="134">
        <v>2</v>
      </c>
      <c r="L20" s="134">
        <v>5</v>
      </c>
    </row>
    <row r="21" spans="2:12" x14ac:dyDescent="0.3">
      <c r="B21" s="124" t="s">
        <v>267</v>
      </c>
      <c r="C21" s="131">
        <v>180000</v>
      </c>
      <c r="D21" s="124" t="s">
        <v>265</v>
      </c>
      <c r="E21" s="239">
        <v>550</v>
      </c>
      <c r="F21" s="124" t="s">
        <v>258</v>
      </c>
      <c r="G21" s="124" t="s">
        <v>254</v>
      </c>
      <c r="H21" s="273" t="s">
        <v>268</v>
      </c>
      <c r="I21" s="134">
        <v>7</v>
      </c>
      <c r="J21" s="134">
        <v>2</v>
      </c>
      <c r="K21" s="134">
        <v>2</v>
      </c>
      <c r="L21" s="134">
        <v>4</v>
      </c>
    </row>
    <row r="22" spans="2:12" x14ac:dyDescent="0.3">
      <c r="B22" s="124" t="s">
        <v>269</v>
      </c>
      <c r="C22" s="131">
        <v>38700</v>
      </c>
      <c r="D22" s="124" t="s">
        <v>270</v>
      </c>
      <c r="E22" s="239">
        <v>500</v>
      </c>
      <c r="F22" s="124" t="s">
        <v>253</v>
      </c>
      <c r="G22" s="124" t="s">
        <v>262</v>
      </c>
      <c r="H22" s="145">
        <v>0.85</v>
      </c>
      <c r="I22" s="134">
        <v>5</v>
      </c>
      <c r="J22" s="134">
        <v>2</v>
      </c>
      <c r="K22" s="134">
        <v>2</v>
      </c>
      <c r="L22" s="134">
        <v>3</v>
      </c>
    </row>
    <row r="23" spans="2:12" x14ac:dyDescent="0.3">
      <c r="B23" s="124" t="s">
        <v>272</v>
      </c>
      <c r="C23" s="131">
        <v>58000</v>
      </c>
      <c r="D23" s="124" t="s">
        <v>270</v>
      </c>
      <c r="E23" s="239">
        <v>500</v>
      </c>
      <c r="F23" s="124" t="s">
        <v>253</v>
      </c>
      <c r="G23" s="124" t="s">
        <v>262</v>
      </c>
      <c r="H23" s="272" t="s">
        <v>273</v>
      </c>
      <c r="I23" s="134">
        <v>5</v>
      </c>
      <c r="J23" s="134">
        <v>2</v>
      </c>
      <c r="K23" s="134">
        <v>2</v>
      </c>
      <c r="L23" s="134">
        <v>3</v>
      </c>
    </row>
    <row r="24" spans="2:12" x14ac:dyDescent="0.3">
      <c r="B24" s="124" t="s">
        <v>274</v>
      </c>
      <c r="C24" s="131">
        <v>71000</v>
      </c>
      <c r="D24" s="124" t="s">
        <v>270</v>
      </c>
      <c r="E24" s="239">
        <v>500</v>
      </c>
      <c r="F24" s="124" t="s">
        <v>253</v>
      </c>
      <c r="G24" s="124" t="s">
        <v>262</v>
      </c>
      <c r="H24" s="270" t="s">
        <v>259</v>
      </c>
      <c r="I24" s="134">
        <v>4</v>
      </c>
      <c r="J24" s="134">
        <v>2</v>
      </c>
      <c r="K24" s="134">
        <v>1</v>
      </c>
      <c r="L24" s="134">
        <v>3</v>
      </c>
    </row>
    <row r="25" spans="2:12" x14ac:dyDescent="0.3">
      <c r="B25" s="124" t="s">
        <v>275</v>
      </c>
      <c r="C25" s="131">
        <v>85900</v>
      </c>
      <c r="D25" s="124" t="s">
        <v>270</v>
      </c>
      <c r="E25" s="239">
        <v>550</v>
      </c>
      <c r="F25" s="124" t="s">
        <v>258</v>
      </c>
      <c r="G25" s="124" t="s">
        <v>262</v>
      </c>
      <c r="H25" s="272" t="s">
        <v>273</v>
      </c>
      <c r="I25" s="134">
        <v>6</v>
      </c>
      <c r="J25" s="134">
        <v>3</v>
      </c>
      <c r="K25" s="134">
        <v>3</v>
      </c>
      <c r="L25" s="134">
        <v>3</v>
      </c>
    </row>
    <row r="26" spans="2:12" x14ac:dyDescent="0.3">
      <c r="B26" s="124" t="s">
        <v>276</v>
      </c>
      <c r="C26" s="131">
        <v>55090</v>
      </c>
      <c r="D26" s="124" t="s">
        <v>277</v>
      </c>
      <c r="E26" s="239">
        <v>550</v>
      </c>
      <c r="F26" s="124" t="s">
        <v>253</v>
      </c>
      <c r="G26" s="124" t="s">
        <v>262</v>
      </c>
      <c r="H26" s="271" t="s">
        <v>256</v>
      </c>
      <c r="I26" s="134">
        <v>9</v>
      </c>
      <c r="J26" s="134">
        <v>2</v>
      </c>
      <c r="K26" s="134">
        <v>2</v>
      </c>
      <c r="L26" s="134">
        <v>6</v>
      </c>
    </row>
    <row r="27" spans="2:12" x14ac:dyDescent="0.3">
      <c r="B27" s="124" t="s">
        <v>278</v>
      </c>
      <c r="C27" s="131">
        <v>105000</v>
      </c>
      <c r="D27" s="124" t="s">
        <v>277</v>
      </c>
      <c r="E27" s="239">
        <v>550</v>
      </c>
      <c r="F27" s="124" t="s">
        <v>253</v>
      </c>
      <c r="G27" s="124" t="s">
        <v>262</v>
      </c>
      <c r="H27" s="270" t="s">
        <v>259</v>
      </c>
      <c r="I27" s="134">
        <v>8</v>
      </c>
      <c r="J27" s="134">
        <v>2</v>
      </c>
      <c r="K27" s="134">
        <v>2</v>
      </c>
      <c r="L27" s="134">
        <v>4</v>
      </c>
    </row>
    <row r="28" spans="2:12" x14ac:dyDescent="0.3">
      <c r="B28" s="124" t="s">
        <v>279</v>
      </c>
      <c r="C28" s="131">
        <v>123000</v>
      </c>
      <c r="D28" s="124" t="s">
        <v>277</v>
      </c>
      <c r="E28" s="239">
        <v>550</v>
      </c>
      <c r="F28" s="124" t="s">
        <v>258</v>
      </c>
      <c r="G28" s="124" t="s">
        <v>262</v>
      </c>
      <c r="H28" s="270" t="s">
        <v>259</v>
      </c>
      <c r="I28" s="134">
        <v>8</v>
      </c>
      <c r="J28" s="134">
        <v>2</v>
      </c>
      <c r="K28" s="134">
        <v>2</v>
      </c>
      <c r="L28" s="134">
        <v>6</v>
      </c>
    </row>
    <row r="29" spans="2:12" x14ac:dyDescent="0.3">
      <c r="B29" s="124" t="s">
        <v>3109</v>
      </c>
      <c r="C29" s="131">
        <v>40100</v>
      </c>
      <c r="D29" s="124" t="s">
        <v>281</v>
      </c>
      <c r="E29" s="239">
        <v>500</v>
      </c>
      <c r="F29" s="124" t="s">
        <v>253</v>
      </c>
      <c r="G29" s="124" t="s">
        <v>262</v>
      </c>
      <c r="H29" s="145">
        <v>0.86</v>
      </c>
      <c r="I29" s="134">
        <v>6</v>
      </c>
      <c r="J29" s="134">
        <v>2</v>
      </c>
      <c r="K29" s="134">
        <v>2</v>
      </c>
      <c r="L29" s="134">
        <v>3</v>
      </c>
    </row>
    <row r="30" spans="2:12" x14ac:dyDescent="0.3">
      <c r="B30" s="124" t="s">
        <v>1867</v>
      </c>
      <c r="C30" s="131">
        <v>43390</v>
      </c>
      <c r="D30" s="124" t="s">
        <v>281</v>
      </c>
      <c r="E30" s="239">
        <v>500</v>
      </c>
      <c r="F30" s="124" t="s">
        <v>253</v>
      </c>
      <c r="G30" s="124" t="s">
        <v>262</v>
      </c>
      <c r="H30" s="145">
        <v>0.84</v>
      </c>
      <c r="I30" s="134">
        <v>5</v>
      </c>
      <c r="J30" s="134">
        <v>2</v>
      </c>
      <c r="K30" s="134">
        <v>2</v>
      </c>
      <c r="L30" s="134">
        <v>3</v>
      </c>
    </row>
    <row r="31" spans="2:12" x14ac:dyDescent="0.3">
      <c r="B31" s="124" t="s">
        <v>280</v>
      </c>
      <c r="C31" s="131">
        <v>53900</v>
      </c>
      <c r="D31" s="124" t="s">
        <v>281</v>
      </c>
      <c r="E31" s="239">
        <v>500</v>
      </c>
      <c r="F31" s="124" t="s">
        <v>253</v>
      </c>
      <c r="G31" s="124" t="s">
        <v>262</v>
      </c>
      <c r="H31" s="271" t="s">
        <v>256</v>
      </c>
      <c r="I31" s="134">
        <v>6</v>
      </c>
      <c r="J31" s="134">
        <v>2</v>
      </c>
      <c r="K31" s="134">
        <v>2</v>
      </c>
      <c r="L31" s="134">
        <v>3</v>
      </c>
    </row>
    <row r="32" spans="2:12" x14ac:dyDescent="0.3">
      <c r="B32" s="124" t="s">
        <v>1869</v>
      </c>
      <c r="C32" s="131">
        <v>58880</v>
      </c>
      <c r="D32" s="124" t="s">
        <v>281</v>
      </c>
      <c r="E32" s="239">
        <v>500</v>
      </c>
      <c r="F32" s="124" t="s">
        <v>253</v>
      </c>
      <c r="G32" s="124" t="s">
        <v>262</v>
      </c>
      <c r="H32" s="271" t="s">
        <v>256</v>
      </c>
      <c r="I32" s="134">
        <v>6</v>
      </c>
      <c r="J32" s="134">
        <v>2</v>
      </c>
      <c r="K32" s="134">
        <v>2</v>
      </c>
      <c r="L32" s="134">
        <v>3</v>
      </c>
    </row>
    <row r="33" spans="2:12" x14ac:dyDescent="0.3">
      <c r="B33" s="124" t="s">
        <v>1868</v>
      </c>
      <c r="C33" s="131">
        <v>54800</v>
      </c>
      <c r="D33" s="124" t="s">
        <v>281</v>
      </c>
      <c r="E33" s="239">
        <v>500</v>
      </c>
      <c r="F33" s="124" t="s">
        <v>253</v>
      </c>
      <c r="G33" s="124" t="s">
        <v>262</v>
      </c>
      <c r="H33" s="145">
        <v>0.87</v>
      </c>
      <c r="I33" s="134">
        <v>6</v>
      </c>
      <c r="J33" s="134">
        <v>2</v>
      </c>
      <c r="K33" s="134">
        <v>2</v>
      </c>
      <c r="L33" s="134">
        <v>3</v>
      </c>
    </row>
    <row r="34" spans="2:12" x14ac:dyDescent="0.3">
      <c r="B34" s="124" t="s">
        <v>282</v>
      </c>
      <c r="C34" s="131">
        <v>91900</v>
      </c>
      <c r="D34" s="124" t="s">
        <v>281</v>
      </c>
      <c r="E34" s="239">
        <v>550</v>
      </c>
      <c r="F34" s="124" t="s">
        <v>253</v>
      </c>
      <c r="G34" s="124" t="s">
        <v>262</v>
      </c>
      <c r="H34" s="270" t="s">
        <v>259</v>
      </c>
      <c r="I34" s="134">
        <v>6</v>
      </c>
      <c r="J34" s="134">
        <v>2</v>
      </c>
      <c r="K34" s="134">
        <v>2</v>
      </c>
      <c r="L34" s="134">
        <v>3</v>
      </c>
    </row>
    <row r="35" spans="2:12" ht="12.6" customHeight="1" x14ac:dyDescent="0.3">
      <c r="B35" s="124" t="s">
        <v>1870</v>
      </c>
      <c r="C35" s="131">
        <v>68000</v>
      </c>
      <c r="D35" s="124" t="s">
        <v>284</v>
      </c>
      <c r="E35" s="239">
        <v>500</v>
      </c>
      <c r="F35" s="124" t="s">
        <v>253</v>
      </c>
      <c r="G35" s="124" t="s">
        <v>254</v>
      </c>
      <c r="H35" s="271" t="s">
        <v>256</v>
      </c>
      <c r="I35" s="134">
        <v>4</v>
      </c>
      <c r="J35" s="134">
        <v>2</v>
      </c>
      <c r="K35" s="134">
        <v>2</v>
      </c>
      <c r="L35" s="134">
        <v>4</v>
      </c>
    </row>
    <row r="36" spans="2:12" x14ac:dyDescent="0.3">
      <c r="B36" s="124" t="s">
        <v>283</v>
      </c>
      <c r="C36" s="131">
        <v>68900</v>
      </c>
      <c r="D36" s="124" t="s">
        <v>284</v>
      </c>
      <c r="E36" s="239">
        <v>500</v>
      </c>
      <c r="F36" s="124" t="s">
        <v>253</v>
      </c>
      <c r="G36" s="124" t="s">
        <v>254</v>
      </c>
      <c r="H36" s="145">
        <v>0.85</v>
      </c>
      <c r="I36" s="134">
        <v>6</v>
      </c>
      <c r="J36" s="134">
        <v>2</v>
      </c>
      <c r="K36" s="134">
        <v>2</v>
      </c>
      <c r="L36" s="134">
        <v>3</v>
      </c>
    </row>
    <row r="37" spans="2:12" x14ac:dyDescent="0.3">
      <c r="B37" s="124" t="s">
        <v>285</v>
      </c>
      <c r="C37" s="131">
        <v>88000</v>
      </c>
      <c r="D37" s="124" t="s">
        <v>284</v>
      </c>
      <c r="E37" s="239">
        <v>520</v>
      </c>
      <c r="F37" s="124" t="s">
        <v>253</v>
      </c>
      <c r="G37" s="124" t="s">
        <v>254</v>
      </c>
      <c r="H37" s="271" t="s">
        <v>256</v>
      </c>
      <c r="I37" s="134">
        <v>6</v>
      </c>
      <c r="J37" s="134">
        <v>2</v>
      </c>
      <c r="K37" s="134">
        <v>1</v>
      </c>
      <c r="L37" s="134">
        <v>6</v>
      </c>
    </row>
    <row r="38" spans="2:12" x14ac:dyDescent="0.3">
      <c r="B38" s="124" t="s">
        <v>1871</v>
      </c>
      <c r="C38" s="131">
        <v>250000</v>
      </c>
      <c r="D38" s="124" t="s">
        <v>284</v>
      </c>
      <c r="E38" s="239">
        <v>520</v>
      </c>
      <c r="F38" s="124" t="s">
        <v>258</v>
      </c>
      <c r="G38" s="124" t="s">
        <v>254</v>
      </c>
      <c r="H38" s="273" t="s">
        <v>268</v>
      </c>
      <c r="I38" s="134">
        <v>6</v>
      </c>
      <c r="J38" s="134">
        <v>2</v>
      </c>
      <c r="K38" s="134">
        <v>2</v>
      </c>
      <c r="L38" s="134">
        <v>5</v>
      </c>
    </row>
    <row r="39" spans="2:12" x14ac:dyDescent="0.3">
      <c r="B39" s="130" t="s">
        <v>919</v>
      </c>
      <c r="C39" s="131"/>
      <c r="E39" s="239"/>
      <c r="H39" s="134"/>
      <c r="I39" s="134"/>
      <c r="J39" s="134"/>
      <c r="K39" s="134"/>
      <c r="L39" s="134"/>
    </row>
    <row r="40" spans="2:12" x14ac:dyDescent="0.3">
      <c r="B40" s="127" t="s">
        <v>922</v>
      </c>
      <c r="C40" s="131"/>
      <c r="E40" s="239"/>
      <c r="H40" s="134"/>
      <c r="I40" s="134"/>
      <c r="J40" s="134"/>
      <c r="K40" s="134"/>
      <c r="L40" s="134"/>
    </row>
    <row r="41" spans="2:12" x14ac:dyDescent="0.3">
      <c r="B41" s="130" t="s">
        <v>3115</v>
      </c>
      <c r="C41" s="131">
        <v>68000</v>
      </c>
      <c r="D41" s="124" t="s">
        <v>252</v>
      </c>
      <c r="E41" s="239">
        <v>600</v>
      </c>
      <c r="F41" s="124" t="s">
        <v>253</v>
      </c>
      <c r="G41" s="124" t="s">
        <v>254</v>
      </c>
      <c r="H41" s="145">
        <v>0.88</v>
      </c>
      <c r="I41" s="134">
        <v>5</v>
      </c>
      <c r="J41" s="134">
        <v>4</v>
      </c>
      <c r="K41" s="134">
        <v>4</v>
      </c>
      <c r="L41" s="134">
        <v>4</v>
      </c>
    </row>
    <row r="42" spans="2:12" x14ac:dyDescent="0.3">
      <c r="B42" s="124" t="s">
        <v>923</v>
      </c>
      <c r="C42" s="131">
        <v>88000</v>
      </c>
      <c r="D42" s="124" t="s">
        <v>252</v>
      </c>
      <c r="E42" s="239">
        <v>650</v>
      </c>
      <c r="F42" s="124" t="s">
        <v>253</v>
      </c>
      <c r="G42" s="124" t="s">
        <v>254</v>
      </c>
      <c r="H42" s="271" t="s">
        <v>256</v>
      </c>
      <c r="I42" s="134">
        <v>5</v>
      </c>
      <c r="J42" s="134">
        <v>4</v>
      </c>
      <c r="K42" s="134">
        <v>4</v>
      </c>
      <c r="L42" s="134">
        <v>3</v>
      </c>
    </row>
    <row r="43" spans="2:12" x14ac:dyDescent="0.3">
      <c r="B43" s="124" t="s">
        <v>924</v>
      </c>
      <c r="C43" s="131">
        <v>164000</v>
      </c>
      <c r="D43" s="124" t="s">
        <v>252</v>
      </c>
      <c r="E43" s="239">
        <v>650</v>
      </c>
      <c r="F43" s="124" t="s">
        <v>258</v>
      </c>
      <c r="G43" s="124" t="s">
        <v>254</v>
      </c>
      <c r="H43" s="270" t="s">
        <v>259</v>
      </c>
      <c r="I43" s="134">
        <v>9</v>
      </c>
      <c r="J43" s="134">
        <v>4</v>
      </c>
      <c r="K43" s="134">
        <v>4</v>
      </c>
      <c r="L43" s="134">
        <v>6</v>
      </c>
    </row>
    <row r="44" spans="2:12" x14ac:dyDescent="0.3">
      <c r="B44" s="124" t="s">
        <v>1873</v>
      </c>
      <c r="C44" s="131">
        <v>73000</v>
      </c>
      <c r="D44" s="124" t="s">
        <v>261</v>
      </c>
      <c r="E44" s="239">
        <v>600</v>
      </c>
      <c r="F44" s="124" t="s">
        <v>253</v>
      </c>
      <c r="G44" s="124" t="s">
        <v>262</v>
      </c>
      <c r="H44" s="145">
        <v>0.87</v>
      </c>
      <c r="I44" s="134">
        <v>6</v>
      </c>
      <c r="J44" s="134">
        <v>2</v>
      </c>
      <c r="K44" s="134">
        <v>2</v>
      </c>
      <c r="L44" s="134">
        <v>4</v>
      </c>
    </row>
    <row r="45" spans="2:12" x14ac:dyDescent="0.3">
      <c r="B45" s="124" t="s">
        <v>1872</v>
      </c>
      <c r="C45" s="131">
        <v>103000</v>
      </c>
      <c r="D45" s="124" t="s">
        <v>261</v>
      </c>
      <c r="E45" s="239">
        <v>650</v>
      </c>
      <c r="F45" s="124" t="s">
        <v>253</v>
      </c>
      <c r="G45" s="124" t="s">
        <v>262</v>
      </c>
      <c r="H45" s="271" t="s">
        <v>256</v>
      </c>
      <c r="I45" s="134">
        <v>7</v>
      </c>
      <c r="J45" s="134">
        <v>4</v>
      </c>
      <c r="K45" s="134">
        <v>4</v>
      </c>
      <c r="L45" s="134">
        <v>3</v>
      </c>
    </row>
    <row r="46" spans="2:12" x14ac:dyDescent="0.3">
      <c r="B46" s="124" t="s">
        <v>1874</v>
      </c>
      <c r="C46" s="131">
        <v>54600</v>
      </c>
      <c r="D46" s="124" t="s">
        <v>265</v>
      </c>
      <c r="E46" s="239">
        <v>600</v>
      </c>
      <c r="F46" s="124" t="s">
        <v>253</v>
      </c>
      <c r="G46" s="124" t="s">
        <v>262</v>
      </c>
      <c r="H46" s="145">
        <v>0.85</v>
      </c>
      <c r="I46" s="134">
        <v>6</v>
      </c>
      <c r="J46" s="134">
        <v>2</v>
      </c>
      <c r="K46" s="134">
        <v>2</v>
      </c>
      <c r="L46" s="134">
        <v>3</v>
      </c>
    </row>
    <row r="47" spans="2:12" x14ac:dyDescent="0.3">
      <c r="B47" s="124" t="s">
        <v>925</v>
      </c>
      <c r="C47" s="131">
        <v>66000</v>
      </c>
      <c r="D47" s="124" t="s">
        <v>265</v>
      </c>
      <c r="E47" s="239">
        <v>600</v>
      </c>
      <c r="F47" s="124" t="s">
        <v>253</v>
      </c>
      <c r="G47" s="124" t="s">
        <v>262</v>
      </c>
      <c r="H47" s="145">
        <v>0.85</v>
      </c>
      <c r="I47" s="134">
        <v>8</v>
      </c>
      <c r="J47" s="134">
        <v>4</v>
      </c>
      <c r="K47" s="134">
        <v>4</v>
      </c>
      <c r="L47" s="134">
        <v>2</v>
      </c>
    </row>
    <row r="48" spans="2:12" x14ac:dyDescent="0.3">
      <c r="B48" s="124" t="s">
        <v>926</v>
      </c>
      <c r="C48" s="131">
        <v>73000</v>
      </c>
      <c r="D48" s="124" t="s">
        <v>265</v>
      </c>
      <c r="E48" s="239">
        <v>600</v>
      </c>
      <c r="F48" s="124" t="s">
        <v>253</v>
      </c>
      <c r="G48" s="124" t="s">
        <v>262</v>
      </c>
      <c r="H48" s="145">
        <v>0.85</v>
      </c>
      <c r="I48" s="134">
        <v>6</v>
      </c>
      <c r="J48" s="134">
        <v>2</v>
      </c>
      <c r="K48" s="134">
        <v>2</v>
      </c>
      <c r="L48" s="134">
        <v>5</v>
      </c>
    </row>
    <row r="49" spans="2:12" x14ac:dyDescent="0.3">
      <c r="B49" s="124" t="s">
        <v>1875</v>
      </c>
      <c r="C49" s="131">
        <v>76000</v>
      </c>
      <c r="D49" s="124" t="s">
        <v>265</v>
      </c>
      <c r="E49" s="239">
        <v>600</v>
      </c>
      <c r="F49" s="124" t="s">
        <v>253</v>
      </c>
      <c r="G49" s="124" t="s">
        <v>262</v>
      </c>
      <c r="H49" s="271" t="s">
        <v>256</v>
      </c>
      <c r="I49" s="134">
        <v>10</v>
      </c>
      <c r="J49" s="134">
        <v>4</v>
      </c>
      <c r="K49" s="134">
        <v>4</v>
      </c>
      <c r="L49" s="134">
        <v>3</v>
      </c>
    </row>
    <row r="50" spans="2:12" x14ac:dyDescent="0.3">
      <c r="B50" s="124" t="s">
        <v>1876</v>
      </c>
      <c r="C50" s="131">
        <v>76000</v>
      </c>
      <c r="D50" s="124" t="s">
        <v>265</v>
      </c>
      <c r="E50" s="239">
        <v>650</v>
      </c>
      <c r="F50" s="124" t="s">
        <v>271</v>
      </c>
      <c r="G50" s="124" t="s">
        <v>262</v>
      </c>
      <c r="H50" s="145">
        <v>0.85</v>
      </c>
      <c r="I50" s="134">
        <v>9</v>
      </c>
      <c r="J50" s="134">
        <v>4</v>
      </c>
      <c r="K50" s="134">
        <v>4</v>
      </c>
      <c r="L50" s="134">
        <v>4</v>
      </c>
    </row>
    <row r="51" spans="2:12" x14ac:dyDescent="0.3">
      <c r="B51" s="124" t="s">
        <v>1877</v>
      </c>
      <c r="C51" s="131">
        <v>139000</v>
      </c>
      <c r="D51" s="124" t="s">
        <v>265</v>
      </c>
      <c r="E51" s="239">
        <v>650</v>
      </c>
      <c r="F51" s="124" t="s">
        <v>258</v>
      </c>
      <c r="G51" s="124" t="s">
        <v>262</v>
      </c>
      <c r="H51" s="270" t="s">
        <v>259</v>
      </c>
      <c r="I51" s="134">
        <v>10</v>
      </c>
      <c r="J51" s="134">
        <v>4</v>
      </c>
      <c r="K51" s="134">
        <v>4</v>
      </c>
      <c r="L51" s="134">
        <v>5</v>
      </c>
    </row>
    <row r="52" spans="2:12" x14ac:dyDescent="0.3">
      <c r="B52" s="124" t="s">
        <v>927</v>
      </c>
      <c r="C52" s="131">
        <v>150000</v>
      </c>
      <c r="D52" s="124" t="s">
        <v>265</v>
      </c>
      <c r="E52" s="239">
        <v>650</v>
      </c>
      <c r="F52" s="124" t="s">
        <v>271</v>
      </c>
      <c r="G52" s="124" t="s">
        <v>254</v>
      </c>
      <c r="H52" s="273" t="s">
        <v>268</v>
      </c>
      <c r="I52" s="134">
        <v>9</v>
      </c>
      <c r="J52" s="134">
        <v>4</v>
      </c>
      <c r="K52" s="134">
        <v>4</v>
      </c>
      <c r="L52" s="134">
        <v>4</v>
      </c>
    </row>
    <row r="53" spans="2:12" x14ac:dyDescent="0.3">
      <c r="B53" s="124" t="s">
        <v>1880</v>
      </c>
      <c r="C53" s="131">
        <v>49800</v>
      </c>
      <c r="D53" s="124" t="s">
        <v>270</v>
      </c>
      <c r="E53" s="239">
        <v>600</v>
      </c>
      <c r="F53" s="124" t="s">
        <v>253</v>
      </c>
      <c r="G53" s="124" t="s">
        <v>262</v>
      </c>
      <c r="H53" s="145">
        <v>0.85</v>
      </c>
      <c r="I53" s="134">
        <v>6</v>
      </c>
      <c r="J53" s="134">
        <v>2</v>
      </c>
      <c r="K53" s="134">
        <v>2</v>
      </c>
      <c r="L53" s="134">
        <v>4</v>
      </c>
    </row>
    <row r="54" spans="2:12" x14ac:dyDescent="0.3">
      <c r="B54" s="124" t="s">
        <v>928</v>
      </c>
      <c r="C54" s="131">
        <v>78000</v>
      </c>
      <c r="D54" s="124" t="s">
        <v>270</v>
      </c>
      <c r="E54" s="239">
        <v>600</v>
      </c>
      <c r="F54" s="124" t="s">
        <v>253</v>
      </c>
      <c r="G54" s="124" t="s">
        <v>262</v>
      </c>
      <c r="H54" s="272" t="s">
        <v>273</v>
      </c>
      <c r="I54" s="134">
        <v>5</v>
      </c>
      <c r="J54" s="134">
        <v>2</v>
      </c>
      <c r="K54" s="134">
        <v>2</v>
      </c>
      <c r="L54" s="134">
        <v>4</v>
      </c>
    </row>
    <row r="55" spans="2:12" x14ac:dyDescent="0.3">
      <c r="B55" s="124" t="s">
        <v>929</v>
      </c>
      <c r="C55" s="131">
        <v>92000</v>
      </c>
      <c r="D55" s="124" t="s">
        <v>270</v>
      </c>
      <c r="E55" s="239">
        <v>600</v>
      </c>
      <c r="F55" s="124" t="s">
        <v>253</v>
      </c>
      <c r="G55" s="124" t="s">
        <v>262</v>
      </c>
      <c r="H55" s="270" t="s">
        <v>259</v>
      </c>
      <c r="I55" s="134">
        <v>5</v>
      </c>
      <c r="J55" s="134">
        <v>2</v>
      </c>
      <c r="K55" s="134">
        <v>1</v>
      </c>
      <c r="L55" s="134">
        <v>4</v>
      </c>
    </row>
    <row r="56" spans="2:12" x14ac:dyDescent="0.3">
      <c r="B56" s="124" t="s">
        <v>1879</v>
      </c>
      <c r="C56" s="131">
        <v>96800</v>
      </c>
      <c r="D56" s="124" t="s">
        <v>270</v>
      </c>
      <c r="E56" s="239">
        <v>650</v>
      </c>
      <c r="F56" s="124" t="s">
        <v>258</v>
      </c>
      <c r="G56" s="124" t="s">
        <v>262</v>
      </c>
      <c r="H56" s="272" t="s">
        <v>273</v>
      </c>
      <c r="I56" s="134">
        <v>6</v>
      </c>
      <c r="J56" s="134">
        <v>4</v>
      </c>
      <c r="K56" s="134">
        <v>4</v>
      </c>
      <c r="L56" s="134">
        <v>3</v>
      </c>
    </row>
    <row r="57" spans="2:12" x14ac:dyDescent="0.3">
      <c r="B57" s="124" t="s">
        <v>1878</v>
      </c>
      <c r="C57" s="131">
        <v>99000</v>
      </c>
      <c r="D57" s="124" t="s">
        <v>270</v>
      </c>
      <c r="E57" s="239">
        <v>650</v>
      </c>
      <c r="F57" s="124" t="s">
        <v>258</v>
      </c>
      <c r="G57" s="124" t="s">
        <v>262</v>
      </c>
      <c r="H57" s="272" t="s">
        <v>273</v>
      </c>
      <c r="I57" s="134">
        <v>6</v>
      </c>
      <c r="J57" s="134">
        <v>4</v>
      </c>
      <c r="K57" s="134">
        <v>4</v>
      </c>
      <c r="L57" s="134">
        <v>3</v>
      </c>
    </row>
    <row r="58" spans="2:12" x14ac:dyDescent="0.3">
      <c r="B58" s="124" t="s">
        <v>930</v>
      </c>
      <c r="C58" s="131">
        <v>155000</v>
      </c>
      <c r="D58" s="124" t="s">
        <v>270</v>
      </c>
      <c r="E58" s="239">
        <v>650</v>
      </c>
      <c r="F58" s="124" t="s">
        <v>258</v>
      </c>
      <c r="G58" s="124" t="s">
        <v>262</v>
      </c>
      <c r="H58" s="270" t="s">
        <v>259</v>
      </c>
      <c r="I58" s="134">
        <v>8</v>
      </c>
      <c r="J58" s="134">
        <v>2</v>
      </c>
      <c r="K58" s="134">
        <v>2</v>
      </c>
      <c r="L58" s="134">
        <v>4</v>
      </c>
    </row>
    <row r="59" spans="2:12" x14ac:dyDescent="0.3">
      <c r="B59" s="124" t="s">
        <v>931</v>
      </c>
      <c r="C59" s="131">
        <v>76000</v>
      </c>
      <c r="D59" s="124" t="s">
        <v>277</v>
      </c>
      <c r="E59" s="239">
        <v>650</v>
      </c>
      <c r="F59" s="124" t="s">
        <v>253</v>
      </c>
      <c r="G59" s="124" t="s">
        <v>262</v>
      </c>
      <c r="H59" s="271" t="s">
        <v>256</v>
      </c>
      <c r="I59" s="134">
        <v>8</v>
      </c>
      <c r="J59" s="134">
        <v>4</v>
      </c>
      <c r="K59" s="134">
        <v>4</v>
      </c>
      <c r="L59" s="134">
        <v>7</v>
      </c>
    </row>
    <row r="60" spans="2:12" x14ac:dyDescent="0.3">
      <c r="B60" s="124" t="s">
        <v>932</v>
      </c>
      <c r="C60" s="131">
        <v>134870</v>
      </c>
      <c r="D60" s="124" t="s">
        <v>277</v>
      </c>
      <c r="E60" s="239">
        <v>650</v>
      </c>
      <c r="F60" s="124" t="s">
        <v>253</v>
      </c>
      <c r="G60" s="124" t="s">
        <v>262</v>
      </c>
      <c r="H60" s="270" t="s">
        <v>259</v>
      </c>
      <c r="I60" s="134">
        <v>10</v>
      </c>
      <c r="J60" s="134">
        <v>4</v>
      </c>
      <c r="K60" s="134">
        <v>4</v>
      </c>
      <c r="L60" s="134">
        <v>4</v>
      </c>
    </row>
    <row r="61" spans="2:12" x14ac:dyDescent="0.3">
      <c r="B61" s="124" t="s">
        <v>933</v>
      </c>
      <c r="C61" s="131">
        <v>152780</v>
      </c>
      <c r="D61" s="124" t="s">
        <v>277</v>
      </c>
      <c r="E61" s="239">
        <v>650</v>
      </c>
      <c r="F61" s="124" t="s">
        <v>258</v>
      </c>
      <c r="G61" s="124" t="s">
        <v>262</v>
      </c>
      <c r="H61" s="270" t="s">
        <v>259</v>
      </c>
      <c r="I61" s="134">
        <v>10</v>
      </c>
      <c r="J61" s="134">
        <v>4</v>
      </c>
      <c r="K61" s="134">
        <v>4</v>
      </c>
      <c r="L61" s="134">
        <v>6</v>
      </c>
    </row>
    <row r="62" spans="2:12" x14ac:dyDescent="0.3">
      <c r="B62" s="124" t="s">
        <v>1882</v>
      </c>
      <c r="C62" s="131">
        <v>44700</v>
      </c>
      <c r="D62" s="124" t="s">
        <v>281</v>
      </c>
      <c r="E62" s="239">
        <v>600</v>
      </c>
      <c r="F62" s="124" t="s">
        <v>253</v>
      </c>
      <c r="G62" s="124" t="s">
        <v>262</v>
      </c>
      <c r="H62" s="145">
        <v>0.84</v>
      </c>
      <c r="I62" s="134">
        <v>5</v>
      </c>
      <c r="J62" s="134">
        <v>2</v>
      </c>
      <c r="K62" s="134">
        <v>2</v>
      </c>
      <c r="L62" s="134">
        <v>3</v>
      </c>
    </row>
    <row r="63" spans="2:12" x14ac:dyDescent="0.3">
      <c r="B63" s="124" t="s">
        <v>1881</v>
      </c>
      <c r="C63" s="131">
        <v>50000</v>
      </c>
      <c r="D63" s="124" t="s">
        <v>281</v>
      </c>
      <c r="E63" s="239">
        <v>600</v>
      </c>
      <c r="F63" s="124" t="s">
        <v>253</v>
      </c>
      <c r="G63" s="124" t="s">
        <v>262</v>
      </c>
      <c r="H63" s="145">
        <v>0.86</v>
      </c>
      <c r="I63" s="134">
        <v>6</v>
      </c>
      <c r="J63" s="134">
        <v>2</v>
      </c>
      <c r="K63" s="134">
        <v>2</v>
      </c>
      <c r="L63" s="134">
        <v>4</v>
      </c>
    </row>
    <row r="64" spans="2:12" x14ac:dyDescent="0.3">
      <c r="B64" s="124" t="s">
        <v>1884</v>
      </c>
      <c r="C64" s="131">
        <v>50610</v>
      </c>
      <c r="D64" s="124" t="s">
        <v>281</v>
      </c>
      <c r="E64" s="239">
        <v>600</v>
      </c>
      <c r="F64" s="124" t="s">
        <v>253</v>
      </c>
      <c r="G64" s="124" t="s">
        <v>262</v>
      </c>
      <c r="H64" s="145">
        <v>0.84</v>
      </c>
      <c r="I64" s="134">
        <v>5</v>
      </c>
      <c r="J64" s="134">
        <v>2</v>
      </c>
      <c r="K64" s="134">
        <v>2</v>
      </c>
      <c r="L64" s="134">
        <v>3</v>
      </c>
    </row>
    <row r="65" spans="2:12" x14ac:dyDescent="0.3">
      <c r="B65" s="124" t="s">
        <v>934</v>
      </c>
      <c r="C65" s="131">
        <v>70920</v>
      </c>
      <c r="D65" s="124" t="s">
        <v>281</v>
      </c>
      <c r="E65" s="239">
        <v>600</v>
      </c>
      <c r="F65" s="124" t="s">
        <v>253</v>
      </c>
      <c r="G65" s="124" t="s">
        <v>262</v>
      </c>
      <c r="H65" s="271" t="s">
        <v>256</v>
      </c>
      <c r="I65" s="134">
        <v>6</v>
      </c>
      <c r="J65" s="134">
        <v>2</v>
      </c>
      <c r="K65" s="134">
        <v>2</v>
      </c>
      <c r="L65" s="134">
        <v>4</v>
      </c>
    </row>
    <row r="66" spans="2:12" x14ac:dyDescent="0.3">
      <c r="B66" s="124" t="s">
        <v>1883</v>
      </c>
      <c r="C66" s="131">
        <v>75030</v>
      </c>
      <c r="D66" s="124" t="s">
        <v>281</v>
      </c>
      <c r="E66" s="239">
        <v>600</v>
      </c>
      <c r="F66" s="124" t="s">
        <v>253</v>
      </c>
      <c r="G66" s="124" t="s">
        <v>262</v>
      </c>
      <c r="H66" s="145">
        <v>0.87</v>
      </c>
      <c r="I66" s="134">
        <v>6</v>
      </c>
      <c r="J66" s="134">
        <v>2</v>
      </c>
      <c r="K66" s="134">
        <v>2</v>
      </c>
      <c r="L66" s="134">
        <v>4</v>
      </c>
    </row>
    <row r="67" spans="2:12" x14ac:dyDescent="0.3">
      <c r="B67" s="124" t="s">
        <v>935</v>
      </c>
      <c r="C67" s="131">
        <v>76920</v>
      </c>
      <c r="D67" s="124" t="s">
        <v>281</v>
      </c>
      <c r="E67" s="239">
        <v>600</v>
      </c>
      <c r="F67" s="124" t="s">
        <v>253</v>
      </c>
      <c r="G67" s="124" t="s">
        <v>262</v>
      </c>
      <c r="H67" s="271" t="s">
        <v>256</v>
      </c>
      <c r="I67" s="134">
        <v>6</v>
      </c>
      <c r="J67" s="134">
        <v>2</v>
      </c>
      <c r="K67" s="134">
        <v>2</v>
      </c>
      <c r="L67" s="134">
        <v>4</v>
      </c>
    </row>
    <row r="68" spans="2:12" x14ac:dyDescent="0.3">
      <c r="B68" s="124" t="s">
        <v>936</v>
      </c>
      <c r="C68" s="131">
        <v>111900</v>
      </c>
      <c r="D68" s="124" t="s">
        <v>281</v>
      </c>
      <c r="E68" s="239">
        <v>650</v>
      </c>
      <c r="F68" s="124" t="s">
        <v>253</v>
      </c>
      <c r="G68" s="124" t="s">
        <v>262</v>
      </c>
      <c r="H68" s="270" t="s">
        <v>259</v>
      </c>
      <c r="I68" s="134">
        <v>6</v>
      </c>
      <c r="J68" s="134">
        <v>2</v>
      </c>
      <c r="K68" s="134">
        <v>2</v>
      </c>
      <c r="L68" s="134">
        <v>3</v>
      </c>
    </row>
    <row r="69" spans="2:12" x14ac:dyDescent="0.3">
      <c r="B69" s="124" t="s">
        <v>1885</v>
      </c>
      <c r="C69" s="131">
        <v>72000</v>
      </c>
      <c r="D69" s="124" t="s">
        <v>284</v>
      </c>
      <c r="E69" s="239">
        <v>600</v>
      </c>
      <c r="F69" s="124" t="s">
        <v>253</v>
      </c>
      <c r="G69" s="124" t="s">
        <v>254</v>
      </c>
      <c r="H69" s="271" t="s">
        <v>256</v>
      </c>
      <c r="I69" s="134">
        <v>4</v>
      </c>
      <c r="J69" s="134">
        <v>2</v>
      </c>
      <c r="K69" s="134">
        <v>2</v>
      </c>
      <c r="L69" s="134">
        <v>4</v>
      </c>
    </row>
    <row r="70" spans="2:12" x14ac:dyDescent="0.3">
      <c r="B70" s="124" t="s">
        <v>937</v>
      </c>
      <c r="C70" s="131">
        <v>108900</v>
      </c>
      <c r="D70" s="124" t="s">
        <v>284</v>
      </c>
      <c r="E70" s="239">
        <v>620</v>
      </c>
      <c r="F70" s="124" t="s">
        <v>258</v>
      </c>
      <c r="G70" s="124" t="s">
        <v>254</v>
      </c>
      <c r="H70" s="271" t="s">
        <v>256</v>
      </c>
      <c r="I70" s="134">
        <v>8</v>
      </c>
      <c r="J70" s="134">
        <v>4</v>
      </c>
      <c r="K70" s="134">
        <v>4</v>
      </c>
      <c r="L70" s="134">
        <v>5</v>
      </c>
    </row>
    <row r="71" spans="2:12" x14ac:dyDescent="0.3">
      <c r="B71" s="124" t="s">
        <v>938</v>
      </c>
      <c r="C71" s="131">
        <v>113870</v>
      </c>
      <c r="D71" s="124" t="s">
        <v>284</v>
      </c>
      <c r="E71" s="239">
        <v>620</v>
      </c>
      <c r="F71" s="124" t="s">
        <v>253</v>
      </c>
      <c r="G71" s="124" t="s">
        <v>254</v>
      </c>
      <c r="H71" s="271" t="s">
        <v>256</v>
      </c>
      <c r="I71" s="134">
        <v>9</v>
      </c>
      <c r="J71" s="134">
        <v>2</v>
      </c>
      <c r="K71" s="134">
        <v>1</v>
      </c>
      <c r="L71" s="134">
        <v>6</v>
      </c>
    </row>
    <row r="72" spans="2:12" x14ac:dyDescent="0.3">
      <c r="B72" s="124" t="s">
        <v>1886</v>
      </c>
      <c r="C72" s="131">
        <v>211860</v>
      </c>
      <c r="D72" s="124" t="s">
        <v>284</v>
      </c>
      <c r="E72" s="239">
        <v>650</v>
      </c>
      <c r="F72" s="124" t="s">
        <v>258</v>
      </c>
      <c r="G72" s="124" t="s">
        <v>262</v>
      </c>
      <c r="H72" s="270" t="s">
        <v>259</v>
      </c>
      <c r="I72" s="134">
        <v>10</v>
      </c>
      <c r="J72" s="134">
        <v>4</v>
      </c>
      <c r="K72" s="134">
        <v>4</v>
      </c>
      <c r="L72" s="134">
        <v>5</v>
      </c>
    </row>
    <row r="73" spans="2:12" x14ac:dyDescent="0.3">
      <c r="B73" s="124" t="s">
        <v>1887</v>
      </c>
      <c r="C73" s="131">
        <v>247800</v>
      </c>
      <c r="D73" s="124" t="s">
        <v>284</v>
      </c>
      <c r="E73" s="239">
        <v>660</v>
      </c>
      <c r="F73" s="124" t="s">
        <v>258</v>
      </c>
      <c r="G73" s="124" t="s">
        <v>262</v>
      </c>
      <c r="H73" s="273" t="s">
        <v>268</v>
      </c>
      <c r="I73" s="134">
        <v>10</v>
      </c>
      <c r="J73" s="134">
        <v>4</v>
      </c>
      <c r="K73" s="134">
        <v>4</v>
      </c>
      <c r="L73" s="134">
        <v>5</v>
      </c>
    </row>
    <row r="74" spans="2:12" x14ac:dyDescent="0.3">
      <c r="B74" s="130" t="s">
        <v>919</v>
      </c>
      <c r="C74" s="131"/>
      <c r="E74" s="239"/>
      <c r="H74" s="134"/>
      <c r="I74" s="134"/>
      <c r="J74" s="134"/>
      <c r="K74" s="134"/>
      <c r="L74" s="134"/>
    </row>
    <row r="75" spans="2:12" x14ac:dyDescent="0.3">
      <c r="B75" s="127" t="s">
        <v>939</v>
      </c>
      <c r="C75" s="131"/>
      <c r="E75" s="239"/>
      <c r="H75" s="134"/>
      <c r="I75" s="134"/>
      <c r="J75" s="134"/>
      <c r="K75" s="134"/>
      <c r="L75" s="134"/>
    </row>
    <row r="76" spans="2:12" x14ac:dyDescent="0.3">
      <c r="B76" s="130" t="s">
        <v>940</v>
      </c>
      <c r="C76" s="131">
        <v>156910</v>
      </c>
      <c r="D76" s="124" t="s">
        <v>252</v>
      </c>
      <c r="E76" s="239">
        <v>750</v>
      </c>
      <c r="F76" s="124" t="s">
        <v>253</v>
      </c>
      <c r="G76" s="124" t="s">
        <v>254</v>
      </c>
      <c r="H76" s="270" t="s">
        <v>259</v>
      </c>
      <c r="I76" s="134">
        <v>9</v>
      </c>
      <c r="J76" s="134">
        <v>6</v>
      </c>
      <c r="K76" s="134">
        <v>6</v>
      </c>
      <c r="L76" s="134">
        <v>6</v>
      </c>
    </row>
    <row r="77" spans="2:12" x14ac:dyDescent="0.3">
      <c r="B77" s="124" t="s">
        <v>3125</v>
      </c>
      <c r="C77" s="131">
        <v>183800</v>
      </c>
      <c r="D77" s="124" t="s">
        <v>252</v>
      </c>
      <c r="E77" s="239">
        <v>750</v>
      </c>
      <c r="F77" s="124" t="s">
        <v>258</v>
      </c>
      <c r="G77" s="124" t="s">
        <v>254</v>
      </c>
      <c r="H77" s="270" t="s">
        <v>259</v>
      </c>
      <c r="I77" s="134">
        <v>9</v>
      </c>
      <c r="J77" s="134">
        <v>6</v>
      </c>
      <c r="K77" s="134">
        <v>6</v>
      </c>
      <c r="L77" s="134">
        <v>6</v>
      </c>
    </row>
    <row r="78" spans="2:12" x14ac:dyDescent="0.3">
      <c r="B78" s="124" t="s">
        <v>3118</v>
      </c>
      <c r="C78" s="131">
        <v>84950</v>
      </c>
      <c r="D78" s="124" t="s">
        <v>261</v>
      </c>
      <c r="E78" s="239">
        <v>700</v>
      </c>
      <c r="F78" s="124" t="s">
        <v>253</v>
      </c>
      <c r="G78" s="124" t="s">
        <v>262</v>
      </c>
      <c r="H78" s="145">
        <v>0.87</v>
      </c>
      <c r="I78" s="134">
        <v>8</v>
      </c>
      <c r="J78" s="134">
        <v>4</v>
      </c>
      <c r="K78" s="134">
        <v>4</v>
      </c>
      <c r="L78" s="134">
        <v>4</v>
      </c>
    </row>
    <row r="79" spans="2:12" x14ac:dyDescent="0.3">
      <c r="B79" s="124" t="s">
        <v>1889</v>
      </c>
      <c r="C79" s="131">
        <v>136000</v>
      </c>
      <c r="D79" s="124" t="s">
        <v>261</v>
      </c>
      <c r="E79" s="239">
        <v>700</v>
      </c>
      <c r="F79" s="124" t="s">
        <v>271</v>
      </c>
      <c r="G79" s="124" t="s">
        <v>254</v>
      </c>
      <c r="H79" s="271" t="s">
        <v>256</v>
      </c>
      <c r="I79" s="134">
        <v>9</v>
      </c>
      <c r="J79" s="134">
        <v>4</v>
      </c>
      <c r="K79" s="134">
        <v>4</v>
      </c>
      <c r="L79" s="134">
        <v>5</v>
      </c>
    </row>
    <row r="80" spans="2:12" x14ac:dyDescent="0.3">
      <c r="B80" s="124" t="s">
        <v>941</v>
      </c>
      <c r="C80" s="131">
        <v>84000</v>
      </c>
      <c r="D80" s="124" t="s">
        <v>265</v>
      </c>
      <c r="E80" s="239">
        <v>700</v>
      </c>
      <c r="F80" s="124" t="s">
        <v>253</v>
      </c>
      <c r="G80" s="124" t="s">
        <v>262</v>
      </c>
      <c r="H80" s="145">
        <v>0.85</v>
      </c>
      <c r="I80" s="134">
        <v>8</v>
      </c>
      <c r="J80" s="134">
        <v>4</v>
      </c>
      <c r="K80" s="134">
        <v>4</v>
      </c>
      <c r="L80" s="134">
        <v>2</v>
      </c>
    </row>
    <row r="81" spans="2:12" x14ac:dyDescent="0.3">
      <c r="B81" s="124" t="s">
        <v>1890</v>
      </c>
      <c r="C81" s="131">
        <v>90000</v>
      </c>
      <c r="D81" s="124" t="s">
        <v>265</v>
      </c>
      <c r="E81" s="239">
        <v>700</v>
      </c>
      <c r="F81" s="124" t="s">
        <v>271</v>
      </c>
      <c r="G81" s="124" t="s">
        <v>262</v>
      </c>
      <c r="H81" s="145">
        <v>0.85</v>
      </c>
      <c r="I81" s="134">
        <v>9</v>
      </c>
      <c r="J81" s="134">
        <v>4</v>
      </c>
      <c r="K81" s="134">
        <v>4</v>
      </c>
      <c r="L81" s="134">
        <v>4</v>
      </c>
    </row>
    <row r="82" spans="2:12" x14ac:dyDescent="0.3">
      <c r="B82" s="124" t="s">
        <v>1891</v>
      </c>
      <c r="C82" s="131">
        <v>94000</v>
      </c>
      <c r="D82" s="124" t="s">
        <v>265</v>
      </c>
      <c r="E82" s="239">
        <v>700</v>
      </c>
      <c r="F82" s="124" t="s">
        <v>253</v>
      </c>
      <c r="G82" s="124" t="s">
        <v>262</v>
      </c>
      <c r="H82" s="145">
        <v>0.85</v>
      </c>
      <c r="I82" s="134">
        <v>6</v>
      </c>
      <c r="J82" s="134">
        <v>4</v>
      </c>
      <c r="K82" s="134">
        <v>4</v>
      </c>
      <c r="L82" s="134">
        <v>5</v>
      </c>
    </row>
    <row r="83" spans="2:12" x14ac:dyDescent="0.3">
      <c r="B83" s="124" t="s">
        <v>1892</v>
      </c>
      <c r="C83" s="131">
        <v>159000</v>
      </c>
      <c r="D83" s="124" t="s">
        <v>265</v>
      </c>
      <c r="E83" s="239">
        <v>750</v>
      </c>
      <c r="F83" s="124" t="s">
        <v>258</v>
      </c>
      <c r="G83" s="124" t="s">
        <v>262</v>
      </c>
      <c r="H83" s="270" t="s">
        <v>259</v>
      </c>
      <c r="I83" s="134">
        <v>12</v>
      </c>
      <c r="J83" s="134">
        <v>4</v>
      </c>
      <c r="K83" s="134">
        <v>4</v>
      </c>
      <c r="L83" s="134">
        <v>6</v>
      </c>
    </row>
    <row r="84" spans="2:12" x14ac:dyDescent="0.3">
      <c r="B84" s="124" t="s">
        <v>3117</v>
      </c>
      <c r="C84" s="131">
        <v>62000</v>
      </c>
      <c r="D84" s="124" t="s">
        <v>270</v>
      </c>
      <c r="E84" s="239">
        <v>700</v>
      </c>
      <c r="F84" s="124" t="s">
        <v>253</v>
      </c>
      <c r="G84" s="124" t="s">
        <v>262</v>
      </c>
      <c r="H84" s="145">
        <v>0.85</v>
      </c>
      <c r="I84" s="134">
        <v>6</v>
      </c>
      <c r="J84" s="134">
        <v>4</v>
      </c>
      <c r="K84" s="134">
        <v>4</v>
      </c>
      <c r="L84" s="134">
        <v>4</v>
      </c>
    </row>
    <row r="85" spans="2:12" x14ac:dyDescent="0.3">
      <c r="B85" s="124" t="s">
        <v>3124</v>
      </c>
      <c r="C85" s="131">
        <v>185000</v>
      </c>
      <c r="D85" s="124" t="s">
        <v>270</v>
      </c>
      <c r="E85" s="239">
        <v>750</v>
      </c>
      <c r="F85" s="124" t="s">
        <v>258</v>
      </c>
      <c r="G85" s="124" t="s">
        <v>262</v>
      </c>
      <c r="H85" s="270" t="s">
        <v>259</v>
      </c>
      <c r="I85" s="134">
        <v>10</v>
      </c>
      <c r="J85" s="134">
        <v>4</v>
      </c>
      <c r="K85" s="134">
        <v>4</v>
      </c>
      <c r="L85" s="134">
        <v>5</v>
      </c>
    </row>
    <row r="86" spans="2:12" x14ac:dyDescent="0.3">
      <c r="B86" s="124" t="s">
        <v>942</v>
      </c>
      <c r="C86" s="131">
        <v>189000</v>
      </c>
      <c r="D86" s="124" t="s">
        <v>270</v>
      </c>
      <c r="E86" s="239">
        <v>750</v>
      </c>
      <c r="F86" s="124" t="s">
        <v>258</v>
      </c>
      <c r="G86" s="124" t="s">
        <v>262</v>
      </c>
      <c r="H86" s="270" t="s">
        <v>259</v>
      </c>
      <c r="I86" s="134">
        <v>10</v>
      </c>
      <c r="J86" s="134">
        <v>4</v>
      </c>
      <c r="K86" s="134">
        <v>4</v>
      </c>
      <c r="L86" s="134">
        <v>5</v>
      </c>
    </row>
    <row r="87" spans="2:12" x14ac:dyDescent="0.3">
      <c r="B87" s="124" t="s">
        <v>943</v>
      </c>
      <c r="C87" s="131">
        <v>149000</v>
      </c>
      <c r="D87" s="124" t="s">
        <v>277</v>
      </c>
      <c r="E87" s="239">
        <v>750</v>
      </c>
      <c r="F87" s="124" t="s">
        <v>253</v>
      </c>
      <c r="G87" s="124" t="s">
        <v>262</v>
      </c>
      <c r="H87" s="270" t="s">
        <v>259</v>
      </c>
      <c r="I87" s="134">
        <v>10</v>
      </c>
      <c r="J87" s="134">
        <v>4</v>
      </c>
      <c r="K87" s="134">
        <v>4</v>
      </c>
      <c r="L87" s="134">
        <v>4</v>
      </c>
    </row>
    <row r="88" spans="2:12" x14ac:dyDescent="0.3">
      <c r="B88" s="124" t="s">
        <v>944</v>
      </c>
      <c r="C88" s="131">
        <v>175330</v>
      </c>
      <c r="D88" s="124" t="s">
        <v>277</v>
      </c>
      <c r="E88" s="239">
        <v>750</v>
      </c>
      <c r="F88" s="124" t="s">
        <v>258</v>
      </c>
      <c r="G88" s="124" t="s">
        <v>262</v>
      </c>
      <c r="H88" s="270" t="s">
        <v>259</v>
      </c>
      <c r="I88" s="134">
        <v>10</v>
      </c>
      <c r="J88" s="134">
        <v>6</v>
      </c>
      <c r="K88" s="134">
        <v>6</v>
      </c>
      <c r="L88" s="134">
        <v>6</v>
      </c>
    </row>
    <row r="89" spans="2:12" x14ac:dyDescent="0.3">
      <c r="B89" s="124" t="s">
        <v>1894</v>
      </c>
      <c r="C89" s="131">
        <v>64800</v>
      </c>
      <c r="D89" s="124" t="s">
        <v>281</v>
      </c>
      <c r="E89" s="239">
        <v>700</v>
      </c>
      <c r="F89" s="124" t="s">
        <v>253</v>
      </c>
      <c r="G89" s="124" t="s">
        <v>262</v>
      </c>
      <c r="H89" s="145">
        <v>0.86</v>
      </c>
      <c r="I89" s="134">
        <v>6</v>
      </c>
      <c r="J89" s="134">
        <v>4</v>
      </c>
      <c r="K89" s="134">
        <v>4</v>
      </c>
      <c r="L89" s="134">
        <v>4</v>
      </c>
    </row>
    <row r="90" spans="2:12" x14ac:dyDescent="0.3">
      <c r="B90" s="124" t="s">
        <v>945</v>
      </c>
      <c r="C90" s="131">
        <v>85000</v>
      </c>
      <c r="D90" s="124" t="s">
        <v>281</v>
      </c>
      <c r="E90" s="239">
        <v>700</v>
      </c>
      <c r="F90" s="124" t="s">
        <v>253</v>
      </c>
      <c r="G90" s="124" t="s">
        <v>262</v>
      </c>
      <c r="H90" s="271" t="s">
        <v>256</v>
      </c>
      <c r="I90" s="134">
        <v>6</v>
      </c>
      <c r="J90" s="134">
        <v>2</v>
      </c>
      <c r="K90" s="134">
        <v>2</v>
      </c>
      <c r="L90" s="134">
        <v>4</v>
      </c>
    </row>
    <row r="91" spans="2:12" x14ac:dyDescent="0.3">
      <c r="B91" s="124" t="s">
        <v>1893</v>
      </c>
      <c r="C91" s="131">
        <v>86000</v>
      </c>
      <c r="D91" s="124" t="s">
        <v>281</v>
      </c>
      <c r="E91" s="239">
        <v>700</v>
      </c>
      <c r="F91" s="124" t="s">
        <v>253</v>
      </c>
      <c r="G91" s="124" t="s">
        <v>262</v>
      </c>
      <c r="H91" s="145">
        <v>0.87</v>
      </c>
      <c r="I91" s="134">
        <v>6</v>
      </c>
      <c r="J91" s="134">
        <v>4</v>
      </c>
      <c r="K91" s="134">
        <v>4</v>
      </c>
      <c r="L91" s="134">
        <v>4</v>
      </c>
    </row>
    <row r="92" spans="2:12" x14ac:dyDescent="0.3">
      <c r="B92" s="124" t="s">
        <v>946</v>
      </c>
      <c r="C92" s="131">
        <v>90910</v>
      </c>
      <c r="D92" s="124" t="s">
        <v>281</v>
      </c>
      <c r="E92" s="239">
        <v>700</v>
      </c>
      <c r="F92" s="124" t="s">
        <v>253</v>
      </c>
      <c r="G92" s="124" t="s">
        <v>262</v>
      </c>
      <c r="H92" s="271" t="s">
        <v>256</v>
      </c>
      <c r="I92" s="134">
        <v>6</v>
      </c>
      <c r="J92" s="134">
        <v>2</v>
      </c>
      <c r="K92" s="134">
        <v>2</v>
      </c>
      <c r="L92" s="134">
        <v>4</v>
      </c>
    </row>
    <row r="93" spans="2:12" x14ac:dyDescent="0.3">
      <c r="B93" s="124" t="s">
        <v>947</v>
      </c>
      <c r="C93" s="131">
        <v>141490</v>
      </c>
      <c r="D93" s="124" t="s">
        <v>281</v>
      </c>
      <c r="E93" s="239">
        <v>750</v>
      </c>
      <c r="F93" s="124" t="s">
        <v>253</v>
      </c>
      <c r="G93" s="124" t="s">
        <v>262</v>
      </c>
      <c r="H93" s="270" t="s">
        <v>259</v>
      </c>
      <c r="I93" s="134">
        <v>6</v>
      </c>
      <c r="J93" s="134">
        <v>4</v>
      </c>
      <c r="K93" s="134">
        <v>4</v>
      </c>
      <c r="L93" s="134">
        <v>4</v>
      </c>
    </row>
    <row r="94" spans="2:12" x14ac:dyDescent="0.3">
      <c r="B94" s="124" t="s">
        <v>948</v>
      </c>
      <c r="C94" s="131">
        <v>255900</v>
      </c>
      <c r="D94" s="124" t="s">
        <v>284</v>
      </c>
      <c r="E94" s="239">
        <v>750</v>
      </c>
      <c r="F94" s="124" t="s">
        <v>258</v>
      </c>
      <c r="G94" s="124" t="s">
        <v>262</v>
      </c>
      <c r="H94" s="270" t="s">
        <v>259</v>
      </c>
      <c r="I94" s="134">
        <v>10</v>
      </c>
      <c r="J94" s="134">
        <v>4</v>
      </c>
      <c r="K94" s="134">
        <v>4</v>
      </c>
      <c r="L94" s="134">
        <v>5</v>
      </c>
    </row>
    <row r="95" spans="2:12" x14ac:dyDescent="0.3">
      <c r="B95" s="130" t="s">
        <v>919</v>
      </c>
      <c r="C95" s="131"/>
      <c r="E95" s="239"/>
      <c r="H95" s="134"/>
      <c r="I95" s="134"/>
      <c r="J95" s="134"/>
      <c r="K95" s="134"/>
      <c r="L95" s="134"/>
    </row>
    <row r="96" spans="2:12" x14ac:dyDescent="0.3">
      <c r="B96" s="127" t="s">
        <v>1888</v>
      </c>
      <c r="C96" s="131"/>
      <c r="E96" s="239"/>
      <c r="H96" s="134"/>
      <c r="I96" s="134"/>
      <c r="J96" s="134"/>
      <c r="K96" s="134"/>
      <c r="L96" s="134"/>
    </row>
    <row r="97" spans="2:12" x14ac:dyDescent="0.3">
      <c r="B97" s="124" t="s">
        <v>949</v>
      </c>
      <c r="C97" s="131">
        <v>196880</v>
      </c>
      <c r="D97" s="124" t="s">
        <v>252</v>
      </c>
      <c r="E97" s="239">
        <v>850</v>
      </c>
      <c r="F97" s="124" t="s">
        <v>271</v>
      </c>
      <c r="G97" s="124" t="s">
        <v>254</v>
      </c>
      <c r="H97" s="271" t="s">
        <v>256</v>
      </c>
      <c r="I97" s="134">
        <v>9</v>
      </c>
      <c r="J97" s="134">
        <v>4</v>
      </c>
      <c r="K97" s="134">
        <v>4</v>
      </c>
      <c r="L97" s="134">
        <v>6</v>
      </c>
    </row>
    <row r="98" spans="2:12" x14ac:dyDescent="0.3">
      <c r="B98" s="124" t="s">
        <v>1895</v>
      </c>
      <c r="C98" s="131">
        <v>179000</v>
      </c>
      <c r="D98" s="124" t="s">
        <v>265</v>
      </c>
      <c r="E98" s="239">
        <v>850</v>
      </c>
      <c r="F98" s="124" t="s">
        <v>258</v>
      </c>
      <c r="G98" s="124" t="s">
        <v>262</v>
      </c>
      <c r="H98" s="270" t="s">
        <v>259</v>
      </c>
      <c r="I98" s="134">
        <v>12</v>
      </c>
      <c r="J98" s="134">
        <v>6</v>
      </c>
      <c r="K98" s="134">
        <v>6</v>
      </c>
      <c r="L98" s="134">
        <v>6</v>
      </c>
    </row>
    <row r="99" spans="2:12" x14ac:dyDescent="0.3">
      <c r="B99" s="124" t="s">
        <v>950</v>
      </c>
      <c r="C99" s="131">
        <v>200000</v>
      </c>
      <c r="D99" s="124" t="s">
        <v>265</v>
      </c>
      <c r="E99" s="239">
        <v>850</v>
      </c>
      <c r="F99" s="124" t="s">
        <v>271</v>
      </c>
      <c r="G99" s="124" t="s">
        <v>262</v>
      </c>
      <c r="H99" s="270" t="s">
        <v>259</v>
      </c>
      <c r="I99" s="134">
        <v>10</v>
      </c>
      <c r="J99" s="134">
        <v>8</v>
      </c>
      <c r="K99" s="134">
        <v>8</v>
      </c>
      <c r="L99" s="134">
        <v>6</v>
      </c>
    </row>
    <row r="100" spans="2:12" x14ac:dyDescent="0.3">
      <c r="B100" s="124" t="s">
        <v>951</v>
      </c>
      <c r="C100" s="131">
        <v>230000</v>
      </c>
      <c r="D100" s="124" t="s">
        <v>265</v>
      </c>
      <c r="E100" s="239">
        <v>850</v>
      </c>
      <c r="F100" s="124" t="s">
        <v>258</v>
      </c>
      <c r="G100" s="124" t="s">
        <v>262</v>
      </c>
      <c r="H100" s="273" t="s">
        <v>268</v>
      </c>
      <c r="I100" s="134">
        <v>13</v>
      </c>
      <c r="J100" s="134">
        <v>8</v>
      </c>
      <c r="K100" s="134">
        <v>8</v>
      </c>
      <c r="L100" s="134">
        <v>6</v>
      </c>
    </row>
    <row r="101" spans="2:12" x14ac:dyDescent="0.3">
      <c r="B101" s="124" t="s">
        <v>3123</v>
      </c>
      <c r="C101" s="131">
        <v>229000</v>
      </c>
      <c r="D101" s="124" t="s">
        <v>270</v>
      </c>
      <c r="E101" s="239">
        <v>850</v>
      </c>
      <c r="F101" s="124" t="s">
        <v>258</v>
      </c>
      <c r="G101" s="124" t="s">
        <v>262</v>
      </c>
      <c r="H101" s="273" t="s">
        <v>268</v>
      </c>
      <c r="I101" s="134">
        <v>10</v>
      </c>
      <c r="J101" s="134">
        <v>4</v>
      </c>
      <c r="K101" s="134">
        <v>4</v>
      </c>
      <c r="L101" s="134">
        <v>5</v>
      </c>
    </row>
    <row r="102" spans="2:12" x14ac:dyDescent="0.3">
      <c r="B102" s="124" t="s">
        <v>952</v>
      </c>
      <c r="C102" s="131">
        <v>140000</v>
      </c>
      <c r="D102" s="124" t="s">
        <v>277</v>
      </c>
      <c r="E102" s="239">
        <v>850</v>
      </c>
      <c r="F102" s="124" t="s">
        <v>253</v>
      </c>
      <c r="G102" s="124" t="s">
        <v>262</v>
      </c>
      <c r="H102" s="271" t="s">
        <v>256</v>
      </c>
      <c r="I102" s="134">
        <v>11</v>
      </c>
      <c r="J102" s="134">
        <v>4</v>
      </c>
      <c r="K102" s="134">
        <v>4</v>
      </c>
      <c r="L102" s="134">
        <v>7</v>
      </c>
    </row>
    <row r="103" spans="2:12" x14ac:dyDescent="0.3">
      <c r="B103" s="124" t="s">
        <v>953</v>
      </c>
      <c r="C103" s="131">
        <v>234000</v>
      </c>
      <c r="D103" s="124" t="s">
        <v>277</v>
      </c>
      <c r="E103" s="239">
        <v>850</v>
      </c>
      <c r="F103" s="124" t="s">
        <v>258</v>
      </c>
      <c r="G103" s="124" t="s">
        <v>262</v>
      </c>
      <c r="H103" s="270" t="s">
        <v>259</v>
      </c>
      <c r="I103" s="134">
        <v>10</v>
      </c>
      <c r="J103" s="134">
        <v>6</v>
      </c>
      <c r="K103" s="134">
        <v>6</v>
      </c>
      <c r="L103" s="134">
        <v>5</v>
      </c>
    </row>
    <row r="104" spans="2:12" x14ac:dyDescent="0.3">
      <c r="B104" s="124" t="s">
        <v>954</v>
      </c>
      <c r="C104" s="131">
        <v>134870</v>
      </c>
      <c r="D104" s="124" t="s">
        <v>281</v>
      </c>
      <c r="E104" s="239">
        <v>850</v>
      </c>
      <c r="F104" s="124" t="s">
        <v>271</v>
      </c>
      <c r="G104" s="124" t="s">
        <v>262</v>
      </c>
      <c r="H104" s="271" t="s">
        <v>256</v>
      </c>
      <c r="I104" s="134">
        <v>10</v>
      </c>
      <c r="J104" s="134">
        <v>6</v>
      </c>
      <c r="K104" s="134">
        <v>6</v>
      </c>
      <c r="L104" s="134">
        <v>5</v>
      </c>
    </row>
    <row r="105" spans="2:12" x14ac:dyDescent="0.3">
      <c r="B105" s="124" t="s">
        <v>955</v>
      </c>
      <c r="C105" s="131">
        <v>298370</v>
      </c>
      <c r="D105" s="124" t="s">
        <v>284</v>
      </c>
      <c r="E105" s="239">
        <v>850</v>
      </c>
      <c r="F105" s="124" t="s">
        <v>258</v>
      </c>
      <c r="G105" s="124" t="s">
        <v>262</v>
      </c>
      <c r="H105" s="270" t="s">
        <v>259</v>
      </c>
      <c r="I105" s="134">
        <v>10</v>
      </c>
      <c r="J105" s="134">
        <v>6</v>
      </c>
      <c r="K105" s="134">
        <v>6</v>
      </c>
      <c r="L105" s="134">
        <v>5</v>
      </c>
    </row>
    <row r="106" spans="2:12" x14ac:dyDescent="0.3">
      <c r="B106" s="130" t="s">
        <v>918</v>
      </c>
      <c r="C106" s="131"/>
      <c r="E106" s="239"/>
      <c r="H106" s="134"/>
      <c r="I106" s="134"/>
      <c r="J106" s="134"/>
      <c r="K106" s="134"/>
      <c r="L106" s="134"/>
    </row>
    <row r="107" spans="2:12" x14ac:dyDescent="0.3">
      <c r="B107" s="127" t="s">
        <v>956</v>
      </c>
      <c r="C107" s="131"/>
      <c r="E107" s="239"/>
      <c r="H107" s="134"/>
      <c r="I107" s="134"/>
      <c r="J107" s="134"/>
      <c r="K107" s="134"/>
      <c r="L107" s="134"/>
    </row>
    <row r="108" spans="2:12" x14ac:dyDescent="0.3">
      <c r="B108" s="124" t="s">
        <v>957</v>
      </c>
      <c r="C108" s="131">
        <v>369590</v>
      </c>
      <c r="D108" s="124" t="s">
        <v>252</v>
      </c>
      <c r="E108" s="239">
        <v>1000</v>
      </c>
      <c r="F108" s="124" t="s">
        <v>258</v>
      </c>
      <c r="G108" s="124" t="s">
        <v>254</v>
      </c>
      <c r="H108" s="273" t="s">
        <v>268</v>
      </c>
      <c r="I108" s="134">
        <v>9</v>
      </c>
      <c r="J108" s="134">
        <v>6</v>
      </c>
      <c r="K108" s="134">
        <v>6</v>
      </c>
      <c r="L108" s="134">
        <v>6</v>
      </c>
    </row>
    <row r="109" spans="2:12" x14ac:dyDescent="0.3">
      <c r="B109" s="124" t="s">
        <v>958</v>
      </c>
      <c r="C109" s="131">
        <v>445900</v>
      </c>
      <c r="D109" s="124" t="s">
        <v>252</v>
      </c>
      <c r="E109" s="239">
        <v>1300</v>
      </c>
      <c r="F109" s="124" t="s">
        <v>258</v>
      </c>
      <c r="G109" s="124" t="s">
        <v>254</v>
      </c>
      <c r="H109" s="273" t="s">
        <v>268</v>
      </c>
      <c r="I109" s="134">
        <v>9</v>
      </c>
      <c r="J109" s="134">
        <v>10</v>
      </c>
      <c r="K109" s="134">
        <v>10</v>
      </c>
      <c r="L109" s="134">
        <v>6</v>
      </c>
    </row>
    <row r="110" spans="2:12" x14ac:dyDescent="0.3">
      <c r="B110" s="124" t="s">
        <v>1901</v>
      </c>
      <c r="C110" s="131">
        <v>250000</v>
      </c>
      <c r="D110" s="124" t="s">
        <v>142</v>
      </c>
      <c r="E110" s="239">
        <v>1000</v>
      </c>
      <c r="F110" s="124" t="s">
        <v>258</v>
      </c>
      <c r="G110" s="124" t="s">
        <v>1903</v>
      </c>
      <c r="H110" s="270" t="s">
        <v>259</v>
      </c>
      <c r="I110" s="134">
        <v>11</v>
      </c>
      <c r="J110" s="134">
        <v>8</v>
      </c>
      <c r="K110" s="134">
        <v>8</v>
      </c>
      <c r="L110" s="134">
        <v>12</v>
      </c>
    </row>
    <row r="111" spans="2:12" x14ac:dyDescent="0.3">
      <c r="B111" s="124" t="s">
        <v>1902</v>
      </c>
      <c r="C111" s="131">
        <v>289000</v>
      </c>
      <c r="D111" s="124" t="s">
        <v>142</v>
      </c>
      <c r="E111" s="239">
        <v>1000</v>
      </c>
      <c r="F111" s="124" t="s">
        <v>258</v>
      </c>
      <c r="G111" s="124" t="s">
        <v>1904</v>
      </c>
      <c r="H111" s="270" t="s">
        <v>259</v>
      </c>
      <c r="I111" s="134">
        <v>12</v>
      </c>
      <c r="J111" s="134">
        <v>8</v>
      </c>
      <c r="K111" s="134">
        <v>8</v>
      </c>
      <c r="L111" s="134">
        <v>11</v>
      </c>
    </row>
    <row r="112" spans="2:12" x14ac:dyDescent="0.3">
      <c r="B112" s="124" t="s">
        <v>959</v>
      </c>
      <c r="C112" s="131">
        <v>344000</v>
      </c>
      <c r="D112" s="124" t="s">
        <v>142</v>
      </c>
      <c r="E112" s="239">
        <v>1000</v>
      </c>
      <c r="F112" s="124" t="s">
        <v>258</v>
      </c>
      <c r="G112" s="124" t="s">
        <v>262</v>
      </c>
      <c r="H112" s="273" t="s">
        <v>268</v>
      </c>
      <c r="I112" s="134">
        <v>12</v>
      </c>
      <c r="J112" s="134">
        <v>8</v>
      </c>
      <c r="K112" s="134">
        <v>8</v>
      </c>
      <c r="L112" s="134">
        <v>12</v>
      </c>
    </row>
    <row r="113" spans="2:12" x14ac:dyDescent="0.3">
      <c r="B113" s="124" t="s">
        <v>960</v>
      </c>
      <c r="C113" s="131">
        <v>383000</v>
      </c>
      <c r="D113" s="124" t="s">
        <v>142</v>
      </c>
      <c r="E113" s="239">
        <v>1200</v>
      </c>
      <c r="F113" s="124" t="s">
        <v>258</v>
      </c>
      <c r="G113" s="124" t="s">
        <v>262</v>
      </c>
      <c r="H113" s="273" t="s">
        <v>268</v>
      </c>
      <c r="I113" s="134">
        <v>16</v>
      </c>
      <c r="J113" s="134">
        <v>8</v>
      </c>
      <c r="K113" s="134">
        <v>8</v>
      </c>
      <c r="L113" s="134">
        <v>12</v>
      </c>
    </row>
    <row r="114" spans="2:12" x14ac:dyDescent="0.3">
      <c r="B114" s="124" t="s">
        <v>961</v>
      </c>
      <c r="C114" s="131">
        <v>479000</v>
      </c>
      <c r="D114" s="124" t="s">
        <v>142</v>
      </c>
      <c r="E114" s="239">
        <v>1200</v>
      </c>
      <c r="F114" s="124" t="s">
        <v>258</v>
      </c>
      <c r="G114" s="124" t="s">
        <v>262</v>
      </c>
      <c r="H114" s="273" t="s">
        <v>268</v>
      </c>
      <c r="I114" s="134">
        <v>16</v>
      </c>
      <c r="J114" s="134">
        <v>6</v>
      </c>
      <c r="K114" s="134">
        <v>6</v>
      </c>
      <c r="L114" s="134">
        <v>12</v>
      </c>
    </row>
    <row r="115" spans="2:12" x14ac:dyDescent="0.3">
      <c r="B115" s="124" t="s">
        <v>962</v>
      </c>
      <c r="C115" s="131">
        <v>655000</v>
      </c>
      <c r="D115" s="124" t="s">
        <v>142</v>
      </c>
      <c r="E115" s="239">
        <v>1500</v>
      </c>
      <c r="F115" s="124" t="s">
        <v>258</v>
      </c>
      <c r="G115" s="124" t="s">
        <v>262</v>
      </c>
      <c r="H115" s="274" t="s">
        <v>1906</v>
      </c>
      <c r="I115" s="134">
        <v>20</v>
      </c>
      <c r="J115" s="134">
        <v>10</v>
      </c>
      <c r="K115" s="134">
        <v>10</v>
      </c>
      <c r="L115" s="134">
        <v>12</v>
      </c>
    </row>
    <row r="116" spans="2:12" x14ac:dyDescent="0.3">
      <c r="B116" s="124" t="s">
        <v>963</v>
      </c>
      <c r="C116" s="131">
        <v>225000</v>
      </c>
      <c r="D116" s="124" t="s">
        <v>265</v>
      </c>
      <c r="E116" s="239">
        <v>1000</v>
      </c>
      <c r="F116" s="124" t="s">
        <v>271</v>
      </c>
      <c r="G116" s="124" t="s">
        <v>262</v>
      </c>
      <c r="H116" s="270" t="s">
        <v>259</v>
      </c>
      <c r="I116" s="134">
        <v>10</v>
      </c>
      <c r="J116" s="134">
        <v>8</v>
      </c>
      <c r="K116" s="134">
        <v>8</v>
      </c>
      <c r="L116" s="134">
        <v>6</v>
      </c>
    </row>
    <row r="117" spans="2:12" x14ac:dyDescent="0.3">
      <c r="B117" s="124" t="s">
        <v>965</v>
      </c>
      <c r="C117" s="131">
        <v>260000</v>
      </c>
      <c r="D117" s="124" t="s">
        <v>265</v>
      </c>
      <c r="E117" s="239">
        <v>1000</v>
      </c>
      <c r="F117" s="124" t="s">
        <v>258</v>
      </c>
      <c r="G117" s="124" t="s">
        <v>262</v>
      </c>
      <c r="H117" s="273" t="s">
        <v>268</v>
      </c>
      <c r="I117" s="134">
        <v>13</v>
      </c>
      <c r="J117" s="134">
        <v>8</v>
      </c>
      <c r="K117" s="134">
        <v>8</v>
      </c>
      <c r="L117" s="134">
        <v>6</v>
      </c>
    </row>
    <row r="118" spans="2:12" x14ac:dyDescent="0.3">
      <c r="B118" s="124" t="s">
        <v>964</v>
      </c>
      <c r="C118" s="131">
        <v>250000</v>
      </c>
      <c r="D118" s="124" t="s">
        <v>265</v>
      </c>
      <c r="E118" s="239">
        <v>1200</v>
      </c>
      <c r="F118" s="124" t="s">
        <v>271</v>
      </c>
      <c r="G118" s="124" t="s">
        <v>262</v>
      </c>
      <c r="H118" s="270" t="s">
        <v>259</v>
      </c>
      <c r="I118" s="134">
        <v>10</v>
      </c>
      <c r="J118" s="134">
        <v>8</v>
      </c>
      <c r="K118" s="134">
        <v>8</v>
      </c>
      <c r="L118" s="134">
        <v>6</v>
      </c>
    </row>
    <row r="119" spans="2:12" x14ac:dyDescent="0.3">
      <c r="B119" s="124" t="s">
        <v>966</v>
      </c>
      <c r="C119" s="131">
        <v>300000</v>
      </c>
      <c r="D119" s="124" t="s">
        <v>265</v>
      </c>
      <c r="E119" s="239">
        <v>1200</v>
      </c>
      <c r="F119" s="124" t="s">
        <v>258</v>
      </c>
      <c r="G119" s="124" t="s">
        <v>262</v>
      </c>
      <c r="H119" s="273" t="s">
        <v>268</v>
      </c>
      <c r="I119" s="134">
        <v>13</v>
      </c>
      <c r="J119" s="134">
        <v>8</v>
      </c>
      <c r="K119" s="134">
        <v>8</v>
      </c>
      <c r="L119" s="134">
        <v>6</v>
      </c>
    </row>
    <row r="120" spans="2:12" x14ac:dyDescent="0.3">
      <c r="B120" s="124" t="s">
        <v>967</v>
      </c>
      <c r="C120" s="131">
        <v>250000</v>
      </c>
      <c r="D120" s="124" t="s">
        <v>270</v>
      </c>
      <c r="E120" s="239">
        <v>1000</v>
      </c>
      <c r="F120" s="124" t="s">
        <v>258</v>
      </c>
      <c r="G120" s="124" t="s">
        <v>262</v>
      </c>
      <c r="H120" s="270" t="s">
        <v>259</v>
      </c>
      <c r="I120" s="134">
        <v>10</v>
      </c>
      <c r="J120" s="134">
        <v>6</v>
      </c>
      <c r="K120" s="134">
        <v>6</v>
      </c>
      <c r="L120" s="134">
        <v>5</v>
      </c>
    </row>
    <row r="121" spans="2:12" x14ac:dyDescent="0.3">
      <c r="B121" s="124" t="s">
        <v>968</v>
      </c>
      <c r="C121" s="131">
        <v>274890</v>
      </c>
      <c r="D121" s="124" t="s">
        <v>270</v>
      </c>
      <c r="E121" s="239">
        <v>1000</v>
      </c>
      <c r="F121" s="124" t="s">
        <v>258</v>
      </c>
      <c r="G121" s="124" t="s">
        <v>262</v>
      </c>
      <c r="H121" s="273" t="s">
        <v>268</v>
      </c>
      <c r="I121" s="134">
        <v>10</v>
      </c>
      <c r="J121" s="134">
        <v>6</v>
      </c>
      <c r="K121" s="134">
        <v>5</v>
      </c>
      <c r="L121" s="134">
        <v>5</v>
      </c>
    </row>
    <row r="122" spans="2:12" x14ac:dyDescent="0.3">
      <c r="B122" s="124" t="s">
        <v>969</v>
      </c>
      <c r="C122" s="131">
        <v>345000</v>
      </c>
      <c r="D122" s="124" t="s">
        <v>270</v>
      </c>
      <c r="E122" s="239">
        <v>1300</v>
      </c>
      <c r="F122" s="124" t="s">
        <v>258</v>
      </c>
      <c r="G122" s="124" t="s">
        <v>262</v>
      </c>
      <c r="H122" s="270" t="s">
        <v>259</v>
      </c>
      <c r="I122" s="134">
        <v>10</v>
      </c>
      <c r="J122" s="134">
        <v>8</v>
      </c>
      <c r="K122" s="134">
        <v>8</v>
      </c>
      <c r="L122" s="134">
        <v>5</v>
      </c>
    </row>
    <row r="123" spans="2:12" x14ac:dyDescent="0.3">
      <c r="B123" s="124" t="s">
        <v>1905</v>
      </c>
      <c r="C123" s="131">
        <v>520000</v>
      </c>
      <c r="D123" s="124" t="s">
        <v>270</v>
      </c>
      <c r="E123" s="239">
        <v>1600</v>
      </c>
      <c r="F123" s="124" t="s">
        <v>258</v>
      </c>
      <c r="G123" s="124" t="s">
        <v>262</v>
      </c>
      <c r="H123" s="274" t="s">
        <v>1906</v>
      </c>
      <c r="I123" s="134">
        <v>14</v>
      </c>
      <c r="J123" s="134">
        <v>9</v>
      </c>
      <c r="K123" s="134">
        <v>9</v>
      </c>
      <c r="L123" s="134">
        <v>5</v>
      </c>
    </row>
    <row r="124" spans="2:12" x14ac:dyDescent="0.3">
      <c r="B124" s="124" t="s">
        <v>3119</v>
      </c>
      <c r="C124" s="131">
        <v>520000</v>
      </c>
      <c r="D124" s="124" t="s">
        <v>270</v>
      </c>
      <c r="E124" s="239">
        <v>2000</v>
      </c>
      <c r="F124" s="124" t="s">
        <v>258</v>
      </c>
      <c r="G124" s="124" t="s">
        <v>262</v>
      </c>
      <c r="H124" s="273" t="s">
        <v>268</v>
      </c>
      <c r="I124" s="134">
        <v>16</v>
      </c>
      <c r="J124" s="134">
        <v>14</v>
      </c>
      <c r="K124" s="134">
        <v>9</v>
      </c>
      <c r="L124" s="134">
        <v>6</v>
      </c>
    </row>
    <row r="125" spans="2:12" x14ac:dyDescent="0.3">
      <c r="B125" s="124" t="s">
        <v>1899</v>
      </c>
      <c r="C125" s="131">
        <v>306060</v>
      </c>
      <c r="D125" s="124" t="s">
        <v>277</v>
      </c>
      <c r="E125" s="239">
        <v>1000</v>
      </c>
      <c r="F125" s="124" t="s">
        <v>258</v>
      </c>
      <c r="G125" s="124" t="s">
        <v>262</v>
      </c>
      <c r="H125" s="273" t="s">
        <v>268</v>
      </c>
      <c r="I125" s="134">
        <v>11</v>
      </c>
      <c r="J125" s="134">
        <v>6</v>
      </c>
      <c r="K125" s="134">
        <v>6</v>
      </c>
      <c r="L125" s="134">
        <v>8</v>
      </c>
    </row>
    <row r="126" spans="2:12" x14ac:dyDescent="0.3">
      <c r="B126" s="124" t="s">
        <v>1900</v>
      </c>
      <c r="C126" s="131">
        <v>295000</v>
      </c>
      <c r="D126" s="124" t="s">
        <v>277</v>
      </c>
      <c r="E126" s="239">
        <v>1050</v>
      </c>
      <c r="F126" s="124" t="s">
        <v>258</v>
      </c>
      <c r="G126" s="124" t="s">
        <v>262</v>
      </c>
      <c r="H126" s="270" t="s">
        <v>259</v>
      </c>
      <c r="I126" s="134">
        <v>11</v>
      </c>
      <c r="J126" s="134">
        <v>6</v>
      </c>
      <c r="K126" s="134">
        <v>6</v>
      </c>
      <c r="L126" s="134">
        <v>8</v>
      </c>
    </row>
    <row r="127" spans="2:12" x14ac:dyDescent="0.3">
      <c r="B127" s="124" t="s">
        <v>1898</v>
      </c>
      <c r="C127" s="131">
        <v>338000</v>
      </c>
      <c r="D127" s="124" t="s">
        <v>277</v>
      </c>
      <c r="E127" s="239">
        <v>1250</v>
      </c>
      <c r="F127" s="124" t="s">
        <v>258</v>
      </c>
      <c r="G127" s="124" t="s">
        <v>262</v>
      </c>
      <c r="H127" s="270" t="s">
        <v>259</v>
      </c>
      <c r="I127" s="134">
        <v>11</v>
      </c>
      <c r="J127" s="134">
        <v>8</v>
      </c>
      <c r="K127" s="134">
        <v>8</v>
      </c>
      <c r="L127" s="134">
        <v>8</v>
      </c>
    </row>
    <row r="128" spans="2:12" x14ac:dyDescent="0.3">
      <c r="B128" s="124" t="s">
        <v>3120</v>
      </c>
      <c r="C128" s="131">
        <v>395210</v>
      </c>
      <c r="D128" s="124" t="s">
        <v>284</v>
      </c>
      <c r="E128" s="239">
        <v>1050</v>
      </c>
      <c r="F128" s="124" t="s">
        <v>258</v>
      </c>
      <c r="G128" s="124" t="s">
        <v>262</v>
      </c>
      <c r="H128" s="273" t="s">
        <v>268</v>
      </c>
      <c r="I128" s="134">
        <v>14</v>
      </c>
      <c r="J128" s="134">
        <v>8</v>
      </c>
      <c r="K128" s="134">
        <v>8</v>
      </c>
      <c r="L128" s="134">
        <v>5</v>
      </c>
    </row>
    <row r="129" spans="2:12" x14ac:dyDescent="0.3">
      <c r="B129" s="124" t="s">
        <v>3121</v>
      </c>
      <c r="C129" s="131">
        <v>405000</v>
      </c>
      <c r="D129" s="124" t="s">
        <v>284</v>
      </c>
      <c r="E129" s="239">
        <v>1050</v>
      </c>
      <c r="F129" s="124" t="s">
        <v>258</v>
      </c>
      <c r="G129" s="124" t="s">
        <v>262</v>
      </c>
      <c r="H129" s="273" t="s">
        <v>268</v>
      </c>
      <c r="I129" s="134">
        <v>14</v>
      </c>
      <c r="J129" s="134">
        <v>8</v>
      </c>
      <c r="K129" s="134">
        <v>8</v>
      </c>
      <c r="L129" s="134">
        <v>5</v>
      </c>
    </row>
    <row r="130" spans="2:12" x14ac:dyDescent="0.3">
      <c r="B130" s="124" t="s">
        <v>1897</v>
      </c>
      <c r="C130" s="131">
        <v>447000</v>
      </c>
      <c r="D130" s="124" t="s">
        <v>284</v>
      </c>
      <c r="E130" s="239">
        <v>1200</v>
      </c>
      <c r="F130" s="124" t="s">
        <v>258</v>
      </c>
      <c r="G130" s="124" t="s">
        <v>262</v>
      </c>
      <c r="H130" s="273" t="s">
        <v>268</v>
      </c>
      <c r="I130" s="134">
        <v>14</v>
      </c>
      <c r="J130" s="134">
        <v>10</v>
      </c>
      <c r="K130" s="134">
        <v>10</v>
      </c>
      <c r="L130" s="134">
        <v>5</v>
      </c>
    </row>
    <row r="131" spans="2:12" x14ac:dyDescent="0.3">
      <c r="B131" s="124" t="s">
        <v>1896</v>
      </c>
      <c r="C131" s="131">
        <v>432300</v>
      </c>
      <c r="D131" s="124" t="s">
        <v>284</v>
      </c>
      <c r="E131" s="239">
        <v>1250</v>
      </c>
      <c r="F131" s="124" t="s">
        <v>258</v>
      </c>
      <c r="G131" s="124" t="s">
        <v>262</v>
      </c>
      <c r="H131" s="270" t="s">
        <v>259</v>
      </c>
      <c r="I131" s="134">
        <v>4</v>
      </c>
      <c r="J131" s="134">
        <v>5</v>
      </c>
      <c r="K131" s="134">
        <v>5</v>
      </c>
      <c r="L131" s="134">
        <v>2</v>
      </c>
    </row>
  </sheetData>
  <phoneticPr fontId="4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8" tint="0.59999389629810485"/>
  </sheetPr>
  <dimension ref="A1:O130"/>
  <sheetViews>
    <sheetView zoomScale="115" zoomScaleNormal="115" workbookViewId="0">
      <pane xSplit="2" ySplit="2" topLeftCell="C3" activePane="bottomRight" state="frozen"/>
      <selection pane="topRight" activeCell="B1" sqref="B1"/>
      <selection pane="bottomLeft" activeCell="A3" sqref="A3"/>
      <selection pane="bottomRight" activeCell="B14" sqref="B14"/>
    </sheetView>
  </sheetViews>
  <sheetFormatPr defaultColWidth="9" defaultRowHeight="13.2" x14ac:dyDescent="0.3"/>
  <cols>
    <col min="1" max="1" width="2.09765625" style="124" bestFit="1" customWidth="1"/>
    <col min="2" max="2" width="41.59765625" style="124" customWidth="1"/>
    <col min="3" max="3" width="9.69921875" style="124" bestFit="1" customWidth="1"/>
    <col min="4" max="4" width="8.796875" style="124" bestFit="1" customWidth="1"/>
    <col min="5" max="6" width="5.296875" style="125" bestFit="1" customWidth="1"/>
    <col min="7" max="7" width="4.5" style="125" bestFit="1" customWidth="1"/>
    <col min="8" max="8" width="10.3984375" style="125" bestFit="1" customWidth="1"/>
    <col min="9" max="9" width="12.09765625" style="125" bestFit="1" customWidth="1"/>
    <col min="10" max="10" width="3.09765625" style="125" bestFit="1" customWidth="1"/>
    <col min="11" max="11" width="2.296875" style="125" bestFit="1" customWidth="1"/>
    <col min="12" max="12" width="5.796875" style="125" bestFit="1" customWidth="1"/>
    <col min="13" max="13" width="6.3984375" style="125" bestFit="1" customWidth="1"/>
    <col min="14" max="14" width="4.3984375" style="125" bestFit="1" customWidth="1"/>
    <col min="15" max="15" width="5.796875" style="125" bestFit="1" customWidth="1"/>
    <col min="16" max="16384" width="9" style="124"/>
  </cols>
  <sheetData>
    <row r="1" spans="1:15" ht="24" customHeight="1" x14ac:dyDescent="0.3">
      <c r="A1" s="124">
        <v>9</v>
      </c>
      <c r="J1" s="693" t="s">
        <v>1310</v>
      </c>
      <c r="K1" s="693"/>
    </row>
    <row r="2" spans="1:15" x14ac:dyDescent="0.3">
      <c r="B2" s="275" t="s">
        <v>0</v>
      </c>
      <c r="C2" s="275" t="s">
        <v>197</v>
      </c>
      <c r="D2" s="275" t="s">
        <v>2</v>
      </c>
      <c r="E2" s="275" t="s">
        <v>155</v>
      </c>
      <c r="F2" s="275" t="s">
        <v>157</v>
      </c>
      <c r="G2" s="275" t="s">
        <v>1924</v>
      </c>
      <c r="H2" s="275" t="s">
        <v>198</v>
      </c>
      <c r="I2" s="275" t="s">
        <v>199</v>
      </c>
      <c r="J2" s="275">
        <v>3</v>
      </c>
      <c r="K2" s="161">
        <v>2</v>
      </c>
      <c r="L2" s="128" t="s">
        <v>200</v>
      </c>
      <c r="M2" s="275" t="s">
        <v>201</v>
      </c>
      <c r="N2" s="275" t="s">
        <v>202</v>
      </c>
      <c r="O2" s="275" t="s">
        <v>203</v>
      </c>
    </row>
    <row r="3" spans="1:15" x14ac:dyDescent="0.3">
      <c r="B3" s="133" t="s">
        <v>1205</v>
      </c>
      <c r="C3" s="140"/>
      <c r="D3" s="140"/>
      <c r="E3" s="275"/>
      <c r="F3" s="275"/>
      <c r="G3" s="275"/>
      <c r="H3" s="275"/>
      <c r="I3" s="275"/>
      <c r="J3" s="275"/>
      <c r="K3" s="128"/>
      <c r="L3" s="128"/>
      <c r="M3" s="275"/>
      <c r="N3" s="275"/>
      <c r="O3" s="275"/>
    </row>
    <row r="4" spans="1:15" x14ac:dyDescent="0.3">
      <c r="B4" s="140" t="s">
        <v>1203</v>
      </c>
      <c r="C4" s="140"/>
      <c r="D4" s="140"/>
      <c r="E4" s="275"/>
      <c r="F4" s="275"/>
      <c r="G4" s="275"/>
      <c r="H4" s="275"/>
      <c r="I4" s="275"/>
      <c r="J4" s="275"/>
      <c r="K4" s="128"/>
      <c r="L4" s="128"/>
      <c r="M4" s="275"/>
      <c r="N4" s="275"/>
      <c r="O4" s="275"/>
    </row>
    <row r="5" spans="1:15" x14ac:dyDescent="0.3">
      <c r="B5" s="275" t="s">
        <v>206</v>
      </c>
      <c r="C5" s="131"/>
      <c r="D5" s="133"/>
      <c r="E5" s="134"/>
      <c r="F5" s="134"/>
      <c r="G5" s="134"/>
      <c r="H5" s="134"/>
      <c r="I5" s="134"/>
      <c r="J5" s="134"/>
      <c r="K5" s="129"/>
      <c r="L5" s="129"/>
      <c r="M5" s="134"/>
      <c r="N5" s="134"/>
      <c r="O5" s="134"/>
    </row>
    <row r="6" spans="1:15" x14ac:dyDescent="0.3">
      <c r="B6" s="133" t="s">
        <v>1916</v>
      </c>
      <c r="C6" s="131">
        <v>9200</v>
      </c>
      <c r="D6" s="133" t="s">
        <v>1915</v>
      </c>
      <c r="E6" s="134">
        <v>195</v>
      </c>
      <c r="F6" s="134">
        <v>405</v>
      </c>
      <c r="G6" s="134">
        <v>355</v>
      </c>
      <c r="H6" s="134">
        <v>147</v>
      </c>
      <c r="I6" s="134">
        <v>300</v>
      </c>
      <c r="J6" s="149">
        <v>0</v>
      </c>
      <c r="K6" s="149">
        <v>2</v>
      </c>
      <c r="L6" s="134" t="s">
        <v>87</v>
      </c>
      <c r="M6" s="134" t="s">
        <v>87</v>
      </c>
      <c r="N6" s="134" t="s">
        <v>87</v>
      </c>
      <c r="O6" s="134"/>
    </row>
    <row r="7" spans="1:15" x14ac:dyDescent="0.3">
      <c r="B7" s="133" t="s">
        <v>1927</v>
      </c>
      <c r="C7" s="131">
        <v>15500</v>
      </c>
      <c r="D7" s="133" t="s">
        <v>1918</v>
      </c>
      <c r="E7" s="134">
        <v>200</v>
      </c>
      <c r="F7" s="134">
        <v>418.5</v>
      </c>
      <c r="G7" s="134">
        <v>405</v>
      </c>
      <c r="H7" s="134">
        <v>152</v>
      </c>
      <c r="I7" s="134">
        <v>350</v>
      </c>
      <c r="J7" s="149">
        <v>1</v>
      </c>
      <c r="K7" s="149">
        <v>1</v>
      </c>
      <c r="L7" s="134"/>
      <c r="M7" s="134" t="s">
        <v>87</v>
      </c>
      <c r="N7" s="134" t="s">
        <v>87</v>
      </c>
      <c r="O7" s="134"/>
    </row>
    <row r="8" spans="1:15" x14ac:dyDescent="0.3">
      <c r="B8" s="133" t="s">
        <v>1929</v>
      </c>
      <c r="C8" s="131">
        <v>27000</v>
      </c>
      <c r="D8" s="133" t="s">
        <v>1921</v>
      </c>
      <c r="E8" s="134">
        <v>203</v>
      </c>
      <c r="F8" s="134">
        <v>442</v>
      </c>
      <c r="G8" s="134">
        <v>440</v>
      </c>
      <c r="H8" s="134">
        <v>155</v>
      </c>
      <c r="I8" s="134">
        <v>380</v>
      </c>
      <c r="J8" s="149">
        <v>1</v>
      </c>
      <c r="K8" s="149">
        <v>2</v>
      </c>
      <c r="L8" s="134"/>
      <c r="M8" s="134" t="s">
        <v>87</v>
      </c>
      <c r="N8" s="134" t="s">
        <v>87</v>
      </c>
      <c r="O8" s="134"/>
    </row>
    <row r="9" spans="1:15" x14ac:dyDescent="0.3">
      <c r="B9" s="133" t="s">
        <v>1914</v>
      </c>
      <c r="C9" s="131">
        <v>23000</v>
      </c>
      <c r="D9" s="133" t="s">
        <v>1915</v>
      </c>
      <c r="E9" s="134">
        <v>195</v>
      </c>
      <c r="F9" s="134">
        <v>455</v>
      </c>
      <c r="G9" s="134">
        <v>435</v>
      </c>
      <c r="H9" s="134">
        <v>153</v>
      </c>
      <c r="I9" s="134">
        <v>350</v>
      </c>
      <c r="J9" s="149">
        <v>1</v>
      </c>
      <c r="K9" s="149">
        <v>2</v>
      </c>
      <c r="L9" s="134" t="s">
        <v>87</v>
      </c>
      <c r="M9" s="134" t="s">
        <v>87</v>
      </c>
      <c r="N9" s="134" t="s">
        <v>87</v>
      </c>
      <c r="O9" s="134"/>
    </row>
    <row r="10" spans="1:15" x14ac:dyDescent="0.3">
      <c r="B10" s="133" t="s">
        <v>1917</v>
      </c>
      <c r="C10" s="131">
        <v>27000</v>
      </c>
      <c r="D10" s="133" t="s">
        <v>1915</v>
      </c>
      <c r="E10" s="134">
        <v>195</v>
      </c>
      <c r="F10" s="134">
        <v>455</v>
      </c>
      <c r="G10" s="134">
        <v>435</v>
      </c>
      <c r="H10" s="134">
        <v>153</v>
      </c>
      <c r="I10" s="134">
        <v>350</v>
      </c>
      <c r="J10" s="149">
        <v>1</v>
      </c>
      <c r="K10" s="149">
        <v>2</v>
      </c>
      <c r="L10" s="134" t="s">
        <v>87</v>
      </c>
      <c r="M10" s="134" t="s">
        <v>87</v>
      </c>
      <c r="N10" s="134" t="s">
        <v>87</v>
      </c>
      <c r="O10" s="134"/>
    </row>
    <row r="11" spans="1:15" x14ac:dyDescent="0.3">
      <c r="B11" s="133" t="s">
        <v>1928</v>
      </c>
      <c r="C11" s="131">
        <v>36000</v>
      </c>
      <c r="D11" s="133" t="s">
        <v>1921</v>
      </c>
      <c r="E11" s="134">
        <v>193.5</v>
      </c>
      <c r="F11" s="134">
        <v>481</v>
      </c>
      <c r="G11" s="134">
        <v>435</v>
      </c>
      <c r="H11" s="134">
        <v>153</v>
      </c>
      <c r="I11" s="134">
        <v>350</v>
      </c>
      <c r="J11" s="149">
        <v>1</v>
      </c>
      <c r="K11" s="149">
        <v>2</v>
      </c>
      <c r="L11" s="134" t="s">
        <v>87</v>
      </c>
      <c r="M11" s="134" t="s">
        <v>87</v>
      </c>
      <c r="N11" s="134" t="s">
        <v>87</v>
      </c>
      <c r="O11" s="134"/>
    </row>
    <row r="12" spans="1:15" x14ac:dyDescent="0.3">
      <c r="B12" s="133" t="s">
        <v>1913</v>
      </c>
      <c r="C12" s="131">
        <v>39000</v>
      </c>
      <c r="D12" s="133" t="s">
        <v>1915</v>
      </c>
      <c r="E12" s="134">
        <v>200</v>
      </c>
      <c r="F12" s="134">
        <v>500</v>
      </c>
      <c r="G12" s="134">
        <v>475</v>
      </c>
      <c r="H12" s="134">
        <v>152</v>
      </c>
      <c r="I12" s="134">
        <v>410</v>
      </c>
      <c r="J12" s="149">
        <v>2</v>
      </c>
      <c r="K12" s="149">
        <v>2</v>
      </c>
      <c r="L12" s="134" t="s">
        <v>87</v>
      </c>
      <c r="M12" s="134" t="s">
        <v>87</v>
      </c>
      <c r="N12" s="134" t="s">
        <v>87</v>
      </c>
      <c r="O12" s="134"/>
    </row>
    <row r="13" spans="1:15" x14ac:dyDescent="0.3">
      <c r="B13" s="133" t="s">
        <v>3111</v>
      </c>
      <c r="C13" s="131">
        <v>41000</v>
      </c>
      <c r="D13" s="133" t="s">
        <v>1918</v>
      </c>
      <c r="E13" s="134">
        <v>210</v>
      </c>
      <c r="F13" s="134">
        <v>500</v>
      </c>
      <c r="G13" s="134">
        <v>480</v>
      </c>
      <c r="H13" s="134">
        <v>160</v>
      </c>
      <c r="I13" s="134">
        <v>395</v>
      </c>
      <c r="J13" s="149">
        <v>1</v>
      </c>
      <c r="K13" s="149">
        <v>2</v>
      </c>
      <c r="L13" s="134" t="s">
        <v>87</v>
      </c>
      <c r="M13" s="134" t="s">
        <v>87</v>
      </c>
      <c r="N13" s="134" t="s">
        <v>87</v>
      </c>
      <c r="O13" s="134"/>
    </row>
    <row r="14" spans="1:15" x14ac:dyDescent="0.3">
      <c r="B14" s="133" t="s">
        <v>3110</v>
      </c>
      <c r="C14" s="131">
        <v>47500</v>
      </c>
      <c r="D14" s="133" t="s">
        <v>1918</v>
      </c>
      <c r="E14" s="134">
        <v>210</v>
      </c>
      <c r="F14" s="134">
        <v>501</v>
      </c>
      <c r="G14" s="134">
        <v>472</v>
      </c>
      <c r="H14" s="134">
        <v>160</v>
      </c>
      <c r="I14" s="134">
        <v>395</v>
      </c>
      <c r="J14" s="149">
        <v>1</v>
      </c>
      <c r="K14" s="149">
        <v>2</v>
      </c>
      <c r="L14" s="134"/>
      <c r="M14" s="134" t="s">
        <v>87</v>
      </c>
      <c r="N14" s="134" t="s">
        <v>87</v>
      </c>
      <c r="O14" s="134"/>
    </row>
    <row r="15" spans="1:15" x14ac:dyDescent="0.3">
      <c r="B15" s="133" t="s">
        <v>1926</v>
      </c>
      <c r="C15" s="131">
        <v>64000</v>
      </c>
      <c r="D15" s="133" t="s">
        <v>1915</v>
      </c>
      <c r="E15" s="134">
        <v>195</v>
      </c>
      <c r="F15" s="134">
        <v>492</v>
      </c>
      <c r="G15" s="134">
        <v>470</v>
      </c>
      <c r="H15" s="134">
        <v>158</v>
      </c>
      <c r="I15" s="134">
        <v>410</v>
      </c>
      <c r="J15" s="149">
        <v>1</v>
      </c>
      <c r="K15" s="149">
        <v>2</v>
      </c>
      <c r="L15" s="129"/>
      <c r="M15" s="134" t="s">
        <v>87</v>
      </c>
      <c r="N15" s="134" t="s">
        <v>87</v>
      </c>
      <c r="O15" s="134"/>
    </row>
    <row r="16" spans="1:15" x14ac:dyDescent="0.3">
      <c r="B16" s="133" t="s">
        <v>1922</v>
      </c>
      <c r="C16" s="131">
        <v>66700</v>
      </c>
      <c r="D16" s="133" t="s">
        <v>1915</v>
      </c>
      <c r="E16" s="134">
        <v>230</v>
      </c>
      <c r="F16" s="134">
        <v>465</v>
      </c>
      <c r="G16" s="134">
        <v>472</v>
      </c>
      <c r="H16" s="134">
        <v>172</v>
      </c>
      <c r="I16" s="134">
        <v>380</v>
      </c>
      <c r="J16" s="149">
        <v>2</v>
      </c>
      <c r="K16" s="149">
        <v>2</v>
      </c>
      <c r="L16" s="134" t="s">
        <v>87</v>
      </c>
      <c r="M16" s="134" t="s">
        <v>87</v>
      </c>
      <c r="N16" s="134" t="s">
        <v>87</v>
      </c>
      <c r="O16" s="134"/>
    </row>
    <row r="17" spans="2:15" x14ac:dyDescent="0.3">
      <c r="B17" s="133" t="s">
        <v>1923</v>
      </c>
      <c r="C17" s="131">
        <v>74000</v>
      </c>
      <c r="D17" s="133" t="s">
        <v>1915</v>
      </c>
      <c r="E17" s="134">
        <v>230</v>
      </c>
      <c r="F17" s="134">
        <v>465</v>
      </c>
      <c r="G17" s="134">
        <v>472</v>
      </c>
      <c r="H17" s="134">
        <v>172</v>
      </c>
      <c r="I17" s="134">
        <v>380</v>
      </c>
      <c r="J17" s="149">
        <v>2</v>
      </c>
      <c r="K17" s="149">
        <v>2</v>
      </c>
      <c r="L17" s="134" t="s">
        <v>87</v>
      </c>
      <c r="M17" s="134" t="s">
        <v>87</v>
      </c>
      <c r="N17" s="134" t="s">
        <v>87</v>
      </c>
      <c r="O17" s="134"/>
    </row>
    <row r="18" spans="2:15" x14ac:dyDescent="0.3">
      <c r="B18" s="133" t="s">
        <v>1919</v>
      </c>
      <c r="C18" s="131">
        <v>79000</v>
      </c>
      <c r="D18" s="133" t="s">
        <v>1918</v>
      </c>
      <c r="E18" s="134">
        <v>230</v>
      </c>
      <c r="F18" s="134">
        <v>497</v>
      </c>
      <c r="G18" s="134">
        <v>473</v>
      </c>
      <c r="H18" s="134">
        <v>172</v>
      </c>
      <c r="I18" s="134">
        <v>380</v>
      </c>
      <c r="J18" s="149">
        <v>2</v>
      </c>
      <c r="K18" s="149">
        <v>2</v>
      </c>
      <c r="L18" s="134" t="s">
        <v>87</v>
      </c>
      <c r="M18" s="134" t="s">
        <v>87</v>
      </c>
      <c r="N18" s="134" t="s">
        <v>87</v>
      </c>
      <c r="O18" s="134"/>
    </row>
    <row r="19" spans="2:15" x14ac:dyDescent="0.3">
      <c r="B19" s="133" t="s">
        <v>1925</v>
      </c>
      <c r="C19" s="131">
        <v>80000</v>
      </c>
      <c r="D19" s="133" t="s">
        <v>1921</v>
      </c>
      <c r="E19" s="134">
        <v>230</v>
      </c>
      <c r="F19" s="134">
        <v>490</v>
      </c>
      <c r="G19" s="134">
        <v>465</v>
      </c>
      <c r="H19" s="134">
        <v>172</v>
      </c>
      <c r="I19" s="134">
        <v>380</v>
      </c>
      <c r="J19" s="149">
        <v>2</v>
      </c>
      <c r="K19" s="149">
        <v>2</v>
      </c>
      <c r="L19" s="134" t="s">
        <v>87</v>
      </c>
      <c r="M19" s="134" t="s">
        <v>87</v>
      </c>
      <c r="N19" s="134" t="s">
        <v>87</v>
      </c>
      <c r="O19" s="134"/>
    </row>
    <row r="20" spans="2:15" x14ac:dyDescent="0.3">
      <c r="B20" s="133" t="s">
        <v>1920</v>
      </c>
      <c r="C20" s="131">
        <v>87000</v>
      </c>
      <c r="D20" s="133" t="s">
        <v>1921</v>
      </c>
      <c r="E20" s="134">
        <v>240</v>
      </c>
      <c r="F20" s="134">
        <v>455</v>
      </c>
      <c r="G20" s="134">
        <v>475</v>
      </c>
      <c r="H20" s="134">
        <v>172</v>
      </c>
      <c r="I20" s="134">
        <v>380</v>
      </c>
      <c r="J20" s="149">
        <v>2</v>
      </c>
      <c r="K20" s="149">
        <v>2</v>
      </c>
      <c r="L20" s="134" t="s">
        <v>87</v>
      </c>
      <c r="M20" s="134" t="s">
        <v>87</v>
      </c>
      <c r="N20" s="134" t="s">
        <v>87</v>
      </c>
      <c r="O20" s="134"/>
    </row>
    <row r="21" spans="2:15" x14ac:dyDescent="0.3">
      <c r="B21" s="133" t="s">
        <v>1964</v>
      </c>
      <c r="C21" s="131">
        <v>9500</v>
      </c>
      <c r="D21" s="133" t="s">
        <v>137</v>
      </c>
      <c r="E21" s="134">
        <v>175</v>
      </c>
      <c r="F21" s="134">
        <v>410</v>
      </c>
      <c r="G21" s="134">
        <v>385</v>
      </c>
      <c r="H21" s="134">
        <v>140</v>
      </c>
      <c r="I21" s="134">
        <v>340</v>
      </c>
      <c r="J21" s="149">
        <v>0</v>
      </c>
      <c r="K21" s="149">
        <v>2</v>
      </c>
      <c r="L21" s="134" t="s">
        <v>87</v>
      </c>
      <c r="M21" s="134" t="s">
        <v>87</v>
      </c>
      <c r="N21" s="134" t="s">
        <v>87</v>
      </c>
      <c r="O21" s="134"/>
    </row>
    <row r="22" spans="2:15" x14ac:dyDescent="0.3">
      <c r="B22" s="133" t="s">
        <v>1967</v>
      </c>
      <c r="C22" s="131">
        <v>12000</v>
      </c>
      <c r="D22" s="133" t="s">
        <v>1968</v>
      </c>
      <c r="E22" s="134">
        <v>191</v>
      </c>
      <c r="F22" s="134">
        <v>413</v>
      </c>
      <c r="G22" s="134">
        <v>402</v>
      </c>
      <c r="H22" s="134">
        <v>150</v>
      </c>
      <c r="I22" s="134">
        <v>360</v>
      </c>
      <c r="J22" s="149">
        <v>0</v>
      </c>
      <c r="K22" s="149">
        <v>2</v>
      </c>
      <c r="L22" s="134" t="s">
        <v>87</v>
      </c>
      <c r="M22" s="134" t="s">
        <v>87</v>
      </c>
      <c r="N22" s="134" t="s">
        <v>87</v>
      </c>
      <c r="O22" s="134"/>
    </row>
    <row r="23" spans="2:15" x14ac:dyDescent="0.3">
      <c r="B23" s="133" t="s">
        <v>1961</v>
      </c>
      <c r="C23" s="131">
        <v>26000</v>
      </c>
      <c r="D23" s="133" t="s">
        <v>137</v>
      </c>
      <c r="E23" s="134">
        <v>200</v>
      </c>
      <c r="F23" s="134">
        <v>419</v>
      </c>
      <c r="G23" s="134">
        <v>435</v>
      </c>
      <c r="H23" s="134">
        <v>157</v>
      </c>
      <c r="I23" s="134">
        <v>360</v>
      </c>
      <c r="J23" s="149">
        <v>1</v>
      </c>
      <c r="K23" s="149">
        <v>2</v>
      </c>
      <c r="L23" s="134" t="s">
        <v>87</v>
      </c>
      <c r="M23" s="134" t="s">
        <v>87</v>
      </c>
      <c r="N23" s="134" t="s">
        <v>87</v>
      </c>
      <c r="O23" s="134"/>
    </row>
    <row r="24" spans="2:15" x14ac:dyDescent="0.3">
      <c r="B24" s="133" t="s">
        <v>1972</v>
      </c>
      <c r="C24" s="131">
        <v>31000</v>
      </c>
      <c r="D24" s="133" t="s">
        <v>137</v>
      </c>
      <c r="E24" s="134">
        <v>195</v>
      </c>
      <c r="F24" s="134">
        <v>486</v>
      </c>
      <c r="G24" s="134">
        <v>440</v>
      </c>
      <c r="H24" s="134">
        <v>158</v>
      </c>
      <c r="I24" s="134">
        <v>365</v>
      </c>
      <c r="J24" s="149">
        <v>1</v>
      </c>
      <c r="K24" s="149">
        <v>2</v>
      </c>
      <c r="L24" s="134" t="s">
        <v>87</v>
      </c>
      <c r="M24" s="134" t="s">
        <v>87</v>
      </c>
      <c r="N24" s="134" t="s">
        <v>87</v>
      </c>
      <c r="O24" s="134"/>
    </row>
    <row r="25" spans="2:15" x14ac:dyDescent="0.3">
      <c r="B25" s="133" t="s">
        <v>1971</v>
      </c>
      <c r="C25" s="131">
        <v>36000</v>
      </c>
      <c r="D25" s="133" t="s">
        <v>137</v>
      </c>
      <c r="E25" s="134">
        <v>202</v>
      </c>
      <c r="F25" s="134">
        <v>492</v>
      </c>
      <c r="G25" s="134">
        <v>473</v>
      </c>
      <c r="H25" s="134">
        <v>156</v>
      </c>
      <c r="I25" s="134">
        <v>380</v>
      </c>
      <c r="J25" s="149">
        <v>2</v>
      </c>
      <c r="K25" s="149">
        <v>2</v>
      </c>
      <c r="L25" s="134" t="s">
        <v>87</v>
      </c>
      <c r="M25" s="134" t="s">
        <v>87</v>
      </c>
      <c r="N25" s="134" t="s">
        <v>87</v>
      </c>
      <c r="O25" s="134"/>
    </row>
    <row r="26" spans="2:15" x14ac:dyDescent="0.3">
      <c r="B26" s="133" t="s">
        <v>1960</v>
      </c>
      <c r="C26" s="131">
        <v>43000</v>
      </c>
      <c r="D26" s="133" t="s">
        <v>137</v>
      </c>
      <c r="E26" s="134">
        <v>198</v>
      </c>
      <c r="F26" s="134">
        <v>450</v>
      </c>
      <c r="G26" s="134">
        <v>452</v>
      </c>
      <c r="H26" s="134">
        <v>159</v>
      </c>
      <c r="I26" s="134">
        <v>370</v>
      </c>
      <c r="J26" s="149">
        <v>1</v>
      </c>
      <c r="K26" s="149">
        <v>2</v>
      </c>
      <c r="L26" s="134" t="s">
        <v>87</v>
      </c>
      <c r="M26" s="134" t="s">
        <v>87</v>
      </c>
      <c r="N26" s="134" t="s">
        <v>87</v>
      </c>
      <c r="O26" s="134"/>
    </row>
    <row r="27" spans="2:15" x14ac:dyDescent="0.3">
      <c r="B27" s="133" t="s">
        <v>1963</v>
      </c>
      <c r="C27" s="131">
        <v>53000</v>
      </c>
      <c r="D27" s="133" t="s">
        <v>137</v>
      </c>
      <c r="E27" s="134">
        <v>200</v>
      </c>
      <c r="F27" s="134">
        <v>515</v>
      </c>
      <c r="G27" s="134">
        <v>470</v>
      </c>
      <c r="H27" s="134">
        <v>162</v>
      </c>
      <c r="I27" s="134">
        <v>380</v>
      </c>
      <c r="J27" s="149">
        <v>2</v>
      </c>
      <c r="K27" s="149">
        <v>2</v>
      </c>
      <c r="L27" s="134" t="s">
        <v>87</v>
      </c>
      <c r="M27" s="134" t="s">
        <v>87</v>
      </c>
      <c r="N27" s="134" t="s">
        <v>87</v>
      </c>
      <c r="O27" s="134"/>
    </row>
    <row r="28" spans="2:15" x14ac:dyDescent="0.3">
      <c r="B28" s="133" t="s">
        <v>1962</v>
      </c>
      <c r="C28" s="131">
        <v>57000</v>
      </c>
      <c r="D28" s="133" t="s">
        <v>137</v>
      </c>
      <c r="E28" s="134">
        <v>204</v>
      </c>
      <c r="F28" s="134">
        <v>470</v>
      </c>
      <c r="G28" s="134">
        <v>457</v>
      </c>
      <c r="H28" s="134">
        <v>161</v>
      </c>
      <c r="I28" s="134">
        <v>360</v>
      </c>
      <c r="J28" s="149">
        <v>1</v>
      </c>
      <c r="K28" s="149">
        <v>2</v>
      </c>
      <c r="L28" s="134" t="s">
        <v>87</v>
      </c>
      <c r="M28" s="134" t="s">
        <v>87</v>
      </c>
      <c r="N28" s="134" t="s">
        <v>87</v>
      </c>
      <c r="O28" s="134"/>
    </row>
    <row r="29" spans="2:15" x14ac:dyDescent="0.3">
      <c r="B29" s="133" t="s">
        <v>1969</v>
      </c>
      <c r="C29" s="131">
        <v>79400</v>
      </c>
      <c r="D29" s="133" t="s">
        <v>1970</v>
      </c>
      <c r="E29" s="134">
        <v>220</v>
      </c>
      <c r="F29" s="134">
        <v>507</v>
      </c>
      <c r="G29" s="134">
        <v>511</v>
      </c>
      <c r="H29" s="134">
        <v>160</v>
      </c>
      <c r="I29" s="134">
        <v>450</v>
      </c>
      <c r="J29" s="149">
        <v>2</v>
      </c>
      <c r="K29" s="149">
        <v>2</v>
      </c>
      <c r="L29" s="134" t="s">
        <v>87</v>
      </c>
      <c r="M29" s="134" t="s">
        <v>87</v>
      </c>
      <c r="N29" s="134" t="s">
        <v>87</v>
      </c>
      <c r="O29" s="134"/>
    </row>
    <row r="30" spans="2:15" x14ac:dyDescent="0.3">
      <c r="B30" s="133" t="s">
        <v>1965</v>
      </c>
      <c r="C30" s="131">
        <v>87000</v>
      </c>
      <c r="D30" s="133" t="s">
        <v>137</v>
      </c>
      <c r="E30" s="134">
        <v>217</v>
      </c>
      <c r="F30" s="134">
        <v>451</v>
      </c>
      <c r="G30" s="134">
        <v>468</v>
      </c>
      <c r="H30" s="134">
        <v>162</v>
      </c>
      <c r="I30" s="134">
        <v>380</v>
      </c>
      <c r="J30" s="149">
        <v>1</v>
      </c>
      <c r="K30" s="149">
        <v>2</v>
      </c>
      <c r="L30" s="134" t="s">
        <v>1952</v>
      </c>
      <c r="M30" s="134" t="s">
        <v>1966</v>
      </c>
      <c r="N30" s="134" t="s">
        <v>1952</v>
      </c>
      <c r="O30" s="134"/>
    </row>
    <row r="31" spans="2:15" x14ac:dyDescent="0.3">
      <c r="B31" s="133" t="s">
        <v>1932</v>
      </c>
      <c r="C31" s="131">
        <v>76000</v>
      </c>
      <c r="D31" s="133" t="s">
        <v>1931</v>
      </c>
      <c r="E31" s="134">
        <v>210</v>
      </c>
      <c r="F31" s="134">
        <v>470</v>
      </c>
      <c r="G31" s="134">
        <v>460</v>
      </c>
      <c r="H31" s="134">
        <v>170</v>
      </c>
      <c r="I31" s="134">
        <v>400</v>
      </c>
      <c r="J31" s="149">
        <v>2</v>
      </c>
      <c r="K31" s="149">
        <v>2</v>
      </c>
      <c r="L31" s="134" t="s">
        <v>87</v>
      </c>
      <c r="M31" s="134" t="s">
        <v>87</v>
      </c>
      <c r="N31" s="134" t="s">
        <v>87</v>
      </c>
      <c r="O31" s="134"/>
    </row>
    <row r="32" spans="2:15" x14ac:dyDescent="0.3">
      <c r="B32" s="133" t="s">
        <v>1936</v>
      </c>
      <c r="C32" s="131">
        <v>97000</v>
      </c>
      <c r="D32" s="133" t="s">
        <v>1931</v>
      </c>
      <c r="E32" s="134">
        <v>195</v>
      </c>
      <c r="F32" s="134">
        <v>445</v>
      </c>
      <c r="G32" s="134">
        <v>500</v>
      </c>
      <c r="H32" s="134">
        <v>160</v>
      </c>
      <c r="I32" s="134">
        <v>320</v>
      </c>
      <c r="J32" s="149">
        <v>1</v>
      </c>
      <c r="K32" s="149">
        <v>1</v>
      </c>
      <c r="L32" s="134" t="s">
        <v>87</v>
      </c>
      <c r="M32" s="134" t="s">
        <v>87</v>
      </c>
      <c r="N32" s="134" t="s">
        <v>87</v>
      </c>
      <c r="O32" s="134"/>
    </row>
    <row r="33" spans="2:15" x14ac:dyDescent="0.3">
      <c r="B33" s="133" t="s">
        <v>1930</v>
      </c>
      <c r="C33" s="131">
        <v>107000</v>
      </c>
      <c r="D33" s="133" t="s">
        <v>1931</v>
      </c>
      <c r="E33" s="134">
        <v>209</v>
      </c>
      <c r="F33" s="134">
        <v>341</v>
      </c>
      <c r="G33" s="134">
        <v>302</v>
      </c>
      <c r="H33" s="134">
        <v>95</v>
      </c>
      <c r="I33" s="134">
        <v>290</v>
      </c>
      <c r="J33" s="149">
        <v>2</v>
      </c>
      <c r="K33" s="149">
        <v>0</v>
      </c>
      <c r="L33" s="134" t="s">
        <v>87</v>
      </c>
      <c r="M33" s="134" t="s">
        <v>87</v>
      </c>
      <c r="N33" s="134" t="s">
        <v>87</v>
      </c>
      <c r="O33" s="134"/>
    </row>
    <row r="34" spans="2:15" x14ac:dyDescent="0.3">
      <c r="B34" s="133" t="s">
        <v>1937</v>
      </c>
      <c r="C34" s="131">
        <v>189000</v>
      </c>
      <c r="D34" s="133" t="s">
        <v>1931</v>
      </c>
      <c r="E34" s="134">
        <v>279</v>
      </c>
      <c r="F34" s="134">
        <v>385</v>
      </c>
      <c r="G34" s="134">
        <v>396</v>
      </c>
      <c r="H34" s="134">
        <v>163</v>
      </c>
      <c r="I34" s="134">
        <v>320</v>
      </c>
      <c r="J34" s="149">
        <v>2</v>
      </c>
      <c r="K34" s="149">
        <v>0</v>
      </c>
      <c r="L34" s="134" t="s">
        <v>87</v>
      </c>
      <c r="M34" s="134" t="s">
        <v>87</v>
      </c>
      <c r="N34" s="134" t="s">
        <v>87</v>
      </c>
      <c r="O34" s="134"/>
    </row>
    <row r="35" spans="2:15" x14ac:dyDescent="0.3">
      <c r="B35" s="133" t="s">
        <v>1933</v>
      </c>
      <c r="C35" s="131">
        <v>192000</v>
      </c>
      <c r="D35" s="133" t="s">
        <v>1931</v>
      </c>
      <c r="E35" s="134">
        <v>279</v>
      </c>
      <c r="F35" s="134">
        <v>385</v>
      </c>
      <c r="G35" s="134">
        <v>396</v>
      </c>
      <c r="H35" s="134">
        <v>163</v>
      </c>
      <c r="I35" s="134">
        <v>320</v>
      </c>
      <c r="J35" s="149">
        <v>2</v>
      </c>
      <c r="K35" s="149">
        <v>0</v>
      </c>
      <c r="L35" s="134" t="s">
        <v>87</v>
      </c>
      <c r="M35" s="134" t="s">
        <v>87</v>
      </c>
      <c r="N35" s="134" t="s">
        <v>87</v>
      </c>
      <c r="O35" s="134"/>
    </row>
    <row r="36" spans="2:15" x14ac:dyDescent="0.3">
      <c r="B36" s="133" t="s">
        <v>1935</v>
      </c>
      <c r="C36" s="131">
        <v>195000</v>
      </c>
      <c r="D36" s="133" t="s">
        <v>1931</v>
      </c>
      <c r="E36" s="134">
        <v>204</v>
      </c>
      <c r="F36" s="134">
        <v>437</v>
      </c>
      <c r="G36" s="134">
        <v>426</v>
      </c>
      <c r="H36" s="134">
        <v>162</v>
      </c>
      <c r="I36" s="134">
        <v>310</v>
      </c>
      <c r="J36" s="149">
        <v>2</v>
      </c>
      <c r="K36" s="149">
        <v>2</v>
      </c>
      <c r="L36" s="134" t="s">
        <v>87</v>
      </c>
      <c r="M36" s="134" t="s">
        <v>87</v>
      </c>
      <c r="N36" s="134" t="s">
        <v>87</v>
      </c>
      <c r="O36" s="134"/>
    </row>
    <row r="37" spans="2:15" x14ac:dyDescent="0.3">
      <c r="B37" s="133" t="s">
        <v>1934</v>
      </c>
      <c r="C37" s="131">
        <v>195000</v>
      </c>
      <c r="D37" s="133" t="s">
        <v>1931</v>
      </c>
      <c r="E37" s="134">
        <v>204</v>
      </c>
      <c r="F37" s="134">
        <v>437</v>
      </c>
      <c r="G37" s="134">
        <v>426</v>
      </c>
      <c r="H37" s="134">
        <v>162</v>
      </c>
      <c r="I37" s="134">
        <v>310</v>
      </c>
      <c r="J37" s="149">
        <v>2</v>
      </c>
      <c r="K37" s="149">
        <v>2</v>
      </c>
      <c r="L37" s="134" t="s">
        <v>87</v>
      </c>
      <c r="M37" s="134" t="s">
        <v>87</v>
      </c>
      <c r="N37" s="134" t="s">
        <v>87</v>
      </c>
      <c r="O37" s="134"/>
    </row>
    <row r="38" spans="2:15" x14ac:dyDescent="0.3">
      <c r="B38" s="133" t="s">
        <v>1938</v>
      </c>
      <c r="C38" s="131">
        <v>303000</v>
      </c>
      <c r="D38" s="133" t="s">
        <v>1931</v>
      </c>
      <c r="E38" s="134">
        <v>200</v>
      </c>
      <c r="F38" s="134">
        <v>445</v>
      </c>
      <c r="G38" s="134">
        <v>421</v>
      </c>
      <c r="H38" s="134">
        <v>150</v>
      </c>
      <c r="I38" s="134">
        <v>280</v>
      </c>
      <c r="J38" s="149">
        <v>2</v>
      </c>
      <c r="K38" s="149">
        <v>2</v>
      </c>
      <c r="L38" s="134" t="s">
        <v>87</v>
      </c>
      <c r="M38" s="134" t="s">
        <v>87</v>
      </c>
      <c r="N38" s="134" t="s">
        <v>87</v>
      </c>
      <c r="O38" s="134"/>
    </row>
    <row r="39" spans="2:15" x14ac:dyDescent="0.3">
      <c r="B39" s="133" t="s">
        <v>1940</v>
      </c>
      <c r="C39" s="131">
        <v>86000</v>
      </c>
      <c r="D39" s="133" t="s">
        <v>205</v>
      </c>
      <c r="E39" s="134">
        <v>200</v>
      </c>
      <c r="F39" s="134">
        <v>430</v>
      </c>
      <c r="G39" s="134">
        <v>471</v>
      </c>
      <c r="H39" s="134">
        <v>150</v>
      </c>
      <c r="I39" s="134">
        <v>414</v>
      </c>
      <c r="J39" s="149">
        <v>2</v>
      </c>
      <c r="K39" s="149">
        <v>0</v>
      </c>
      <c r="L39" s="134" t="s">
        <v>87</v>
      </c>
      <c r="M39" s="134" t="s">
        <v>87</v>
      </c>
      <c r="N39" s="134" t="s">
        <v>87</v>
      </c>
      <c r="O39" s="134"/>
    </row>
    <row r="40" spans="2:15" x14ac:dyDescent="0.3">
      <c r="B40" s="133" t="s">
        <v>1939</v>
      </c>
      <c r="C40" s="131">
        <v>120000</v>
      </c>
      <c r="D40" s="133" t="s">
        <v>205</v>
      </c>
      <c r="E40" s="134">
        <v>220</v>
      </c>
      <c r="F40" s="134">
        <v>518</v>
      </c>
      <c r="G40" s="134">
        <v>474</v>
      </c>
      <c r="H40" s="134">
        <v>156</v>
      </c>
      <c r="I40" s="134">
        <v>380</v>
      </c>
      <c r="J40" s="149">
        <v>2</v>
      </c>
      <c r="K40" s="149">
        <v>0</v>
      </c>
      <c r="L40" s="134" t="s">
        <v>87</v>
      </c>
      <c r="M40" s="134" t="s">
        <v>87</v>
      </c>
      <c r="N40" s="134" t="s">
        <v>87</v>
      </c>
      <c r="O40" s="134"/>
    </row>
    <row r="41" spans="2:15" x14ac:dyDescent="0.3">
      <c r="B41" s="133" t="s">
        <v>1943</v>
      </c>
      <c r="C41" s="131">
        <v>151000</v>
      </c>
      <c r="D41" s="133" t="s">
        <v>205</v>
      </c>
      <c r="E41" s="134">
        <v>215</v>
      </c>
      <c r="F41" s="134">
        <v>425</v>
      </c>
      <c r="G41" s="134">
        <v>464</v>
      </c>
      <c r="H41" s="134">
        <v>170</v>
      </c>
      <c r="I41" s="134">
        <v>370</v>
      </c>
      <c r="J41" s="149">
        <v>2</v>
      </c>
      <c r="K41" s="149">
        <v>0</v>
      </c>
      <c r="L41" s="134" t="s">
        <v>87</v>
      </c>
      <c r="M41" s="134" t="s">
        <v>87</v>
      </c>
      <c r="N41" s="134" t="s">
        <v>87</v>
      </c>
      <c r="O41" s="134"/>
    </row>
    <row r="42" spans="2:15" x14ac:dyDescent="0.3">
      <c r="B42" s="133" t="s">
        <v>1942</v>
      </c>
      <c r="C42" s="131">
        <v>151000</v>
      </c>
      <c r="D42" s="133" t="s">
        <v>205</v>
      </c>
      <c r="E42" s="134">
        <v>215</v>
      </c>
      <c r="F42" s="134">
        <v>425</v>
      </c>
      <c r="G42" s="134">
        <v>464</v>
      </c>
      <c r="H42" s="134">
        <v>170</v>
      </c>
      <c r="I42" s="134">
        <v>370</v>
      </c>
      <c r="J42" s="149">
        <v>2</v>
      </c>
      <c r="K42" s="149">
        <v>0</v>
      </c>
      <c r="L42" s="134" t="s">
        <v>87</v>
      </c>
      <c r="M42" s="134" t="s">
        <v>87</v>
      </c>
      <c r="N42" s="134" t="s">
        <v>87</v>
      </c>
      <c r="O42" s="134"/>
    </row>
    <row r="43" spans="2:15" x14ac:dyDescent="0.3">
      <c r="B43" s="133" t="s">
        <v>1941</v>
      </c>
      <c r="C43" s="131">
        <v>151000</v>
      </c>
      <c r="D43" s="133" t="s">
        <v>205</v>
      </c>
      <c r="E43" s="134">
        <v>215</v>
      </c>
      <c r="F43" s="134">
        <v>425</v>
      </c>
      <c r="G43" s="134">
        <v>464</v>
      </c>
      <c r="H43" s="134">
        <v>170</v>
      </c>
      <c r="I43" s="134">
        <v>370</v>
      </c>
      <c r="J43" s="149">
        <v>2</v>
      </c>
      <c r="K43" s="149">
        <v>0</v>
      </c>
      <c r="L43" s="134" t="s">
        <v>87</v>
      </c>
      <c r="M43" s="134" t="s">
        <v>87</v>
      </c>
      <c r="N43" s="134" t="s">
        <v>87</v>
      </c>
      <c r="O43" s="134" t="s">
        <v>87</v>
      </c>
    </row>
    <row r="44" spans="2:15" x14ac:dyDescent="0.3">
      <c r="B44" s="133" t="s">
        <v>1944</v>
      </c>
      <c r="C44" s="131">
        <v>163000</v>
      </c>
      <c r="D44" s="133" t="s">
        <v>205</v>
      </c>
      <c r="E44" s="134">
        <v>210</v>
      </c>
      <c r="F44" s="134">
        <v>497</v>
      </c>
      <c r="G44" s="134">
        <v>494</v>
      </c>
      <c r="H44" s="134">
        <v>165</v>
      </c>
      <c r="I44" s="134">
        <v>430</v>
      </c>
      <c r="J44" s="149">
        <v>2</v>
      </c>
      <c r="K44" s="149">
        <v>0</v>
      </c>
      <c r="L44" s="134" t="s">
        <v>87</v>
      </c>
      <c r="M44" s="134" t="s">
        <v>87</v>
      </c>
      <c r="N44" s="134" t="s">
        <v>87</v>
      </c>
      <c r="O44" s="134" t="s">
        <v>87</v>
      </c>
    </row>
    <row r="45" spans="2:15" x14ac:dyDescent="0.3">
      <c r="B45" s="133" t="s">
        <v>1947</v>
      </c>
      <c r="C45" s="131">
        <v>184000</v>
      </c>
      <c r="D45" s="133" t="s">
        <v>205</v>
      </c>
      <c r="E45" s="134">
        <v>332</v>
      </c>
      <c r="F45" s="134">
        <v>415</v>
      </c>
      <c r="G45" s="134">
        <v>458</v>
      </c>
      <c r="H45" s="134">
        <v>170</v>
      </c>
      <c r="I45" s="134">
        <v>320</v>
      </c>
      <c r="J45" s="149">
        <v>2</v>
      </c>
      <c r="K45" s="149">
        <v>0</v>
      </c>
      <c r="L45" s="134" t="s">
        <v>87</v>
      </c>
      <c r="M45" s="134" t="s">
        <v>87</v>
      </c>
      <c r="N45" s="134" t="s">
        <v>87</v>
      </c>
      <c r="O45" s="134" t="s">
        <v>87</v>
      </c>
    </row>
    <row r="46" spans="2:15" x14ac:dyDescent="0.3">
      <c r="B46" s="133" t="s">
        <v>1945</v>
      </c>
      <c r="C46" s="131">
        <v>184000</v>
      </c>
      <c r="D46" s="133" t="s">
        <v>205</v>
      </c>
      <c r="E46" s="134">
        <v>332</v>
      </c>
      <c r="F46" s="134">
        <v>415</v>
      </c>
      <c r="G46" s="134">
        <v>458</v>
      </c>
      <c r="H46" s="134">
        <v>170</v>
      </c>
      <c r="I46" s="134">
        <v>320</v>
      </c>
      <c r="J46" s="149">
        <v>2</v>
      </c>
      <c r="K46" s="149">
        <v>0</v>
      </c>
      <c r="L46" s="134" t="s">
        <v>87</v>
      </c>
      <c r="M46" s="134" t="s">
        <v>87</v>
      </c>
      <c r="N46" s="134" t="s">
        <v>87</v>
      </c>
      <c r="O46" s="134" t="s">
        <v>87</v>
      </c>
    </row>
    <row r="47" spans="2:15" x14ac:dyDescent="0.3">
      <c r="B47" s="133" t="s">
        <v>1946</v>
      </c>
      <c r="C47" s="131">
        <v>184000</v>
      </c>
      <c r="D47" s="133" t="s">
        <v>205</v>
      </c>
      <c r="E47" s="134">
        <v>332</v>
      </c>
      <c r="F47" s="134">
        <v>415</v>
      </c>
      <c r="G47" s="134">
        <v>458</v>
      </c>
      <c r="H47" s="134">
        <v>170</v>
      </c>
      <c r="I47" s="134">
        <v>320</v>
      </c>
      <c r="J47" s="149">
        <v>2</v>
      </c>
      <c r="K47" s="149">
        <v>0</v>
      </c>
      <c r="L47" s="134" t="s">
        <v>87</v>
      </c>
      <c r="M47" s="134" t="s">
        <v>87</v>
      </c>
      <c r="N47" s="134" t="s">
        <v>87</v>
      </c>
      <c r="O47" s="134" t="s">
        <v>87</v>
      </c>
    </row>
    <row r="48" spans="2:15" x14ac:dyDescent="0.3">
      <c r="B48" s="133" t="s">
        <v>1948</v>
      </c>
      <c r="C48" s="131">
        <v>191000</v>
      </c>
      <c r="D48" s="133" t="s">
        <v>205</v>
      </c>
      <c r="E48" s="134">
        <v>260</v>
      </c>
      <c r="F48" s="134">
        <v>535</v>
      </c>
      <c r="G48" s="134">
        <v>454</v>
      </c>
      <c r="H48" s="134">
        <v>200</v>
      </c>
      <c r="I48" s="134">
        <v>370</v>
      </c>
      <c r="J48" s="149">
        <v>2</v>
      </c>
      <c r="K48" s="149">
        <v>2</v>
      </c>
      <c r="L48" s="134" t="s">
        <v>87</v>
      </c>
      <c r="M48" s="134" t="s">
        <v>1952</v>
      </c>
      <c r="N48" s="134" t="s">
        <v>87</v>
      </c>
      <c r="O48" s="134" t="s">
        <v>87</v>
      </c>
    </row>
    <row r="49" spans="2:15" x14ac:dyDescent="0.3">
      <c r="B49" s="133" t="s">
        <v>1950</v>
      </c>
      <c r="C49" s="131">
        <v>94320</v>
      </c>
      <c r="D49" s="133" t="s">
        <v>207</v>
      </c>
      <c r="E49" s="134">
        <v>214</v>
      </c>
      <c r="F49" s="134">
        <v>475</v>
      </c>
      <c r="G49" s="134">
        <v>492</v>
      </c>
      <c r="H49" s="134">
        <v>170</v>
      </c>
      <c r="I49" s="134">
        <v>450</v>
      </c>
      <c r="J49" s="149">
        <v>2</v>
      </c>
      <c r="K49" s="149">
        <v>0</v>
      </c>
      <c r="L49" s="134"/>
      <c r="M49" s="134" t="s">
        <v>1952</v>
      </c>
      <c r="N49" s="134" t="s">
        <v>87</v>
      </c>
      <c r="O49" s="134"/>
    </row>
    <row r="50" spans="2:15" x14ac:dyDescent="0.3">
      <c r="B50" s="133" t="s">
        <v>1951</v>
      </c>
      <c r="C50" s="131">
        <v>106050</v>
      </c>
      <c r="D50" s="133" t="s">
        <v>207</v>
      </c>
      <c r="E50" s="134">
        <v>210</v>
      </c>
      <c r="F50" s="134">
        <v>386</v>
      </c>
      <c r="G50" s="134">
        <v>504</v>
      </c>
      <c r="H50" s="134">
        <v>170</v>
      </c>
      <c r="I50" s="134">
        <v>290</v>
      </c>
      <c r="J50" s="149">
        <v>2</v>
      </c>
      <c r="K50" s="149">
        <v>0</v>
      </c>
      <c r="L50" s="134"/>
      <c r="M50" s="134" t="s">
        <v>1952</v>
      </c>
      <c r="N50" s="134" t="s">
        <v>87</v>
      </c>
      <c r="O50" s="134"/>
    </row>
    <row r="51" spans="2:15" x14ac:dyDescent="0.3">
      <c r="B51" s="133" t="s">
        <v>1949</v>
      </c>
      <c r="C51" s="131">
        <v>121030</v>
      </c>
      <c r="D51" s="133" t="s">
        <v>207</v>
      </c>
      <c r="E51" s="134">
        <v>210</v>
      </c>
      <c r="F51" s="134">
        <v>473</v>
      </c>
      <c r="G51" s="134">
        <v>500</v>
      </c>
      <c r="H51" s="134">
        <v>170</v>
      </c>
      <c r="I51" s="134">
        <v>370</v>
      </c>
      <c r="J51" s="149">
        <v>2</v>
      </c>
      <c r="K51" s="149">
        <v>0</v>
      </c>
      <c r="L51" s="134" t="s">
        <v>87</v>
      </c>
      <c r="M51" s="134" t="s">
        <v>87</v>
      </c>
      <c r="N51" s="134" t="s">
        <v>87</v>
      </c>
      <c r="O51" s="134"/>
    </row>
    <row r="52" spans="2:15" x14ac:dyDescent="0.3">
      <c r="B52" s="133" t="s">
        <v>1958</v>
      </c>
      <c r="C52" s="131">
        <v>123540</v>
      </c>
      <c r="D52" s="133" t="s">
        <v>207</v>
      </c>
      <c r="E52" s="134">
        <v>245</v>
      </c>
      <c r="F52" s="134">
        <v>375</v>
      </c>
      <c r="G52" s="134">
        <v>455</v>
      </c>
      <c r="H52" s="134">
        <v>150</v>
      </c>
      <c r="I52" s="134">
        <v>310</v>
      </c>
      <c r="J52" s="149">
        <v>1</v>
      </c>
      <c r="K52" s="149">
        <v>1</v>
      </c>
      <c r="L52" s="134"/>
      <c r="M52" s="134" t="s">
        <v>87</v>
      </c>
      <c r="N52" s="134" t="s">
        <v>87</v>
      </c>
      <c r="O52" s="134"/>
    </row>
    <row r="53" spans="2:15" x14ac:dyDescent="0.3">
      <c r="B53" s="133" t="s">
        <v>1959</v>
      </c>
      <c r="C53" s="131">
        <v>144000</v>
      </c>
      <c r="D53" s="133" t="s">
        <v>207</v>
      </c>
      <c r="E53" s="134">
        <v>210</v>
      </c>
      <c r="F53" s="134">
        <v>450</v>
      </c>
      <c r="G53" s="134">
        <v>500</v>
      </c>
      <c r="H53" s="134">
        <v>165</v>
      </c>
      <c r="I53" s="134">
        <v>300</v>
      </c>
      <c r="J53" s="149">
        <v>2</v>
      </c>
      <c r="K53" s="149">
        <v>0</v>
      </c>
      <c r="L53" s="134"/>
      <c r="M53" s="134" t="s">
        <v>87</v>
      </c>
      <c r="N53" s="134" t="s">
        <v>87</v>
      </c>
      <c r="O53" s="134"/>
    </row>
    <row r="54" spans="2:15" x14ac:dyDescent="0.3">
      <c r="B54" s="133" t="s">
        <v>1954</v>
      </c>
      <c r="C54" s="131">
        <v>211120</v>
      </c>
      <c r="D54" s="133" t="s">
        <v>207</v>
      </c>
      <c r="E54" s="134">
        <v>440</v>
      </c>
      <c r="F54" s="134">
        <v>435</v>
      </c>
      <c r="G54" s="134">
        <v>335</v>
      </c>
      <c r="H54" s="134">
        <v>120</v>
      </c>
      <c r="I54" s="277">
        <v>9.9999999999999997E+98</v>
      </c>
      <c r="J54" s="149">
        <v>0</v>
      </c>
      <c r="K54" s="149">
        <v>0</v>
      </c>
      <c r="L54" s="134" t="s">
        <v>87</v>
      </c>
      <c r="M54" s="134" t="s">
        <v>87</v>
      </c>
      <c r="N54" s="134" t="s">
        <v>87</v>
      </c>
      <c r="O54" s="134"/>
    </row>
    <row r="55" spans="2:15" x14ac:dyDescent="0.3">
      <c r="B55" s="133" t="s">
        <v>1956</v>
      </c>
      <c r="C55" s="131">
        <v>242530</v>
      </c>
      <c r="D55" s="133" t="s">
        <v>207</v>
      </c>
      <c r="E55" s="134">
        <v>230</v>
      </c>
      <c r="F55" s="134">
        <v>393</v>
      </c>
      <c r="G55" s="134">
        <v>489</v>
      </c>
      <c r="H55" s="134">
        <v>175</v>
      </c>
      <c r="I55" s="134">
        <v>400</v>
      </c>
      <c r="J55" s="149">
        <v>4</v>
      </c>
      <c r="K55" s="149">
        <v>0</v>
      </c>
      <c r="L55" s="134"/>
      <c r="M55" s="134" t="s">
        <v>87</v>
      </c>
      <c r="N55" s="134" t="s">
        <v>87</v>
      </c>
      <c r="O55" s="134"/>
    </row>
    <row r="56" spans="2:15" x14ac:dyDescent="0.3">
      <c r="B56" s="133" t="s">
        <v>1957</v>
      </c>
      <c r="C56" s="131">
        <v>332440</v>
      </c>
      <c r="D56" s="133" t="s">
        <v>207</v>
      </c>
      <c r="E56" s="134">
        <v>219</v>
      </c>
      <c r="F56" s="134">
        <v>500</v>
      </c>
      <c r="G56" s="134">
        <v>410</v>
      </c>
      <c r="H56" s="134">
        <v>150</v>
      </c>
      <c r="I56" s="134">
        <v>310</v>
      </c>
      <c r="J56" s="149">
        <v>2</v>
      </c>
      <c r="K56" s="149">
        <v>0</v>
      </c>
      <c r="L56" s="134" t="s">
        <v>87</v>
      </c>
      <c r="M56" s="134" t="s">
        <v>87</v>
      </c>
      <c r="N56" s="134"/>
      <c r="O56" s="134"/>
    </row>
    <row r="57" spans="2:15" x14ac:dyDescent="0.3">
      <c r="B57" s="133" t="s">
        <v>1953</v>
      </c>
      <c r="C57" s="131">
        <v>470720</v>
      </c>
      <c r="D57" s="133" t="s">
        <v>207</v>
      </c>
      <c r="E57" s="134">
        <v>341</v>
      </c>
      <c r="F57" s="134">
        <v>428</v>
      </c>
      <c r="G57" s="134">
        <v>404</v>
      </c>
      <c r="H57" s="134">
        <v>170</v>
      </c>
      <c r="I57" s="134">
        <v>370</v>
      </c>
      <c r="J57" s="149">
        <v>4</v>
      </c>
      <c r="K57" s="149">
        <v>0</v>
      </c>
      <c r="L57" s="134"/>
      <c r="M57" s="134" t="s">
        <v>87</v>
      </c>
      <c r="N57" s="134" t="s">
        <v>87</v>
      </c>
      <c r="O57" s="134"/>
    </row>
    <row r="58" spans="2:15" x14ac:dyDescent="0.3">
      <c r="B58" s="133" t="s">
        <v>1955</v>
      </c>
      <c r="C58" s="131">
        <v>488800</v>
      </c>
      <c r="D58" s="133" t="s">
        <v>207</v>
      </c>
      <c r="E58" s="134">
        <v>148</v>
      </c>
      <c r="F58" s="134">
        <v>585</v>
      </c>
      <c r="G58" s="134">
        <v>514</v>
      </c>
      <c r="H58" s="134">
        <v>85</v>
      </c>
      <c r="I58" s="134">
        <v>430</v>
      </c>
      <c r="J58" s="149">
        <v>4</v>
      </c>
      <c r="K58" s="149">
        <v>0</v>
      </c>
      <c r="L58" s="134"/>
      <c r="M58" s="134"/>
      <c r="N58" s="134" t="s">
        <v>87</v>
      </c>
      <c r="O58" s="134"/>
    </row>
    <row r="59" spans="2:15" x14ac:dyDescent="0.3">
      <c r="B59" s="133" t="s">
        <v>921</v>
      </c>
      <c r="C59" s="131"/>
      <c r="D59" s="133"/>
      <c r="E59" s="134"/>
      <c r="F59" s="134"/>
      <c r="G59" s="134"/>
      <c r="H59" s="134"/>
      <c r="I59" s="134"/>
      <c r="J59" s="134"/>
      <c r="K59" s="129"/>
      <c r="L59" s="129"/>
      <c r="M59" s="134"/>
      <c r="N59" s="134"/>
      <c r="O59" s="134"/>
    </row>
    <row r="60" spans="2:15" x14ac:dyDescent="0.3">
      <c r="B60" s="275" t="s">
        <v>1907</v>
      </c>
      <c r="C60" s="131"/>
      <c r="D60" s="133"/>
      <c r="E60" s="134"/>
      <c r="F60" s="134"/>
      <c r="G60" s="134"/>
      <c r="H60" s="134"/>
      <c r="I60" s="134"/>
      <c r="J60" s="134"/>
      <c r="K60" s="129"/>
      <c r="L60" s="129"/>
      <c r="M60" s="134"/>
      <c r="N60" s="134"/>
      <c r="O60" s="134"/>
    </row>
    <row r="61" spans="2:15" x14ac:dyDescent="0.3">
      <c r="B61" s="133" t="s">
        <v>1974</v>
      </c>
      <c r="C61" s="131">
        <v>62310</v>
      </c>
      <c r="D61" s="133" t="s">
        <v>1975</v>
      </c>
      <c r="E61" s="134">
        <v>250</v>
      </c>
      <c r="F61" s="134">
        <v>260</v>
      </c>
      <c r="G61" s="134">
        <v>235</v>
      </c>
      <c r="H61" s="134">
        <v>125</v>
      </c>
      <c r="I61" s="134">
        <v>210</v>
      </c>
      <c r="J61" s="134">
        <v>1</v>
      </c>
      <c r="K61" s="149">
        <v>1</v>
      </c>
      <c r="L61" s="134" t="s">
        <v>87</v>
      </c>
      <c r="M61" s="134"/>
      <c r="N61" s="134"/>
      <c r="O61" s="134"/>
    </row>
    <row r="62" spans="2:15" x14ac:dyDescent="0.3">
      <c r="B62" s="133" t="s">
        <v>1973</v>
      </c>
      <c r="C62" s="131">
        <v>27000</v>
      </c>
      <c r="D62" s="133" t="s">
        <v>1970</v>
      </c>
      <c r="E62" s="134">
        <v>65</v>
      </c>
      <c r="F62" s="134">
        <v>200</v>
      </c>
      <c r="G62" s="134">
        <v>235</v>
      </c>
      <c r="H62" s="134">
        <v>50</v>
      </c>
      <c r="I62" s="278">
        <v>58</v>
      </c>
      <c r="J62" s="134">
        <v>1</v>
      </c>
      <c r="K62" s="149">
        <v>0</v>
      </c>
      <c r="L62" s="134" t="s">
        <v>87</v>
      </c>
      <c r="M62" s="134"/>
      <c r="N62" s="134"/>
      <c r="O62" s="134"/>
    </row>
    <row r="63" spans="2:15" x14ac:dyDescent="0.3">
      <c r="B63" s="133" t="s">
        <v>1976</v>
      </c>
      <c r="C63" s="131">
        <v>75000</v>
      </c>
      <c r="D63" s="133" t="s">
        <v>1979</v>
      </c>
      <c r="E63" s="134">
        <v>200</v>
      </c>
      <c r="F63" s="134">
        <v>262</v>
      </c>
      <c r="G63" s="134">
        <v>224</v>
      </c>
      <c r="H63" s="134">
        <v>80</v>
      </c>
      <c r="I63" s="134">
        <v>220</v>
      </c>
      <c r="J63" s="134">
        <v>1</v>
      </c>
      <c r="K63" s="149">
        <v>1</v>
      </c>
      <c r="L63" s="134" t="s">
        <v>87</v>
      </c>
      <c r="M63" s="134"/>
      <c r="N63" s="134"/>
      <c r="O63" s="134"/>
    </row>
    <row r="64" spans="2:15" x14ac:dyDescent="0.3">
      <c r="B64" s="133" t="s">
        <v>1977</v>
      </c>
      <c r="C64" s="131">
        <v>120000</v>
      </c>
      <c r="D64" s="133" t="s">
        <v>1979</v>
      </c>
      <c r="E64" s="134">
        <v>238</v>
      </c>
      <c r="F64" s="134">
        <v>386.5</v>
      </c>
      <c r="G64" s="134">
        <v>239</v>
      </c>
      <c r="H64" s="134">
        <v>180</v>
      </c>
      <c r="I64" s="134">
        <v>300</v>
      </c>
      <c r="J64" s="134">
        <v>2</v>
      </c>
      <c r="K64" s="149">
        <v>0</v>
      </c>
      <c r="L64" s="134" t="s">
        <v>87</v>
      </c>
      <c r="M64" s="134"/>
      <c r="N64" s="134"/>
      <c r="O64" s="134"/>
    </row>
    <row r="65" spans="2:15" x14ac:dyDescent="0.3">
      <c r="B65" s="133" t="s">
        <v>1978</v>
      </c>
      <c r="C65" s="131">
        <v>151000</v>
      </c>
      <c r="D65" s="133" t="s">
        <v>1979</v>
      </c>
      <c r="E65" s="134">
        <v>160</v>
      </c>
      <c r="F65" s="134">
        <v>345</v>
      </c>
      <c r="G65" s="134">
        <v>300</v>
      </c>
      <c r="H65" s="134">
        <v>130</v>
      </c>
      <c r="I65" s="134">
        <v>270</v>
      </c>
      <c r="J65" s="134">
        <v>2</v>
      </c>
      <c r="K65" s="149">
        <v>2</v>
      </c>
      <c r="L65" s="134" t="s">
        <v>87</v>
      </c>
      <c r="M65" s="134"/>
      <c r="N65" s="134"/>
      <c r="O65" s="134"/>
    </row>
    <row r="66" spans="2:15" x14ac:dyDescent="0.3">
      <c r="B66" s="133" t="s">
        <v>1980</v>
      </c>
      <c r="C66" s="131">
        <v>146780</v>
      </c>
      <c r="D66" s="133" t="s">
        <v>1981</v>
      </c>
      <c r="E66" s="134">
        <v>292</v>
      </c>
      <c r="F66" s="134">
        <v>356</v>
      </c>
      <c r="G66" s="134">
        <v>393</v>
      </c>
      <c r="H66" s="134">
        <v>150</v>
      </c>
      <c r="I66" s="134">
        <v>290</v>
      </c>
      <c r="J66" s="134">
        <v>2</v>
      </c>
      <c r="K66" s="149">
        <v>0</v>
      </c>
      <c r="L66" s="134" t="s">
        <v>87</v>
      </c>
      <c r="M66" s="134"/>
      <c r="N66" s="134"/>
      <c r="O66" s="134"/>
    </row>
    <row r="67" spans="2:15" x14ac:dyDescent="0.3">
      <c r="B67" s="133" t="s">
        <v>1982</v>
      </c>
      <c r="C67" s="131">
        <v>83800</v>
      </c>
      <c r="D67" s="133" t="s">
        <v>207</v>
      </c>
      <c r="E67" s="134">
        <v>200</v>
      </c>
      <c r="F67" s="134">
        <v>300</v>
      </c>
      <c r="G67" s="134">
        <v>240</v>
      </c>
      <c r="H67" s="134">
        <v>70</v>
      </c>
      <c r="I67" s="134">
        <v>195</v>
      </c>
      <c r="J67" s="134">
        <v>2</v>
      </c>
      <c r="K67" s="149">
        <v>0</v>
      </c>
      <c r="L67" s="134" t="s">
        <v>87</v>
      </c>
      <c r="M67" s="134"/>
      <c r="N67" s="134"/>
      <c r="O67" s="134"/>
    </row>
    <row r="68" spans="2:15" x14ac:dyDescent="0.3">
      <c r="B68" s="133" t="s">
        <v>1983</v>
      </c>
      <c r="C68" s="131">
        <v>116160</v>
      </c>
      <c r="D68" s="133" t="s">
        <v>207</v>
      </c>
      <c r="E68" s="134">
        <v>229</v>
      </c>
      <c r="F68" s="134">
        <v>328</v>
      </c>
      <c r="G68" s="134">
        <v>240</v>
      </c>
      <c r="H68" s="134">
        <v>180</v>
      </c>
      <c r="I68" s="134">
        <v>220</v>
      </c>
      <c r="J68" s="134">
        <v>2</v>
      </c>
      <c r="K68" s="149">
        <v>0</v>
      </c>
      <c r="L68" s="134" t="s">
        <v>87</v>
      </c>
      <c r="M68" s="134"/>
      <c r="N68" s="134"/>
      <c r="O68" s="134"/>
    </row>
    <row r="69" spans="2:15" x14ac:dyDescent="0.3">
      <c r="B69" s="133" t="s">
        <v>1984</v>
      </c>
      <c r="C69" s="131">
        <v>181880</v>
      </c>
      <c r="D69" s="133" t="s">
        <v>207</v>
      </c>
      <c r="E69" s="134">
        <v>160</v>
      </c>
      <c r="F69" s="134">
        <v>491</v>
      </c>
      <c r="G69" s="134">
        <v>286</v>
      </c>
      <c r="H69" s="134">
        <v>80</v>
      </c>
      <c r="I69" s="134">
        <v>240</v>
      </c>
      <c r="J69" s="134">
        <v>2</v>
      </c>
      <c r="K69" s="149">
        <v>0</v>
      </c>
      <c r="L69" s="134" t="s">
        <v>87</v>
      </c>
      <c r="M69" s="134"/>
      <c r="N69" s="134"/>
      <c r="O69" s="134"/>
    </row>
    <row r="70" spans="2:15" x14ac:dyDescent="0.3">
      <c r="B70" s="133" t="s">
        <v>1985</v>
      </c>
      <c r="C70" s="131">
        <v>197040</v>
      </c>
      <c r="D70" s="133" t="s">
        <v>207</v>
      </c>
      <c r="E70" s="134">
        <v>246</v>
      </c>
      <c r="F70" s="134">
        <v>324</v>
      </c>
      <c r="G70" s="134">
        <v>320</v>
      </c>
      <c r="H70" s="134">
        <v>170</v>
      </c>
      <c r="I70" s="134">
        <v>300</v>
      </c>
      <c r="J70" s="134">
        <v>2</v>
      </c>
      <c r="K70" s="149">
        <v>0</v>
      </c>
      <c r="L70" s="134" t="s">
        <v>87</v>
      </c>
      <c r="M70" s="134"/>
      <c r="N70" s="134"/>
      <c r="O70" s="134"/>
    </row>
    <row r="71" spans="2:15" x14ac:dyDescent="0.3">
      <c r="B71" s="133" t="s">
        <v>918</v>
      </c>
      <c r="C71" s="131"/>
      <c r="D71" s="133"/>
      <c r="E71" s="134"/>
      <c r="F71" s="134"/>
      <c r="G71" s="134"/>
      <c r="H71" s="134"/>
      <c r="I71" s="134"/>
      <c r="J71" s="134"/>
      <c r="K71" s="129"/>
      <c r="L71" s="134"/>
      <c r="M71" s="134"/>
      <c r="N71" s="134"/>
      <c r="O71" s="134"/>
    </row>
    <row r="72" spans="2:15" x14ac:dyDescent="0.3">
      <c r="B72" s="275" t="s">
        <v>1908</v>
      </c>
      <c r="C72" s="131"/>
      <c r="D72" s="133"/>
      <c r="E72" s="134"/>
      <c r="F72" s="134"/>
      <c r="G72" s="134"/>
      <c r="H72" s="134"/>
      <c r="I72" s="134"/>
      <c r="J72" s="134"/>
      <c r="K72" s="129"/>
      <c r="L72" s="134"/>
      <c r="M72" s="134"/>
      <c r="N72" s="134"/>
      <c r="O72" s="134"/>
    </row>
    <row r="73" spans="2:15" x14ac:dyDescent="0.3">
      <c r="B73" s="133" t="s">
        <v>2012</v>
      </c>
      <c r="C73" s="131">
        <v>24000</v>
      </c>
      <c r="D73" s="133" t="s">
        <v>2013</v>
      </c>
      <c r="E73" s="134">
        <v>90</v>
      </c>
      <c r="F73" s="134">
        <v>293</v>
      </c>
      <c r="G73" s="134">
        <v>355</v>
      </c>
      <c r="H73" s="134">
        <v>147</v>
      </c>
      <c r="I73" s="134">
        <v>210</v>
      </c>
      <c r="J73" s="134">
        <v>1</v>
      </c>
      <c r="K73" s="149">
        <v>1</v>
      </c>
      <c r="L73" s="129"/>
      <c r="M73" s="134" t="s">
        <v>87</v>
      </c>
      <c r="N73" s="134"/>
      <c r="O73" s="134"/>
    </row>
    <row r="74" spans="2:15" x14ac:dyDescent="0.3">
      <c r="B74" s="133" t="s">
        <v>918</v>
      </c>
      <c r="C74" s="131"/>
      <c r="D74" s="133"/>
      <c r="E74" s="134"/>
      <c r="F74" s="134"/>
      <c r="G74" s="134"/>
      <c r="H74" s="134"/>
      <c r="I74" s="134"/>
      <c r="J74" s="134"/>
      <c r="K74" s="129"/>
      <c r="L74" s="129"/>
      <c r="M74" s="134"/>
      <c r="N74" s="134"/>
      <c r="O74" s="134"/>
    </row>
    <row r="75" spans="2:15" x14ac:dyDescent="0.3">
      <c r="B75" s="275" t="s">
        <v>204</v>
      </c>
      <c r="C75" s="133"/>
      <c r="D75" s="133"/>
      <c r="E75" s="134"/>
      <c r="F75" s="134"/>
      <c r="G75" s="134"/>
      <c r="H75" s="134"/>
      <c r="I75" s="134"/>
      <c r="J75" s="134"/>
      <c r="K75" s="125" t="s">
        <v>1311</v>
      </c>
      <c r="L75" s="129"/>
      <c r="M75" s="134"/>
      <c r="N75" s="134"/>
      <c r="O75" s="134"/>
    </row>
    <row r="76" spans="2:15" x14ac:dyDescent="0.3">
      <c r="B76" s="133" t="s">
        <v>2032</v>
      </c>
      <c r="C76" s="131">
        <v>14200</v>
      </c>
      <c r="D76" s="133" t="s">
        <v>1915</v>
      </c>
      <c r="E76" s="134">
        <v>185</v>
      </c>
      <c r="F76" s="134">
        <v>360</v>
      </c>
      <c r="G76" s="134">
        <v>315</v>
      </c>
      <c r="H76" s="134">
        <v>137</v>
      </c>
      <c r="I76" s="134">
        <v>270</v>
      </c>
      <c r="J76" s="149">
        <v>0</v>
      </c>
      <c r="K76" s="149">
        <v>2</v>
      </c>
      <c r="L76" s="134" t="s">
        <v>87</v>
      </c>
      <c r="M76" s="134" t="s">
        <v>87</v>
      </c>
      <c r="N76" s="134"/>
      <c r="O76" s="134"/>
    </row>
    <row r="77" spans="2:15" x14ac:dyDescent="0.3">
      <c r="B77" s="133" t="s">
        <v>2033</v>
      </c>
      <c r="C77" s="131">
        <v>17000</v>
      </c>
      <c r="D77" s="133" t="s">
        <v>1915</v>
      </c>
      <c r="E77" s="134">
        <v>180</v>
      </c>
      <c r="F77" s="134">
        <v>350</v>
      </c>
      <c r="G77" s="134">
        <v>365</v>
      </c>
      <c r="H77" s="134">
        <v>150</v>
      </c>
      <c r="I77" s="134">
        <v>330</v>
      </c>
      <c r="J77" s="149">
        <v>0</v>
      </c>
      <c r="K77" s="149">
        <v>2</v>
      </c>
      <c r="L77" s="134"/>
      <c r="M77" s="134" t="s">
        <v>87</v>
      </c>
      <c r="N77" s="134"/>
      <c r="O77" s="134"/>
    </row>
    <row r="78" spans="2:15" x14ac:dyDescent="0.3">
      <c r="B78" s="133" t="s">
        <v>2030</v>
      </c>
      <c r="C78" s="131">
        <v>18000</v>
      </c>
      <c r="D78" s="133" t="s">
        <v>1915</v>
      </c>
      <c r="E78" s="134">
        <v>195</v>
      </c>
      <c r="F78" s="134">
        <v>360</v>
      </c>
      <c r="G78" s="134">
        <v>363</v>
      </c>
      <c r="H78" s="134">
        <v>147</v>
      </c>
      <c r="I78" s="134">
        <v>290</v>
      </c>
      <c r="J78" s="149">
        <v>1</v>
      </c>
      <c r="K78" s="149">
        <v>1</v>
      </c>
      <c r="L78" s="129"/>
      <c r="M78" s="134" t="s">
        <v>87</v>
      </c>
      <c r="N78" s="134"/>
      <c r="O78" s="134"/>
    </row>
    <row r="79" spans="2:15" ht="12.6" customHeight="1" x14ac:dyDescent="0.3">
      <c r="B79" s="133" t="s">
        <v>2029</v>
      </c>
      <c r="C79" s="131">
        <v>22000</v>
      </c>
      <c r="D79" s="133" t="s">
        <v>1915</v>
      </c>
      <c r="E79" s="134">
        <v>205</v>
      </c>
      <c r="F79" s="134">
        <v>419</v>
      </c>
      <c r="G79" s="134">
        <v>372</v>
      </c>
      <c r="H79" s="134">
        <v>157</v>
      </c>
      <c r="I79" s="134">
        <v>300</v>
      </c>
      <c r="J79" s="149">
        <v>1</v>
      </c>
      <c r="K79" s="149">
        <v>2</v>
      </c>
      <c r="L79" s="134" t="s">
        <v>87</v>
      </c>
      <c r="M79" s="134" t="s">
        <v>87</v>
      </c>
      <c r="N79" s="134"/>
      <c r="O79" s="134"/>
    </row>
    <row r="80" spans="2:15" x14ac:dyDescent="0.3">
      <c r="B80" s="133" t="s">
        <v>2031</v>
      </c>
      <c r="C80" s="131">
        <v>26000</v>
      </c>
      <c r="D80" s="133" t="s">
        <v>1915</v>
      </c>
      <c r="E80" s="134">
        <v>180</v>
      </c>
      <c r="F80" s="134">
        <v>385</v>
      </c>
      <c r="G80" s="134">
        <v>365</v>
      </c>
      <c r="H80" s="134">
        <v>150</v>
      </c>
      <c r="I80" s="134">
        <v>300</v>
      </c>
      <c r="J80" s="149">
        <v>1</v>
      </c>
      <c r="K80" s="149">
        <v>2</v>
      </c>
      <c r="L80" s="129"/>
      <c r="M80" s="134" t="s">
        <v>87</v>
      </c>
      <c r="N80" s="134"/>
      <c r="O80" s="134"/>
    </row>
    <row r="81" spans="2:15" x14ac:dyDescent="0.3">
      <c r="B81" s="133" t="s">
        <v>2027</v>
      </c>
      <c r="C81" s="131">
        <v>56000</v>
      </c>
      <c r="D81" s="133" t="s">
        <v>2028</v>
      </c>
      <c r="E81" s="134">
        <v>230</v>
      </c>
      <c r="F81" s="134">
        <v>455</v>
      </c>
      <c r="G81" s="134">
        <v>454</v>
      </c>
      <c r="H81" s="134">
        <v>172</v>
      </c>
      <c r="I81" s="134">
        <v>380</v>
      </c>
      <c r="J81" s="149">
        <v>1</v>
      </c>
      <c r="K81" s="149">
        <v>2</v>
      </c>
      <c r="L81" s="134" t="s">
        <v>87</v>
      </c>
      <c r="M81" s="134" t="s">
        <v>87</v>
      </c>
      <c r="N81" s="134"/>
      <c r="O81" s="134"/>
    </row>
    <row r="82" spans="2:15" x14ac:dyDescent="0.3">
      <c r="B82" s="133" t="s">
        <v>2035</v>
      </c>
      <c r="C82" s="131">
        <v>89000</v>
      </c>
      <c r="D82" s="133" t="s">
        <v>1915</v>
      </c>
      <c r="E82" s="134">
        <v>256</v>
      </c>
      <c r="F82" s="134">
        <v>290</v>
      </c>
      <c r="G82" s="134">
        <v>270</v>
      </c>
      <c r="H82" s="134">
        <v>130</v>
      </c>
      <c r="I82" s="134">
        <v>240</v>
      </c>
      <c r="J82" s="149">
        <v>1</v>
      </c>
      <c r="K82" s="149">
        <v>1</v>
      </c>
      <c r="L82" s="129"/>
      <c r="M82" s="134" t="s">
        <v>87</v>
      </c>
      <c r="N82" s="134"/>
      <c r="O82" s="134"/>
    </row>
    <row r="83" spans="2:15" x14ac:dyDescent="0.3">
      <c r="B83" s="133" t="s">
        <v>2034</v>
      </c>
      <c r="C83" s="131">
        <v>92000</v>
      </c>
      <c r="D83" s="133" t="s">
        <v>1915</v>
      </c>
      <c r="E83" s="134">
        <v>185</v>
      </c>
      <c r="F83" s="134">
        <v>375</v>
      </c>
      <c r="G83" s="134">
        <v>330</v>
      </c>
      <c r="H83" s="134">
        <v>157</v>
      </c>
      <c r="I83" s="134">
        <v>270</v>
      </c>
      <c r="J83" s="149">
        <v>1</v>
      </c>
      <c r="K83" s="149">
        <v>1</v>
      </c>
      <c r="L83" s="134" t="s">
        <v>87</v>
      </c>
      <c r="M83" s="134" t="s">
        <v>87</v>
      </c>
      <c r="N83" s="134"/>
      <c r="O83" s="134"/>
    </row>
    <row r="84" spans="2:15" x14ac:dyDescent="0.3">
      <c r="B84" s="133" t="s">
        <v>2036</v>
      </c>
      <c r="C84" s="131">
        <v>9900</v>
      </c>
      <c r="D84" s="133" t="s">
        <v>2037</v>
      </c>
      <c r="E84" s="134">
        <v>190</v>
      </c>
      <c r="F84" s="134">
        <v>360</v>
      </c>
      <c r="G84" s="134">
        <v>367</v>
      </c>
      <c r="H84" s="134">
        <v>145</v>
      </c>
      <c r="I84" s="134">
        <v>280</v>
      </c>
      <c r="J84" s="149">
        <v>0</v>
      </c>
      <c r="K84" s="149">
        <v>2</v>
      </c>
      <c r="L84" s="134" t="s">
        <v>87</v>
      </c>
      <c r="M84" s="134" t="s">
        <v>87</v>
      </c>
      <c r="N84" s="134"/>
      <c r="O84" s="134"/>
    </row>
    <row r="85" spans="2:15" x14ac:dyDescent="0.3">
      <c r="B85" s="133" t="s">
        <v>2039</v>
      </c>
      <c r="C85" s="131">
        <v>12600</v>
      </c>
      <c r="D85" s="133" t="s">
        <v>2037</v>
      </c>
      <c r="E85" s="134">
        <v>190</v>
      </c>
      <c r="F85" s="134">
        <v>360</v>
      </c>
      <c r="G85" s="134">
        <v>367</v>
      </c>
      <c r="H85" s="134">
        <v>145</v>
      </c>
      <c r="I85" s="134">
        <v>280</v>
      </c>
      <c r="J85" s="149">
        <v>1</v>
      </c>
      <c r="K85" s="149">
        <v>1</v>
      </c>
      <c r="L85" s="134" t="s">
        <v>87</v>
      </c>
      <c r="M85" s="134" t="s">
        <v>87</v>
      </c>
      <c r="N85" s="134"/>
      <c r="O85" s="134"/>
    </row>
    <row r="86" spans="2:15" x14ac:dyDescent="0.3">
      <c r="B86" s="133" t="s">
        <v>2038</v>
      </c>
      <c r="C86" s="131">
        <v>15000</v>
      </c>
      <c r="D86" s="133" t="s">
        <v>2037</v>
      </c>
      <c r="E86" s="134">
        <v>165</v>
      </c>
      <c r="F86" s="134">
        <v>348</v>
      </c>
      <c r="G86" s="134">
        <v>294</v>
      </c>
      <c r="H86" s="134">
        <v>135</v>
      </c>
      <c r="I86" s="134">
        <v>250</v>
      </c>
      <c r="J86" s="149">
        <v>0</v>
      </c>
      <c r="K86" s="149">
        <v>2</v>
      </c>
      <c r="L86" s="134" t="s">
        <v>87</v>
      </c>
      <c r="M86" s="134" t="s">
        <v>87</v>
      </c>
      <c r="N86" s="134"/>
      <c r="O86" s="134"/>
    </row>
    <row r="87" spans="2:15" x14ac:dyDescent="0.3">
      <c r="B87" s="133" t="s">
        <v>2043</v>
      </c>
      <c r="C87" s="131">
        <v>18020</v>
      </c>
      <c r="D87" s="133" t="s">
        <v>2041</v>
      </c>
      <c r="E87" s="134">
        <v>167</v>
      </c>
      <c r="F87" s="134">
        <v>352</v>
      </c>
      <c r="G87" s="134">
        <v>300</v>
      </c>
      <c r="H87" s="134">
        <v>135</v>
      </c>
      <c r="I87" s="134">
        <v>250</v>
      </c>
      <c r="J87" s="149">
        <v>1</v>
      </c>
      <c r="K87" s="149">
        <v>1</v>
      </c>
      <c r="L87" s="134" t="s">
        <v>87</v>
      </c>
      <c r="M87" s="134" t="s">
        <v>87</v>
      </c>
      <c r="N87" s="134"/>
      <c r="O87" s="134"/>
    </row>
    <row r="88" spans="2:15" x14ac:dyDescent="0.3">
      <c r="B88" s="133" t="s">
        <v>2047</v>
      </c>
      <c r="C88" s="131">
        <v>22000</v>
      </c>
      <c r="D88" s="133" t="s">
        <v>2048</v>
      </c>
      <c r="E88" s="134">
        <v>200</v>
      </c>
      <c r="F88" s="134">
        <v>394</v>
      </c>
      <c r="G88" s="134">
        <v>390</v>
      </c>
      <c r="H88" s="134">
        <v>160</v>
      </c>
      <c r="I88" s="134">
        <v>318</v>
      </c>
      <c r="J88" s="149">
        <v>1</v>
      </c>
      <c r="K88" s="149">
        <v>2</v>
      </c>
      <c r="L88" s="134" t="s">
        <v>87</v>
      </c>
      <c r="M88" s="134" t="s">
        <v>87</v>
      </c>
      <c r="N88" s="134"/>
      <c r="O88" s="134"/>
    </row>
    <row r="89" spans="2:15" x14ac:dyDescent="0.3">
      <c r="B89" s="133" t="s">
        <v>2046</v>
      </c>
      <c r="C89" s="131">
        <v>23690</v>
      </c>
      <c r="D89" s="133" t="s">
        <v>2041</v>
      </c>
      <c r="E89" s="134">
        <v>200</v>
      </c>
      <c r="F89" s="134">
        <v>360</v>
      </c>
      <c r="G89" s="134">
        <v>402</v>
      </c>
      <c r="H89" s="134">
        <v>158</v>
      </c>
      <c r="I89" s="134">
        <v>350</v>
      </c>
      <c r="J89" s="149">
        <v>1</v>
      </c>
      <c r="K89" s="149">
        <v>1</v>
      </c>
      <c r="L89" s="134" t="s">
        <v>87</v>
      </c>
      <c r="M89" s="134" t="s">
        <v>87</v>
      </c>
      <c r="N89" s="134"/>
      <c r="O89" s="134"/>
    </row>
    <row r="90" spans="2:15" x14ac:dyDescent="0.3">
      <c r="B90" s="133" t="s">
        <v>2040</v>
      </c>
      <c r="C90" s="131">
        <v>29000</v>
      </c>
      <c r="D90" s="133" t="s">
        <v>2041</v>
      </c>
      <c r="E90" s="134">
        <v>195</v>
      </c>
      <c r="F90" s="134">
        <v>398</v>
      </c>
      <c r="G90" s="134">
        <v>368</v>
      </c>
      <c r="H90" s="134">
        <v>155</v>
      </c>
      <c r="I90" s="134">
        <v>300</v>
      </c>
      <c r="J90" s="149">
        <v>1</v>
      </c>
      <c r="K90" s="149">
        <v>2</v>
      </c>
      <c r="L90" s="134" t="s">
        <v>87</v>
      </c>
      <c r="M90" s="134" t="s">
        <v>87</v>
      </c>
      <c r="N90" s="134"/>
      <c r="O90" s="134"/>
    </row>
    <row r="91" spans="2:15" x14ac:dyDescent="0.3">
      <c r="B91" s="133" t="s">
        <v>2044</v>
      </c>
      <c r="C91" s="131">
        <v>30000</v>
      </c>
      <c r="D91" s="133" t="s">
        <v>137</v>
      </c>
      <c r="E91" s="134">
        <v>205</v>
      </c>
      <c r="F91" s="134">
        <v>422</v>
      </c>
      <c r="G91" s="134">
        <v>407</v>
      </c>
      <c r="H91" s="134">
        <v>158</v>
      </c>
      <c r="I91" s="134">
        <v>360</v>
      </c>
      <c r="J91" s="149">
        <v>1</v>
      </c>
      <c r="K91" s="149">
        <v>2</v>
      </c>
      <c r="L91" s="134" t="s">
        <v>87</v>
      </c>
      <c r="M91" s="134" t="s">
        <v>87</v>
      </c>
      <c r="N91" s="134"/>
      <c r="O91" s="134"/>
    </row>
    <row r="92" spans="2:15" x14ac:dyDescent="0.3">
      <c r="B92" s="133" t="s">
        <v>2042</v>
      </c>
      <c r="C92" s="131">
        <v>34000</v>
      </c>
      <c r="D92" s="133" t="s">
        <v>2041</v>
      </c>
      <c r="E92" s="134">
        <v>219</v>
      </c>
      <c r="F92" s="134">
        <v>323</v>
      </c>
      <c r="G92" s="134">
        <v>291</v>
      </c>
      <c r="H92" s="134">
        <v>85</v>
      </c>
      <c r="I92" s="134">
        <v>260</v>
      </c>
      <c r="J92" s="149">
        <v>2</v>
      </c>
      <c r="K92" s="149">
        <v>2</v>
      </c>
      <c r="L92" s="134" t="s">
        <v>87</v>
      </c>
      <c r="M92" s="134" t="s">
        <v>87</v>
      </c>
      <c r="N92" s="134"/>
      <c r="O92" s="134"/>
    </row>
    <row r="93" spans="2:15" x14ac:dyDescent="0.3">
      <c r="B93" s="133" t="s">
        <v>2045</v>
      </c>
      <c r="C93" s="131">
        <v>172700</v>
      </c>
      <c r="D93" s="133" t="s">
        <v>2041</v>
      </c>
      <c r="E93" s="134">
        <v>220</v>
      </c>
      <c r="F93" s="134">
        <v>450</v>
      </c>
      <c r="G93" s="134">
        <v>435</v>
      </c>
      <c r="H93" s="134">
        <v>155</v>
      </c>
      <c r="I93" s="134">
        <v>370</v>
      </c>
      <c r="J93" s="149">
        <v>2</v>
      </c>
      <c r="K93" s="149">
        <v>2</v>
      </c>
      <c r="L93" s="134" t="s">
        <v>87</v>
      </c>
      <c r="M93" s="134" t="s">
        <v>87</v>
      </c>
      <c r="N93" s="134"/>
      <c r="O93" s="134"/>
    </row>
    <row r="94" spans="2:15" x14ac:dyDescent="0.3">
      <c r="B94" s="133" t="s">
        <v>2019</v>
      </c>
      <c r="C94" s="131">
        <v>38000</v>
      </c>
      <c r="D94" s="133" t="s">
        <v>1979</v>
      </c>
      <c r="E94" s="134">
        <v>265</v>
      </c>
      <c r="F94" s="134">
        <v>330</v>
      </c>
      <c r="G94" s="134">
        <v>345</v>
      </c>
      <c r="H94" s="134">
        <v>180</v>
      </c>
      <c r="I94" s="134">
        <v>295</v>
      </c>
      <c r="J94" s="149">
        <v>1</v>
      </c>
      <c r="K94" s="149">
        <v>2</v>
      </c>
      <c r="L94" s="134" t="s">
        <v>87</v>
      </c>
      <c r="M94" s="134" t="s">
        <v>87</v>
      </c>
      <c r="N94" s="134"/>
      <c r="O94" s="134"/>
    </row>
    <row r="95" spans="2:15" x14ac:dyDescent="0.3">
      <c r="B95" s="133" t="s">
        <v>2020</v>
      </c>
      <c r="C95" s="131">
        <v>45000</v>
      </c>
      <c r="D95" s="133" t="s">
        <v>1979</v>
      </c>
      <c r="E95" s="134">
        <v>265</v>
      </c>
      <c r="F95" s="134">
        <v>355</v>
      </c>
      <c r="G95" s="134">
        <v>372</v>
      </c>
      <c r="H95" s="134">
        <v>180</v>
      </c>
      <c r="I95" s="134">
        <v>295</v>
      </c>
      <c r="J95" s="149">
        <v>1</v>
      </c>
      <c r="K95" s="149">
        <v>2</v>
      </c>
      <c r="L95" s="134" t="s">
        <v>87</v>
      </c>
      <c r="M95" s="134" t="s">
        <v>87</v>
      </c>
      <c r="N95" s="134"/>
      <c r="O95" s="134"/>
    </row>
    <row r="96" spans="2:15" x14ac:dyDescent="0.3">
      <c r="B96" s="133" t="s">
        <v>2021</v>
      </c>
      <c r="C96" s="131">
        <v>76000</v>
      </c>
      <c r="D96" s="133" t="s">
        <v>1979</v>
      </c>
      <c r="E96" s="134">
        <v>275</v>
      </c>
      <c r="F96" s="134">
        <v>369</v>
      </c>
      <c r="G96" s="134">
        <v>373</v>
      </c>
      <c r="H96" s="134">
        <v>155</v>
      </c>
      <c r="I96" s="134">
        <v>320</v>
      </c>
      <c r="J96" s="149">
        <v>2</v>
      </c>
      <c r="K96" s="149">
        <v>1</v>
      </c>
      <c r="L96" s="134" t="s">
        <v>87</v>
      </c>
      <c r="M96" s="134" t="s">
        <v>87</v>
      </c>
      <c r="N96" s="134"/>
      <c r="O96" s="134"/>
    </row>
    <row r="97" spans="2:15" x14ac:dyDescent="0.3">
      <c r="B97" s="133" t="s">
        <v>2024</v>
      </c>
      <c r="C97" s="131">
        <v>139000</v>
      </c>
      <c r="D97" s="133" t="s">
        <v>1979</v>
      </c>
      <c r="E97" s="134">
        <v>215</v>
      </c>
      <c r="F97" s="134">
        <v>385</v>
      </c>
      <c r="G97" s="134">
        <v>336</v>
      </c>
      <c r="H97" s="134">
        <v>170</v>
      </c>
      <c r="I97" s="134">
        <v>310</v>
      </c>
      <c r="J97" s="149">
        <v>2</v>
      </c>
      <c r="K97" s="149">
        <v>0</v>
      </c>
      <c r="L97" s="134" t="s">
        <v>87</v>
      </c>
      <c r="M97" s="134" t="s">
        <v>87</v>
      </c>
      <c r="N97" s="134"/>
      <c r="O97" s="134"/>
    </row>
    <row r="98" spans="2:15" x14ac:dyDescent="0.3">
      <c r="B98" s="133" t="s">
        <v>2022</v>
      </c>
      <c r="C98" s="131">
        <v>141500</v>
      </c>
      <c r="D98" s="133" t="s">
        <v>1979</v>
      </c>
      <c r="E98" s="134">
        <v>208</v>
      </c>
      <c r="F98" s="134">
        <v>359</v>
      </c>
      <c r="G98" s="134">
        <v>270</v>
      </c>
      <c r="H98" s="134">
        <v>175</v>
      </c>
      <c r="I98" s="134">
        <v>260</v>
      </c>
      <c r="J98" s="149">
        <v>2</v>
      </c>
      <c r="K98" s="149">
        <v>0</v>
      </c>
      <c r="L98" s="134" t="s">
        <v>87</v>
      </c>
      <c r="M98" s="134" t="s">
        <v>87</v>
      </c>
      <c r="N98" s="134"/>
      <c r="O98" s="134"/>
    </row>
    <row r="99" spans="2:15" x14ac:dyDescent="0.3">
      <c r="B99" s="133" t="s">
        <v>2023</v>
      </c>
      <c r="C99" s="131">
        <v>154000</v>
      </c>
      <c r="D99" s="133" t="s">
        <v>1979</v>
      </c>
      <c r="E99" s="134">
        <v>188</v>
      </c>
      <c r="F99" s="134">
        <v>365</v>
      </c>
      <c r="G99" s="134">
        <v>3558</v>
      </c>
      <c r="H99" s="134">
        <v>163</v>
      </c>
      <c r="I99" s="134">
        <v>320</v>
      </c>
      <c r="J99" s="149">
        <v>2</v>
      </c>
      <c r="K99" s="149">
        <v>2</v>
      </c>
      <c r="L99" s="134" t="s">
        <v>87</v>
      </c>
      <c r="M99" s="134" t="s">
        <v>87</v>
      </c>
      <c r="N99" s="134"/>
      <c r="O99" s="134"/>
    </row>
    <row r="100" spans="2:15" x14ac:dyDescent="0.3">
      <c r="B100" s="133" t="s">
        <v>2008</v>
      </c>
      <c r="C100" s="131">
        <v>68000</v>
      </c>
      <c r="D100" s="133" t="s">
        <v>205</v>
      </c>
      <c r="E100" s="134">
        <v>198</v>
      </c>
      <c r="F100" s="134">
        <v>378</v>
      </c>
      <c r="G100" s="134">
        <v>448</v>
      </c>
      <c r="H100" s="134">
        <v>150</v>
      </c>
      <c r="I100" s="134">
        <v>383</v>
      </c>
      <c r="J100" s="149">
        <v>1</v>
      </c>
      <c r="K100" s="149">
        <v>1</v>
      </c>
      <c r="L100" s="134" t="s">
        <v>87</v>
      </c>
      <c r="M100" s="134" t="s">
        <v>87</v>
      </c>
      <c r="N100" s="134"/>
      <c r="O100" s="134"/>
    </row>
    <row r="101" spans="2:15" x14ac:dyDescent="0.3">
      <c r="B101" s="133" t="s">
        <v>2009</v>
      </c>
      <c r="C101" s="131">
        <v>107940</v>
      </c>
      <c r="D101" s="133" t="s">
        <v>205</v>
      </c>
      <c r="E101" s="134">
        <v>277</v>
      </c>
      <c r="F101" s="134">
        <v>350</v>
      </c>
      <c r="G101" s="134">
        <v>290</v>
      </c>
      <c r="H101" s="134">
        <v>95</v>
      </c>
      <c r="I101" s="134">
        <v>290</v>
      </c>
      <c r="J101" s="149">
        <v>2</v>
      </c>
      <c r="K101" s="149">
        <v>0</v>
      </c>
      <c r="L101" s="134" t="s">
        <v>87</v>
      </c>
      <c r="M101" s="134"/>
      <c r="N101" s="134"/>
      <c r="O101" s="134"/>
    </row>
    <row r="102" spans="2:15" x14ac:dyDescent="0.3">
      <c r="B102" s="133" t="s">
        <v>2011</v>
      </c>
      <c r="C102" s="131">
        <v>141000</v>
      </c>
      <c r="D102" s="133" t="s">
        <v>205</v>
      </c>
      <c r="E102" s="134">
        <v>260</v>
      </c>
      <c r="F102" s="134">
        <v>320</v>
      </c>
      <c r="G102" s="134">
        <v>397</v>
      </c>
      <c r="H102" s="134">
        <v>120</v>
      </c>
      <c r="I102" s="134">
        <v>290</v>
      </c>
      <c r="J102" s="149">
        <v>2</v>
      </c>
      <c r="K102" s="149">
        <v>0</v>
      </c>
      <c r="L102" s="134" t="s">
        <v>87</v>
      </c>
      <c r="M102" s="134" t="s">
        <v>87</v>
      </c>
      <c r="N102" s="134"/>
      <c r="O102" s="134"/>
    </row>
    <row r="103" spans="2:15" x14ac:dyDescent="0.3">
      <c r="B103" s="133" t="s">
        <v>2010</v>
      </c>
      <c r="C103" s="131">
        <v>151000</v>
      </c>
      <c r="D103" s="133" t="s">
        <v>205</v>
      </c>
      <c r="E103" s="134">
        <v>210</v>
      </c>
      <c r="F103" s="134">
        <v>450</v>
      </c>
      <c r="G103" s="134">
        <v>440</v>
      </c>
      <c r="H103" s="134">
        <v>160</v>
      </c>
      <c r="I103" s="134">
        <v>380</v>
      </c>
      <c r="J103" s="149">
        <v>2</v>
      </c>
      <c r="K103" s="149">
        <v>0</v>
      </c>
      <c r="L103" s="134" t="s">
        <v>87</v>
      </c>
      <c r="M103" s="134" t="s">
        <v>87</v>
      </c>
      <c r="N103" s="134"/>
      <c r="O103" s="134"/>
    </row>
    <row r="104" spans="2:15" x14ac:dyDescent="0.3">
      <c r="B104" s="133" t="s">
        <v>1986</v>
      </c>
      <c r="C104" s="131">
        <v>123540</v>
      </c>
      <c r="D104" s="133" t="s">
        <v>1987</v>
      </c>
      <c r="E104" s="134">
        <v>158</v>
      </c>
      <c r="F104" s="134">
        <v>275</v>
      </c>
      <c r="G104" s="134">
        <v>242</v>
      </c>
      <c r="H104" s="134">
        <v>60</v>
      </c>
      <c r="I104" s="134">
        <v>190</v>
      </c>
      <c r="J104" s="149">
        <v>2</v>
      </c>
      <c r="K104" s="149">
        <v>0</v>
      </c>
      <c r="L104" s="134" t="s">
        <v>87</v>
      </c>
      <c r="M104" s="134"/>
      <c r="N104" s="134"/>
      <c r="O104" s="134"/>
    </row>
    <row r="105" spans="2:15" x14ac:dyDescent="0.3">
      <c r="B105" s="133" t="s">
        <v>1988</v>
      </c>
      <c r="C105" s="131">
        <v>143420</v>
      </c>
      <c r="D105" s="133" t="s">
        <v>1989</v>
      </c>
      <c r="E105" s="134">
        <v>188</v>
      </c>
      <c r="F105" s="134">
        <v>385</v>
      </c>
      <c r="G105" s="134">
        <v>460</v>
      </c>
      <c r="H105" s="134">
        <v>145</v>
      </c>
      <c r="I105" s="134">
        <v>385</v>
      </c>
      <c r="J105" s="149">
        <v>2</v>
      </c>
      <c r="K105" s="149">
        <v>0</v>
      </c>
      <c r="L105" s="134" t="s">
        <v>87</v>
      </c>
      <c r="M105" s="134" t="s">
        <v>87</v>
      </c>
      <c r="N105" s="134"/>
      <c r="O105" s="134"/>
    </row>
    <row r="106" spans="2:15" x14ac:dyDescent="0.3">
      <c r="B106" s="133" t="s">
        <v>1990</v>
      </c>
      <c r="C106" s="131">
        <v>217260</v>
      </c>
      <c r="D106" s="133" t="s">
        <v>1989</v>
      </c>
      <c r="E106" s="134">
        <v>324</v>
      </c>
      <c r="F106" s="134">
        <v>286</v>
      </c>
      <c r="G106" s="134">
        <v>390</v>
      </c>
      <c r="H106" s="134">
        <v>130</v>
      </c>
      <c r="I106" s="134">
        <v>330</v>
      </c>
      <c r="J106" s="149">
        <v>2</v>
      </c>
      <c r="K106" s="149">
        <v>0</v>
      </c>
      <c r="L106" s="134" t="s">
        <v>87</v>
      </c>
      <c r="M106" s="134" t="s">
        <v>87</v>
      </c>
      <c r="N106" s="134"/>
      <c r="O106" s="134"/>
    </row>
    <row r="107" spans="2:15" x14ac:dyDescent="0.3">
      <c r="B107" s="133" t="s">
        <v>1991</v>
      </c>
      <c r="C107" s="131">
        <v>226220</v>
      </c>
      <c r="D107" s="133" t="s">
        <v>1989</v>
      </c>
      <c r="E107" s="134">
        <v>221</v>
      </c>
      <c r="F107" s="134">
        <v>320</v>
      </c>
      <c r="G107" s="134">
        <v>340</v>
      </c>
      <c r="H107" s="134">
        <v>160</v>
      </c>
      <c r="I107" s="134">
        <v>310</v>
      </c>
      <c r="J107" s="149">
        <v>2</v>
      </c>
      <c r="K107" s="149">
        <v>0</v>
      </c>
      <c r="L107" s="134"/>
      <c r="M107" s="134" t="s">
        <v>87</v>
      </c>
      <c r="N107" s="134"/>
      <c r="O107" s="134"/>
    </row>
    <row r="108" spans="2:15" x14ac:dyDescent="0.3">
      <c r="B108" s="133" t="s">
        <v>920</v>
      </c>
      <c r="C108" s="131"/>
      <c r="D108" s="133"/>
      <c r="E108" s="134"/>
      <c r="F108" s="134"/>
      <c r="G108" s="134"/>
      <c r="H108" s="134"/>
      <c r="I108" s="134"/>
      <c r="J108" s="134"/>
      <c r="K108" s="129"/>
      <c r="L108" s="134"/>
      <c r="M108" s="134"/>
      <c r="N108" s="134"/>
      <c r="O108" s="134"/>
    </row>
    <row r="109" spans="2:15" x14ac:dyDescent="0.3">
      <c r="B109" s="275" t="s">
        <v>208</v>
      </c>
      <c r="C109" s="131"/>
      <c r="D109" s="133"/>
      <c r="E109" s="134"/>
      <c r="F109" s="134"/>
      <c r="G109" s="134"/>
      <c r="H109" s="134"/>
      <c r="I109" s="134"/>
      <c r="J109" s="134"/>
      <c r="K109" s="129"/>
      <c r="L109" s="129"/>
      <c r="M109" s="134"/>
      <c r="N109" s="134"/>
      <c r="O109" s="134"/>
    </row>
    <row r="110" spans="2:15" x14ac:dyDescent="0.3">
      <c r="B110" s="133" t="s">
        <v>2025</v>
      </c>
      <c r="C110" s="131">
        <v>102800</v>
      </c>
      <c r="D110" s="133" t="s">
        <v>1915</v>
      </c>
      <c r="E110" s="134">
        <v>210</v>
      </c>
      <c r="F110" s="134">
        <v>527</v>
      </c>
      <c r="G110" s="134">
        <v>505</v>
      </c>
      <c r="H110" s="134">
        <v>172</v>
      </c>
      <c r="I110" s="134">
        <v>430</v>
      </c>
      <c r="J110" s="149">
        <v>2</v>
      </c>
      <c r="K110" s="149">
        <v>2</v>
      </c>
      <c r="L110" s="134" t="s">
        <v>87</v>
      </c>
      <c r="M110" s="134" t="s">
        <v>87</v>
      </c>
      <c r="N110" s="134" t="s">
        <v>87</v>
      </c>
      <c r="O110" s="134"/>
    </row>
    <row r="111" spans="2:15" x14ac:dyDescent="0.3">
      <c r="B111" s="133" t="s">
        <v>2026</v>
      </c>
      <c r="C111" s="131">
        <v>128500</v>
      </c>
      <c r="D111" s="133" t="s">
        <v>1915</v>
      </c>
      <c r="E111" s="134">
        <v>210</v>
      </c>
      <c r="F111" s="134">
        <v>516</v>
      </c>
      <c r="G111" s="134">
        <v>505</v>
      </c>
      <c r="H111" s="134">
        <v>165</v>
      </c>
      <c r="I111" s="134">
        <v>430</v>
      </c>
      <c r="J111" s="149">
        <v>2</v>
      </c>
      <c r="K111" s="149">
        <v>2</v>
      </c>
      <c r="L111" s="129"/>
      <c r="M111" s="134" t="s">
        <v>87</v>
      </c>
      <c r="N111" s="134" t="s">
        <v>87</v>
      </c>
      <c r="O111" s="134"/>
    </row>
    <row r="112" spans="2:15" x14ac:dyDescent="0.3">
      <c r="B112" s="133" t="s">
        <v>2014</v>
      </c>
      <c r="C112" s="131">
        <v>58000</v>
      </c>
      <c r="D112" s="133" t="s">
        <v>1979</v>
      </c>
      <c r="E112" s="134">
        <v>210</v>
      </c>
      <c r="F112" s="134">
        <v>495</v>
      </c>
      <c r="G112" s="134">
        <v>513</v>
      </c>
      <c r="H112" s="134">
        <v>165</v>
      </c>
      <c r="I112" s="134">
        <v>325</v>
      </c>
      <c r="J112" s="149">
        <v>1</v>
      </c>
      <c r="K112" s="149">
        <v>2</v>
      </c>
      <c r="L112" s="134" t="s">
        <v>87</v>
      </c>
      <c r="M112" s="134" t="s">
        <v>87</v>
      </c>
      <c r="N112" s="134" t="s">
        <v>87</v>
      </c>
      <c r="O112" s="134" t="s">
        <v>87</v>
      </c>
    </row>
    <row r="113" spans="2:15" x14ac:dyDescent="0.3">
      <c r="B113" s="133" t="s">
        <v>2015</v>
      </c>
      <c r="C113" s="131">
        <v>58000</v>
      </c>
      <c r="D113" s="133" t="s">
        <v>1979</v>
      </c>
      <c r="E113" s="134">
        <v>210</v>
      </c>
      <c r="F113" s="134">
        <v>505</v>
      </c>
      <c r="G113" s="134">
        <v>510</v>
      </c>
      <c r="H113" s="134">
        <v>165</v>
      </c>
      <c r="I113" s="134">
        <v>325</v>
      </c>
      <c r="J113" s="149">
        <v>1</v>
      </c>
      <c r="K113" s="149">
        <v>2</v>
      </c>
      <c r="L113" s="134" t="s">
        <v>87</v>
      </c>
      <c r="M113" s="134" t="s">
        <v>87</v>
      </c>
      <c r="N113" s="134" t="s">
        <v>87</v>
      </c>
      <c r="O113" s="134" t="s">
        <v>87</v>
      </c>
    </row>
    <row r="114" spans="2:15" x14ac:dyDescent="0.3">
      <c r="B114" s="133" t="s">
        <v>2018</v>
      </c>
      <c r="C114" s="131">
        <v>68000</v>
      </c>
      <c r="D114" s="133" t="s">
        <v>1979</v>
      </c>
      <c r="E114" s="134">
        <v>210</v>
      </c>
      <c r="F114" s="134">
        <v>535</v>
      </c>
      <c r="G114" s="134">
        <v>501</v>
      </c>
      <c r="H114" s="134">
        <v>165</v>
      </c>
      <c r="I114" s="134">
        <v>325</v>
      </c>
      <c r="J114" s="149">
        <v>2</v>
      </c>
      <c r="K114" s="149">
        <v>2</v>
      </c>
      <c r="L114" s="134" t="s">
        <v>87</v>
      </c>
      <c r="M114" s="134" t="s">
        <v>87</v>
      </c>
      <c r="N114" s="134" t="s">
        <v>87</v>
      </c>
      <c r="O114" s="134" t="s">
        <v>87</v>
      </c>
    </row>
    <row r="115" spans="2:15" x14ac:dyDescent="0.3">
      <c r="B115" s="133" t="s">
        <v>2016</v>
      </c>
      <c r="C115" s="131">
        <v>74000</v>
      </c>
      <c r="D115" s="133" t="s">
        <v>1979</v>
      </c>
      <c r="E115" s="134">
        <v>210</v>
      </c>
      <c r="F115" s="134">
        <v>505</v>
      </c>
      <c r="G115" s="134">
        <v>510</v>
      </c>
      <c r="H115" s="134">
        <v>165</v>
      </c>
      <c r="I115" s="134">
        <v>325</v>
      </c>
      <c r="J115" s="149">
        <v>2</v>
      </c>
      <c r="K115" s="149">
        <v>1</v>
      </c>
      <c r="L115" s="134" t="s">
        <v>87</v>
      </c>
      <c r="M115" s="134" t="s">
        <v>87</v>
      </c>
      <c r="N115" s="134" t="s">
        <v>87</v>
      </c>
      <c r="O115" s="134" t="s">
        <v>87</v>
      </c>
    </row>
    <row r="116" spans="2:15" x14ac:dyDescent="0.3">
      <c r="B116" s="133" t="s">
        <v>2017</v>
      </c>
      <c r="C116" s="131">
        <v>132000</v>
      </c>
      <c r="D116" s="133" t="s">
        <v>1979</v>
      </c>
      <c r="E116" s="134">
        <v>227</v>
      </c>
      <c r="F116" s="134">
        <v>498</v>
      </c>
      <c r="G116" s="134">
        <v>491</v>
      </c>
      <c r="H116" s="134">
        <v>170</v>
      </c>
      <c r="I116" s="134">
        <v>420</v>
      </c>
      <c r="J116" s="149">
        <v>2</v>
      </c>
      <c r="K116" s="149">
        <v>2</v>
      </c>
      <c r="L116" s="134" t="s">
        <v>87</v>
      </c>
      <c r="M116" s="134" t="s">
        <v>87</v>
      </c>
      <c r="N116" s="134" t="s">
        <v>87</v>
      </c>
      <c r="O116" s="134" t="s">
        <v>87</v>
      </c>
    </row>
    <row r="117" spans="2:15" x14ac:dyDescent="0.3">
      <c r="B117" s="133" t="s">
        <v>2004</v>
      </c>
      <c r="C117" s="131">
        <v>191000</v>
      </c>
      <c r="D117" s="133" t="s">
        <v>2006</v>
      </c>
      <c r="E117" s="134">
        <v>260</v>
      </c>
      <c r="F117" s="134">
        <v>535</v>
      </c>
      <c r="G117" s="134">
        <v>454</v>
      </c>
      <c r="H117" s="134">
        <v>200</v>
      </c>
      <c r="I117" s="134">
        <v>370</v>
      </c>
      <c r="J117" s="149">
        <v>2</v>
      </c>
      <c r="K117" s="149">
        <v>2</v>
      </c>
      <c r="L117" s="134" t="s">
        <v>87</v>
      </c>
      <c r="M117" s="134" t="s">
        <v>87</v>
      </c>
      <c r="N117" s="134" t="s">
        <v>87</v>
      </c>
      <c r="O117" s="134" t="s">
        <v>87</v>
      </c>
    </row>
    <row r="118" spans="2:15" x14ac:dyDescent="0.3">
      <c r="B118" s="133" t="s">
        <v>2002</v>
      </c>
      <c r="C118" s="131">
        <v>212000</v>
      </c>
      <c r="D118" s="133" t="s">
        <v>205</v>
      </c>
      <c r="E118" s="134">
        <v>235</v>
      </c>
      <c r="F118" s="134">
        <v>260</v>
      </c>
      <c r="G118" s="134">
        <v>546</v>
      </c>
      <c r="H118" s="134">
        <v>170</v>
      </c>
      <c r="I118" s="134">
        <v>560</v>
      </c>
      <c r="J118" s="149">
        <v>2</v>
      </c>
      <c r="K118" s="149">
        <v>2</v>
      </c>
      <c r="L118" s="134" t="s">
        <v>87</v>
      </c>
      <c r="M118" s="134" t="s">
        <v>87</v>
      </c>
      <c r="N118" s="134" t="s">
        <v>87</v>
      </c>
      <c r="O118" s="134" t="s">
        <v>87</v>
      </c>
    </row>
    <row r="119" spans="2:15" x14ac:dyDescent="0.3">
      <c r="B119" s="133" t="s">
        <v>2005</v>
      </c>
      <c r="C119" s="131">
        <v>212000</v>
      </c>
      <c r="D119" s="133" t="s">
        <v>205</v>
      </c>
      <c r="E119" s="134">
        <v>235</v>
      </c>
      <c r="F119" s="134">
        <v>260</v>
      </c>
      <c r="G119" s="134">
        <v>546</v>
      </c>
      <c r="H119" s="134">
        <v>170</v>
      </c>
      <c r="I119" s="134">
        <v>560</v>
      </c>
      <c r="J119" s="149">
        <v>2</v>
      </c>
      <c r="K119" s="149">
        <v>2</v>
      </c>
      <c r="L119" s="134" t="s">
        <v>87</v>
      </c>
      <c r="M119" s="134" t="s">
        <v>87</v>
      </c>
      <c r="N119" s="134" t="s">
        <v>87</v>
      </c>
      <c r="O119" s="134" t="s">
        <v>87</v>
      </c>
    </row>
    <row r="120" spans="2:15" x14ac:dyDescent="0.3">
      <c r="B120" s="133" t="s">
        <v>2007</v>
      </c>
      <c r="C120" s="131">
        <v>285000</v>
      </c>
      <c r="D120" s="133" t="s">
        <v>205</v>
      </c>
      <c r="E120" s="134">
        <v>288</v>
      </c>
      <c r="F120" s="134">
        <v>602</v>
      </c>
      <c r="G120" s="134">
        <v>637</v>
      </c>
      <c r="H120" s="134">
        <v>200</v>
      </c>
      <c r="I120" s="134">
        <v>355</v>
      </c>
      <c r="J120" s="149">
        <v>2</v>
      </c>
      <c r="K120" s="149">
        <v>2</v>
      </c>
      <c r="L120" s="134" t="s">
        <v>87</v>
      </c>
      <c r="M120" s="134" t="s">
        <v>87</v>
      </c>
      <c r="N120" s="134" t="s">
        <v>87</v>
      </c>
      <c r="O120" s="134" t="s">
        <v>87</v>
      </c>
    </row>
    <row r="121" spans="2:15" x14ac:dyDescent="0.3">
      <c r="B121" s="133" t="s">
        <v>2003</v>
      </c>
      <c r="C121" s="131">
        <v>510000</v>
      </c>
      <c r="D121" s="133" t="s">
        <v>205</v>
      </c>
      <c r="E121" s="134">
        <v>252</v>
      </c>
      <c r="F121" s="134">
        <v>692</v>
      </c>
      <c r="G121" s="134">
        <v>650</v>
      </c>
      <c r="H121" s="134">
        <v>180</v>
      </c>
      <c r="I121" s="134">
        <v>540</v>
      </c>
      <c r="J121" s="149">
        <v>2</v>
      </c>
      <c r="K121" s="149">
        <v>4</v>
      </c>
      <c r="L121" s="134" t="s">
        <v>87</v>
      </c>
      <c r="M121" s="134" t="s">
        <v>87</v>
      </c>
      <c r="N121" s="134" t="s">
        <v>87</v>
      </c>
      <c r="O121" s="134" t="s">
        <v>87</v>
      </c>
    </row>
    <row r="122" spans="2:15" x14ac:dyDescent="0.3">
      <c r="B122" s="133" t="s">
        <v>2001</v>
      </c>
      <c r="C122" s="131">
        <v>313300</v>
      </c>
      <c r="D122" s="133" t="s">
        <v>207</v>
      </c>
      <c r="E122" s="134">
        <v>220</v>
      </c>
      <c r="F122" s="134">
        <v>585</v>
      </c>
      <c r="G122" s="134">
        <v>615</v>
      </c>
      <c r="H122" s="134">
        <v>170</v>
      </c>
      <c r="I122" s="134">
        <v>360</v>
      </c>
      <c r="J122" s="149">
        <v>2</v>
      </c>
      <c r="K122" s="149">
        <v>2</v>
      </c>
      <c r="L122" s="134" t="s">
        <v>87</v>
      </c>
      <c r="M122" s="134" t="s">
        <v>87</v>
      </c>
      <c r="N122" s="134" t="s">
        <v>87</v>
      </c>
      <c r="O122" s="134" t="s">
        <v>87</v>
      </c>
    </row>
    <row r="123" spans="2:15" x14ac:dyDescent="0.3">
      <c r="B123" s="133" t="s">
        <v>1997</v>
      </c>
      <c r="C123" s="131">
        <v>480480</v>
      </c>
      <c r="D123" s="133" t="s">
        <v>207</v>
      </c>
      <c r="E123" s="134">
        <v>221</v>
      </c>
      <c r="F123" s="134">
        <v>525</v>
      </c>
      <c r="G123" s="134">
        <v>415</v>
      </c>
      <c r="H123" s="134">
        <v>180</v>
      </c>
      <c r="I123" s="134">
        <v>330</v>
      </c>
      <c r="J123" s="149">
        <v>4</v>
      </c>
      <c r="K123" s="149">
        <v>0</v>
      </c>
      <c r="L123" s="134"/>
      <c r="M123" s="134" t="s">
        <v>87</v>
      </c>
      <c r="N123" s="134" t="s">
        <v>87</v>
      </c>
      <c r="O123" s="134" t="s">
        <v>87</v>
      </c>
    </row>
    <row r="124" spans="2:15" x14ac:dyDescent="0.3">
      <c r="B124" s="133" t="s">
        <v>1998</v>
      </c>
      <c r="C124" s="131">
        <v>485180</v>
      </c>
      <c r="D124" s="133" t="s">
        <v>207</v>
      </c>
      <c r="E124" s="134">
        <v>221</v>
      </c>
      <c r="F124" s="134">
        <v>618</v>
      </c>
      <c r="G124" s="134">
        <v>596</v>
      </c>
      <c r="H124" s="134">
        <v>165</v>
      </c>
      <c r="I124" s="134">
        <v>350</v>
      </c>
      <c r="J124" s="149">
        <v>4</v>
      </c>
      <c r="K124" s="149">
        <v>0</v>
      </c>
      <c r="L124" s="134"/>
      <c r="M124" s="134" t="s">
        <v>87</v>
      </c>
      <c r="N124" s="134" t="s">
        <v>87</v>
      </c>
      <c r="O124" s="134" t="s">
        <v>87</v>
      </c>
    </row>
    <row r="125" spans="2:15" x14ac:dyDescent="0.3">
      <c r="B125" s="133" t="s">
        <v>2000</v>
      </c>
      <c r="C125" s="131">
        <v>490120</v>
      </c>
      <c r="D125" s="133" t="s">
        <v>207</v>
      </c>
      <c r="E125" s="134">
        <v>221</v>
      </c>
      <c r="F125" s="134">
        <v>630</v>
      </c>
      <c r="G125" s="134">
        <v>580</v>
      </c>
      <c r="H125" s="134">
        <v>160</v>
      </c>
      <c r="I125" s="134">
        <v>410</v>
      </c>
      <c r="J125" s="149">
        <v>4</v>
      </c>
      <c r="K125" s="149">
        <v>0</v>
      </c>
      <c r="L125" s="134"/>
      <c r="M125" s="134" t="s">
        <v>87</v>
      </c>
      <c r="N125" s="134" t="s">
        <v>87</v>
      </c>
      <c r="O125" s="134" t="s">
        <v>87</v>
      </c>
    </row>
    <row r="126" spans="2:15" x14ac:dyDescent="0.3">
      <c r="B126" s="133" t="s">
        <v>1996</v>
      </c>
      <c r="C126" s="131">
        <v>525220</v>
      </c>
      <c r="D126" s="133" t="s">
        <v>207</v>
      </c>
      <c r="E126" s="134">
        <v>220</v>
      </c>
      <c r="F126" s="134">
        <v>551</v>
      </c>
      <c r="G126" s="134">
        <v>611</v>
      </c>
      <c r="H126" s="134">
        <v>170</v>
      </c>
      <c r="I126" s="134">
        <v>520</v>
      </c>
      <c r="J126" s="149">
        <v>4</v>
      </c>
      <c r="K126" s="149">
        <v>0</v>
      </c>
      <c r="L126" s="134"/>
      <c r="M126" s="134" t="s">
        <v>87</v>
      </c>
      <c r="N126" s="134" t="s">
        <v>87</v>
      </c>
      <c r="O126" s="134" t="s">
        <v>87</v>
      </c>
    </row>
    <row r="127" spans="2:15" x14ac:dyDescent="0.3">
      <c r="B127" s="133" t="s">
        <v>1994</v>
      </c>
      <c r="C127" s="131">
        <v>566040</v>
      </c>
      <c r="D127" s="133" t="s">
        <v>207</v>
      </c>
      <c r="E127" s="134">
        <v>237</v>
      </c>
      <c r="F127" s="134">
        <v>640</v>
      </c>
      <c r="G127" s="134">
        <v>625</v>
      </c>
      <c r="H127" s="134">
        <v>180</v>
      </c>
      <c r="I127" s="134">
        <v>480</v>
      </c>
      <c r="J127" s="149">
        <v>4</v>
      </c>
      <c r="K127" s="149">
        <v>0</v>
      </c>
      <c r="L127" s="129"/>
      <c r="M127" s="134" t="s">
        <v>87</v>
      </c>
      <c r="N127" s="134" t="s">
        <v>87</v>
      </c>
      <c r="O127" s="134" t="s">
        <v>87</v>
      </c>
    </row>
    <row r="128" spans="2:15" x14ac:dyDescent="0.3">
      <c r="B128" s="133" t="s">
        <v>1999</v>
      </c>
      <c r="C128" s="131">
        <v>657040</v>
      </c>
      <c r="D128" s="133" t="s">
        <v>207</v>
      </c>
      <c r="E128" s="134">
        <v>240</v>
      </c>
      <c r="F128" s="134">
        <v>693</v>
      </c>
      <c r="G128" s="134">
        <v>455</v>
      </c>
      <c r="H128" s="134">
        <v>180</v>
      </c>
      <c r="I128" s="134">
        <v>340</v>
      </c>
      <c r="J128" s="149">
        <v>4</v>
      </c>
      <c r="K128" s="149">
        <v>0</v>
      </c>
      <c r="L128" s="129"/>
      <c r="M128" s="134" t="s">
        <v>87</v>
      </c>
      <c r="N128" s="134" t="s">
        <v>87</v>
      </c>
      <c r="O128" s="134" t="s">
        <v>87</v>
      </c>
    </row>
    <row r="129" spans="2:15" x14ac:dyDescent="0.3">
      <c r="B129" s="133" t="s">
        <v>1995</v>
      </c>
      <c r="C129" s="131">
        <v>731300</v>
      </c>
      <c r="D129" s="133" t="s">
        <v>207</v>
      </c>
      <c r="E129" s="134">
        <v>381</v>
      </c>
      <c r="F129" s="134">
        <v>580</v>
      </c>
      <c r="G129" s="134">
        <v>510</v>
      </c>
      <c r="H129" s="280">
        <v>155</v>
      </c>
      <c r="I129" s="134">
        <v>420</v>
      </c>
      <c r="J129" s="149">
        <v>4</v>
      </c>
      <c r="K129" s="149">
        <v>0</v>
      </c>
      <c r="L129" s="134"/>
      <c r="M129" s="134" t="s">
        <v>87</v>
      </c>
      <c r="N129" s="134" t="s">
        <v>87</v>
      </c>
      <c r="O129" s="134" t="s">
        <v>87</v>
      </c>
    </row>
    <row r="130" spans="2:15" x14ac:dyDescent="0.3">
      <c r="B130" s="124" t="s">
        <v>1992</v>
      </c>
      <c r="C130" s="131">
        <v>1630000</v>
      </c>
      <c r="D130" s="133" t="s">
        <v>207</v>
      </c>
      <c r="E130" s="125">
        <v>1300</v>
      </c>
      <c r="F130" s="125">
        <v>815</v>
      </c>
      <c r="G130" s="125">
        <v>700</v>
      </c>
      <c r="H130" s="125">
        <v>90</v>
      </c>
      <c r="I130" s="125">
        <v>440</v>
      </c>
      <c r="J130" s="279" t="s">
        <v>1993</v>
      </c>
      <c r="K130" s="125">
        <v>0</v>
      </c>
      <c r="L130" s="134" t="s">
        <v>87</v>
      </c>
      <c r="M130" s="134" t="s">
        <v>87</v>
      </c>
      <c r="N130" s="134" t="s">
        <v>87</v>
      </c>
      <c r="O130" s="134" t="s">
        <v>87</v>
      </c>
    </row>
  </sheetData>
  <mergeCells count="1">
    <mergeCell ref="J1:K1"/>
  </mergeCells>
  <phoneticPr fontId="4" type="noConversion"/>
  <conditionalFormatting sqref="J1:K23 J81:K84 J79:K79 J86:K88 J90:K90 J25:K75 J124:K1048576 J92:K122">
    <cfRule type="cellIs" dxfId="186" priority="13" operator="equal">
      <formula>0</formula>
    </cfRule>
  </conditionalFormatting>
  <conditionalFormatting sqref="J78:K78">
    <cfRule type="cellIs" dxfId="185" priority="11" operator="equal">
      <formula>0</formula>
    </cfRule>
  </conditionalFormatting>
  <conditionalFormatting sqref="J80:K80">
    <cfRule type="cellIs" dxfId="184" priority="10" operator="equal">
      <formula>0</formula>
    </cfRule>
  </conditionalFormatting>
  <conditionalFormatting sqref="J85:K85">
    <cfRule type="cellIs" dxfId="183" priority="9" operator="equal">
      <formula>0</formula>
    </cfRule>
  </conditionalFormatting>
  <conditionalFormatting sqref="J91:K91">
    <cfRule type="cellIs" dxfId="182" priority="8" operator="equal">
      <formula>0</formula>
    </cfRule>
  </conditionalFormatting>
  <conditionalFormatting sqref="J89:K89">
    <cfRule type="cellIs" dxfId="181" priority="7" operator="equal">
      <formula>0</formula>
    </cfRule>
  </conditionalFormatting>
  <conditionalFormatting sqref="J24:K24">
    <cfRule type="cellIs" dxfId="180" priority="6" operator="equal">
      <formula>0</formula>
    </cfRule>
  </conditionalFormatting>
  <conditionalFormatting sqref="J76:K76">
    <cfRule type="cellIs" dxfId="179" priority="5" operator="equal">
      <formula>0</formula>
    </cfRule>
  </conditionalFormatting>
  <conditionalFormatting sqref="J77:K77">
    <cfRule type="cellIs" dxfId="178" priority="4" operator="equal">
      <formula>0</formula>
    </cfRule>
  </conditionalFormatting>
  <conditionalFormatting sqref="J123:K123">
    <cfRule type="cellIs" dxfId="177" priority="3" operator="equal">
      <formula>0</formula>
    </cfRule>
  </conditionalFormatting>
  <conditionalFormatting sqref="H1:H1048576">
    <cfRule type="colorScale" priority="2">
      <colorScale>
        <cfvo type="min"/>
        <cfvo type="max"/>
        <color theme="5" tint="0.79998168889431442"/>
        <color theme="6" tint="0.79998168889431442"/>
      </colorScale>
    </cfRule>
  </conditionalFormatting>
  <conditionalFormatting sqref="I1:I1048576">
    <cfRule type="colorScale" priority="1">
      <colorScale>
        <cfvo type="percentile" val="10"/>
        <cfvo type="percentile" val="90"/>
        <color theme="5" tint="0.79998168889431442"/>
        <color theme="6" tint="0.79998168889431442"/>
      </colorScale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7" tint="0.59999389629810485"/>
  </sheetPr>
  <dimension ref="A1:N126"/>
  <sheetViews>
    <sheetView zoomScale="115" zoomScaleNormal="115" workbookViewId="0">
      <pane xSplit="2" ySplit="2" topLeftCell="C84" activePane="bottomRight" state="frozen"/>
      <selection pane="topRight" activeCell="C1" sqref="C1"/>
      <selection pane="bottomLeft" activeCell="A3" sqref="A3"/>
      <selection pane="bottomRight" activeCell="B1" sqref="B1"/>
    </sheetView>
  </sheetViews>
  <sheetFormatPr defaultColWidth="8.69921875" defaultRowHeight="13.2" x14ac:dyDescent="0.3"/>
  <cols>
    <col min="1" max="1" width="2.796875" style="124" bestFit="1" customWidth="1"/>
    <col min="2" max="2" width="52.19921875" style="124" bestFit="1" customWidth="1"/>
    <col min="3" max="3" width="9.59765625" style="124" bestFit="1" customWidth="1"/>
    <col min="4" max="4" width="10.59765625" style="124" bestFit="1" customWidth="1"/>
    <col min="5" max="5" width="5.19921875" style="124" bestFit="1" customWidth="1"/>
    <col min="6" max="6" width="18.5" style="124" bestFit="1" customWidth="1"/>
    <col min="7" max="7" width="19" style="124" bestFit="1" customWidth="1"/>
    <col min="8" max="8" width="7" style="291" bestFit="1" customWidth="1"/>
    <col min="9" max="9" width="7.19921875" style="287" bestFit="1" customWidth="1"/>
    <col min="10" max="10" width="7" style="124" bestFit="1" customWidth="1"/>
    <col min="11" max="11" width="7" style="124" customWidth="1"/>
    <col min="12" max="12" width="13.59765625" style="124" bestFit="1" customWidth="1"/>
    <col min="13" max="13" width="9.8984375" style="124" bestFit="1" customWidth="1"/>
    <col min="14" max="14" width="10" style="124" bestFit="1" customWidth="1"/>
    <col min="15" max="16384" width="8.69921875" style="124"/>
  </cols>
  <sheetData>
    <row r="1" spans="1:14" ht="24" customHeight="1" x14ac:dyDescent="0.3">
      <c r="A1" s="124">
        <v>14</v>
      </c>
      <c r="G1" s="301" t="s">
        <v>2264</v>
      </c>
      <c r="H1" s="300" t="s">
        <v>2204</v>
      </c>
      <c r="L1" s="301" t="s">
        <v>2181</v>
      </c>
      <c r="N1" s="301" t="s">
        <v>2226</v>
      </c>
    </row>
    <row r="2" spans="1:14" x14ac:dyDescent="0.3">
      <c r="B2" s="135" t="s">
        <v>0</v>
      </c>
      <c r="C2" s="156" t="s">
        <v>1</v>
      </c>
      <c r="D2" s="135" t="s">
        <v>2</v>
      </c>
      <c r="E2" s="283" t="s">
        <v>2052</v>
      </c>
      <c r="F2" s="276" t="s">
        <v>2053</v>
      </c>
      <c r="G2" s="135" t="s">
        <v>172</v>
      </c>
      <c r="H2" s="292" t="s">
        <v>6</v>
      </c>
      <c r="I2" s="288" t="s">
        <v>2056</v>
      </c>
      <c r="J2" s="135" t="s">
        <v>2055</v>
      </c>
      <c r="K2" s="282" t="s">
        <v>2104</v>
      </c>
      <c r="L2" s="135" t="s">
        <v>2088</v>
      </c>
      <c r="M2" s="276" t="s">
        <v>2089</v>
      </c>
      <c r="N2" s="282" t="s">
        <v>2090</v>
      </c>
    </row>
    <row r="3" spans="1:14" x14ac:dyDescent="0.3">
      <c r="B3" s="130" t="s">
        <v>1211</v>
      </c>
      <c r="C3" s="156"/>
      <c r="D3" s="135"/>
      <c r="E3" s="135"/>
      <c r="F3" s="276"/>
      <c r="G3" s="135"/>
      <c r="H3" s="292"/>
      <c r="I3" s="288"/>
      <c r="J3" s="135"/>
      <c r="K3" s="282"/>
      <c r="L3" s="135"/>
      <c r="M3" s="276"/>
      <c r="N3" s="282"/>
    </row>
    <row r="4" spans="1:14" x14ac:dyDescent="0.3">
      <c r="B4" s="297" t="s">
        <v>2143</v>
      </c>
      <c r="C4" s="156"/>
      <c r="D4" s="135"/>
      <c r="E4" s="135"/>
      <c r="F4" s="276"/>
      <c r="G4" s="135"/>
      <c r="H4" s="292"/>
      <c r="I4" s="288"/>
      <c r="J4" s="135"/>
      <c r="K4" s="282"/>
      <c r="L4" s="135"/>
      <c r="M4" s="276"/>
      <c r="N4" s="282"/>
    </row>
    <row r="5" spans="1:14" x14ac:dyDescent="0.3">
      <c r="B5" s="281" t="s">
        <v>173</v>
      </c>
      <c r="C5" s="143"/>
      <c r="D5" s="134"/>
      <c r="E5" s="134"/>
      <c r="F5" s="134"/>
      <c r="G5" s="134"/>
      <c r="H5" s="293"/>
      <c r="I5" s="286"/>
      <c r="J5" s="134"/>
      <c r="K5" s="134"/>
      <c r="L5" s="134"/>
      <c r="M5" s="134"/>
      <c r="N5" s="134"/>
    </row>
    <row r="6" spans="1:14" x14ac:dyDescent="0.3">
      <c r="B6" s="130" t="s">
        <v>2050</v>
      </c>
      <c r="C6" s="143">
        <v>19800</v>
      </c>
      <c r="D6" s="134" t="s">
        <v>175</v>
      </c>
      <c r="E6" s="134"/>
      <c r="F6" s="284" t="s">
        <v>2074</v>
      </c>
      <c r="G6" s="134"/>
      <c r="H6" s="293"/>
      <c r="I6" s="286">
        <v>0.96</v>
      </c>
      <c r="J6" s="134"/>
      <c r="K6" s="134"/>
      <c r="L6" s="134"/>
      <c r="M6" s="134"/>
      <c r="N6" s="134"/>
    </row>
    <row r="7" spans="1:14" x14ac:dyDescent="0.3">
      <c r="B7" s="130" t="s">
        <v>174</v>
      </c>
      <c r="C7" s="143">
        <v>9800</v>
      </c>
      <c r="D7" s="134" t="s">
        <v>175</v>
      </c>
      <c r="E7" s="134"/>
      <c r="F7" s="254" t="s">
        <v>2054</v>
      </c>
      <c r="G7" s="134"/>
      <c r="H7" s="293"/>
      <c r="I7" s="286">
        <v>0.85</v>
      </c>
      <c r="J7" s="134"/>
      <c r="K7" s="134"/>
      <c r="L7" s="134"/>
      <c r="M7" s="134"/>
      <c r="N7" s="134"/>
    </row>
    <row r="8" spans="1:14" x14ac:dyDescent="0.3">
      <c r="B8" s="130" t="s">
        <v>2051</v>
      </c>
      <c r="C8" s="143">
        <v>22950</v>
      </c>
      <c r="D8" s="134" t="s">
        <v>175</v>
      </c>
      <c r="E8" s="134"/>
      <c r="F8" s="284" t="s">
        <v>2057</v>
      </c>
      <c r="G8" s="285" t="s">
        <v>2058</v>
      </c>
      <c r="H8" s="293"/>
      <c r="I8" s="286">
        <v>1.17</v>
      </c>
      <c r="J8" s="134"/>
      <c r="K8" s="134"/>
      <c r="L8" s="134"/>
      <c r="M8" s="134"/>
      <c r="N8" s="134"/>
    </row>
    <row r="9" spans="1:14" x14ac:dyDescent="0.3">
      <c r="B9" s="130" t="s">
        <v>2049</v>
      </c>
      <c r="C9" s="143">
        <v>9280</v>
      </c>
      <c r="D9" s="134" t="s">
        <v>175</v>
      </c>
      <c r="E9" s="134"/>
      <c r="F9" s="254" t="s">
        <v>2054</v>
      </c>
      <c r="G9" s="134"/>
      <c r="H9" s="293"/>
      <c r="I9" s="286">
        <v>0.65</v>
      </c>
      <c r="J9" s="134"/>
      <c r="K9" s="134"/>
      <c r="L9" s="134"/>
      <c r="M9" s="134"/>
      <c r="N9" s="134"/>
    </row>
    <row r="10" spans="1:14" x14ac:dyDescent="0.3">
      <c r="B10" s="130" t="s">
        <v>2072</v>
      </c>
      <c r="C10" s="143">
        <v>19030</v>
      </c>
      <c r="D10" s="134" t="s">
        <v>165</v>
      </c>
      <c r="E10" s="134"/>
      <c r="F10" s="254" t="s">
        <v>1506</v>
      </c>
      <c r="G10" s="134"/>
      <c r="H10" s="293"/>
      <c r="I10" s="286">
        <v>0.96</v>
      </c>
      <c r="J10" s="134"/>
      <c r="K10" s="134"/>
      <c r="L10" s="134"/>
      <c r="M10" s="134"/>
      <c r="N10" s="134"/>
    </row>
    <row r="11" spans="1:14" x14ac:dyDescent="0.3">
      <c r="B11" s="130" t="s">
        <v>2069</v>
      </c>
      <c r="C11" s="143">
        <v>59240</v>
      </c>
      <c r="D11" s="134" t="s">
        <v>165</v>
      </c>
      <c r="E11" s="134"/>
      <c r="F11" s="254" t="s">
        <v>1506</v>
      </c>
      <c r="G11" s="134"/>
      <c r="H11" s="293"/>
      <c r="I11" s="286">
        <v>0.80700000000000005</v>
      </c>
      <c r="J11" s="134" t="s">
        <v>2063</v>
      </c>
      <c r="K11" s="134"/>
      <c r="L11" s="134"/>
      <c r="M11" s="134" t="s">
        <v>176</v>
      </c>
      <c r="N11" s="134"/>
    </row>
    <row r="12" spans="1:14" x14ac:dyDescent="0.3">
      <c r="B12" s="130" t="s">
        <v>2073</v>
      </c>
      <c r="C12" s="143">
        <v>55850</v>
      </c>
      <c r="D12" s="134" t="s">
        <v>165</v>
      </c>
      <c r="E12" s="134"/>
      <c r="F12" s="254" t="s">
        <v>1506</v>
      </c>
      <c r="G12" s="134"/>
      <c r="H12" s="293"/>
      <c r="I12" s="286">
        <v>0.82899999999999996</v>
      </c>
      <c r="J12" s="134" t="s">
        <v>2063</v>
      </c>
      <c r="K12" s="134"/>
      <c r="L12" s="134"/>
      <c r="M12" s="134" t="s">
        <v>176</v>
      </c>
      <c r="N12" s="134"/>
    </row>
    <row r="13" spans="1:14" x14ac:dyDescent="0.3">
      <c r="B13" s="130" t="s">
        <v>2068</v>
      </c>
      <c r="C13" s="143">
        <v>32100</v>
      </c>
      <c r="D13" s="134" t="s">
        <v>165</v>
      </c>
      <c r="E13" s="134"/>
      <c r="F13" s="254" t="s">
        <v>1506</v>
      </c>
      <c r="G13" s="134"/>
      <c r="H13" s="293"/>
      <c r="I13" s="286">
        <v>0.51700000000000002</v>
      </c>
      <c r="J13" s="134" t="s">
        <v>2063</v>
      </c>
      <c r="K13" s="134"/>
      <c r="L13" s="134"/>
      <c r="M13" s="134" t="s">
        <v>176</v>
      </c>
      <c r="N13" s="134"/>
    </row>
    <row r="14" spans="1:14" x14ac:dyDescent="0.3">
      <c r="B14" s="130" t="s">
        <v>2071</v>
      </c>
      <c r="C14" s="143">
        <v>16990</v>
      </c>
      <c r="D14" s="134" t="s">
        <v>2070</v>
      </c>
      <c r="E14" s="134"/>
      <c r="F14" s="254" t="s">
        <v>1506</v>
      </c>
      <c r="G14" s="134"/>
      <c r="H14" s="293"/>
      <c r="I14" s="286">
        <v>0.92800000000000005</v>
      </c>
      <c r="J14" s="134"/>
      <c r="K14" s="134"/>
      <c r="L14" s="134"/>
      <c r="M14" s="134"/>
      <c r="N14" s="134"/>
    </row>
    <row r="15" spans="1:14" x14ac:dyDescent="0.3">
      <c r="B15" s="130" t="s">
        <v>2121</v>
      </c>
      <c r="C15" s="143">
        <v>7560</v>
      </c>
      <c r="D15" s="134" t="s">
        <v>146</v>
      </c>
      <c r="E15" s="134"/>
      <c r="F15" s="254" t="s">
        <v>1506</v>
      </c>
      <c r="G15" s="134"/>
      <c r="H15" s="293"/>
      <c r="I15" s="286">
        <v>0.69399999999999995</v>
      </c>
      <c r="J15" s="134"/>
      <c r="K15" s="134"/>
      <c r="L15" s="134"/>
      <c r="M15" s="298" t="s">
        <v>183</v>
      </c>
      <c r="N15" s="134"/>
    </row>
    <row r="16" spans="1:14" x14ac:dyDescent="0.3">
      <c r="B16" s="130" t="s">
        <v>2119</v>
      </c>
      <c r="C16" s="143">
        <v>8880</v>
      </c>
      <c r="D16" s="134" t="s">
        <v>2118</v>
      </c>
      <c r="E16" s="134"/>
      <c r="F16" s="254" t="s">
        <v>1506</v>
      </c>
      <c r="G16" s="134"/>
      <c r="H16" s="293"/>
      <c r="I16" s="286">
        <v>0.55000000000000004</v>
      </c>
      <c r="J16" s="134"/>
      <c r="K16" s="134"/>
      <c r="L16" s="134"/>
      <c r="M16" s="298" t="s">
        <v>183</v>
      </c>
      <c r="N16" s="134"/>
    </row>
    <row r="17" spans="2:14" x14ac:dyDescent="0.3">
      <c r="B17" s="130" t="s">
        <v>2120</v>
      </c>
      <c r="C17" s="143">
        <v>20390</v>
      </c>
      <c r="D17" s="134" t="s">
        <v>146</v>
      </c>
      <c r="E17" s="134"/>
      <c r="F17" s="254" t="s">
        <v>1506</v>
      </c>
      <c r="G17" s="134"/>
      <c r="H17" s="293"/>
      <c r="I17" s="286">
        <v>0.48</v>
      </c>
      <c r="J17" s="134" t="s">
        <v>2063</v>
      </c>
      <c r="K17" s="134"/>
      <c r="L17" s="134"/>
      <c r="M17" s="134"/>
      <c r="N17" s="134"/>
    </row>
    <row r="18" spans="2:14" x14ac:dyDescent="0.3">
      <c r="B18" s="130" t="s">
        <v>2116</v>
      </c>
      <c r="C18" s="143">
        <v>16020</v>
      </c>
      <c r="D18" s="134" t="s">
        <v>146</v>
      </c>
      <c r="E18" s="134"/>
      <c r="F18" s="254" t="s">
        <v>1506</v>
      </c>
      <c r="G18" s="134"/>
      <c r="H18" s="293"/>
      <c r="I18" s="286">
        <v>0.55000000000000004</v>
      </c>
      <c r="J18" s="134"/>
      <c r="K18" s="134"/>
      <c r="L18" s="134"/>
      <c r="M18" s="134" t="s">
        <v>177</v>
      </c>
      <c r="N18" s="134"/>
    </row>
    <row r="19" spans="2:14" x14ac:dyDescent="0.3">
      <c r="B19" s="130" t="s">
        <v>2117</v>
      </c>
      <c r="C19" s="143">
        <v>18900</v>
      </c>
      <c r="D19" s="134" t="s">
        <v>146</v>
      </c>
      <c r="E19" s="134"/>
      <c r="F19" s="254" t="s">
        <v>1506</v>
      </c>
      <c r="G19" s="134"/>
      <c r="H19" s="293"/>
      <c r="I19" s="286">
        <v>0.47499999999999998</v>
      </c>
      <c r="J19" s="134" t="s">
        <v>2063</v>
      </c>
      <c r="K19" s="134"/>
      <c r="L19" s="134"/>
      <c r="M19" s="134" t="s">
        <v>176</v>
      </c>
      <c r="N19" s="134"/>
    </row>
    <row r="20" spans="2:14" x14ac:dyDescent="0.3">
      <c r="B20" s="130" t="s">
        <v>2103</v>
      </c>
      <c r="C20" s="143">
        <v>18000</v>
      </c>
      <c r="D20" s="134" t="s">
        <v>2086</v>
      </c>
      <c r="E20" s="134"/>
      <c r="F20" s="134" t="s">
        <v>2102</v>
      </c>
      <c r="G20" s="134"/>
      <c r="H20" s="293"/>
      <c r="I20" s="286">
        <v>0.75900000000000001</v>
      </c>
      <c r="J20" s="134"/>
      <c r="K20" s="134" t="s">
        <v>2105</v>
      </c>
      <c r="L20" s="134"/>
      <c r="M20" s="298" t="s">
        <v>183</v>
      </c>
      <c r="N20" s="134"/>
    </row>
    <row r="21" spans="2:14" x14ac:dyDescent="0.3">
      <c r="B21" s="130" t="s">
        <v>2094</v>
      </c>
      <c r="C21" s="143">
        <v>29000</v>
      </c>
      <c r="D21" s="134" t="s">
        <v>2086</v>
      </c>
      <c r="E21" s="134"/>
      <c r="F21" s="254" t="s">
        <v>1506</v>
      </c>
      <c r="G21" s="134"/>
      <c r="H21" s="293">
        <v>1</v>
      </c>
      <c r="I21" s="286">
        <v>0.76</v>
      </c>
      <c r="J21" s="134"/>
      <c r="K21" s="134"/>
      <c r="L21" s="134"/>
      <c r="M21" s="298" t="s">
        <v>183</v>
      </c>
      <c r="N21" s="134"/>
    </row>
    <row r="22" spans="2:14" x14ac:dyDescent="0.3">
      <c r="B22" s="130" t="s">
        <v>2098</v>
      </c>
      <c r="C22" s="143">
        <v>25100</v>
      </c>
      <c r="D22" s="134" t="s">
        <v>2097</v>
      </c>
      <c r="E22" s="134"/>
      <c r="F22" s="295" t="s">
        <v>2099</v>
      </c>
      <c r="G22" s="7" t="s">
        <v>2100</v>
      </c>
      <c r="H22" s="293"/>
      <c r="I22" s="286">
        <v>1.0309999999999999</v>
      </c>
      <c r="J22" s="134"/>
      <c r="K22" s="134"/>
      <c r="L22" s="134" t="s">
        <v>2079</v>
      </c>
      <c r="M22" s="134"/>
      <c r="N22" s="134"/>
    </row>
    <row r="23" spans="2:14" x14ac:dyDescent="0.3">
      <c r="B23" s="130" t="s">
        <v>2106</v>
      </c>
      <c r="C23" s="143">
        <v>28800</v>
      </c>
      <c r="D23" s="134" t="s">
        <v>2097</v>
      </c>
      <c r="E23" s="134"/>
      <c r="F23" s="134" t="s">
        <v>2108</v>
      </c>
      <c r="G23" s="7" t="s">
        <v>2100</v>
      </c>
      <c r="H23" s="293"/>
      <c r="I23" s="286">
        <v>1.2</v>
      </c>
      <c r="J23" s="134"/>
      <c r="K23" s="134"/>
      <c r="L23" s="134" t="s">
        <v>2110</v>
      </c>
      <c r="M23" s="298" t="s">
        <v>183</v>
      </c>
      <c r="N23" s="134"/>
    </row>
    <row r="24" spans="2:14" x14ac:dyDescent="0.3">
      <c r="B24" s="130" t="s">
        <v>2114</v>
      </c>
      <c r="C24" s="143">
        <v>27900</v>
      </c>
      <c r="D24" s="134" t="s">
        <v>2086</v>
      </c>
      <c r="E24" s="134"/>
      <c r="F24" s="254" t="s">
        <v>1506</v>
      </c>
      <c r="G24" s="134" t="s">
        <v>2115</v>
      </c>
      <c r="H24" s="293">
        <v>1</v>
      </c>
      <c r="I24" s="286">
        <v>0.86299999999999999</v>
      </c>
      <c r="J24" s="134"/>
      <c r="K24" s="134"/>
      <c r="L24" s="134"/>
      <c r="M24" s="134"/>
      <c r="N24" s="134"/>
    </row>
    <row r="25" spans="2:14" x14ac:dyDescent="0.3">
      <c r="B25" s="130" t="s">
        <v>2111</v>
      </c>
      <c r="C25" s="143">
        <v>38660</v>
      </c>
      <c r="D25" s="134" t="s">
        <v>2086</v>
      </c>
      <c r="E25" s="134"/>
      <c r="F25" s="134" t="s">
        <v>2112</v>
      </c>
      <c r="G25" s="134" t="s">
        <v>2113</v>
      </c>
      <c r="H25" s="293">
        <v>1</v>
      </c>
      <c r="I25" s="286">
        <v>1.05</v>
      </c>
      <c r="J25" s="134"/>
      <c r="K25" s="134"/>
      <c r="L25" s="134"/>
      <c r="M25" s="298" t="s">
        <v>183</v>
      </c>
      <c r="N25" s="134" t="s">
        <v>2109</v>
      </c>
    </row>
    <row r="26" spans="2:14" x14ac:dyDescent="0.3">
      <c r="B26" s="130" t="s">
        <v>2101</v>
      </c>
      <c r="C26" s="143">
        <v>9390</v>
      </c>
      <c r="D26" s="134" t="s">
        <v>2097</v>
      </c>
      <c r="E26" s="134"/>
      <c r="F26" s="134" t="s">
        <v>2102</v>
      </c>
      <c r="G26" s="134"/>
      <c r="H26" s="293"/>
      <c r="I26" s="286">
        <v>0.69</v>
      </c>
      <c r="J26" s="134"/>
      <c r="K26" s="134"/>
      <c r="L26" s="134"/>
      <c r="M26" s="134"/>
      <c r="N26" s="134"/>
    </row>
    <row r="27" spans="2:14" x14ac:dyDescent="0.3">
      <c r="B27" s="130" t="s">
        <v>2107</v>
      </c>
      <c r="C27" s="143">
        <v>29500</v>
      </c>
      <c r="D27" s="134" t="s">
        <v>2086</v>
      </c>
      <c r="E27" s="134"/>
      <c r="F27" s="254" t="s">
        <v>1506</v>
      </c>
      <c r="G27" s="134"/>
      <c r="H27" s="293">
        <v>1</v>
      </c>
      <c r="I27" s="286">
        <v>0.75900000000000001</v>
      </c>
      <c r="J27" s="134"/>
      <c r="K27" s="134"/>
      <c r="L27" s="134"/>
      <c r="M27" s="298" t="s">
        <v>183</v>
      </c>
      <c r="N27" s="134" t="s">
        <v>2109</v>
      </c>
    </row>
    <row r="28" spans="2:14" x14ac:dyDescent="0.3">
      <c r="B28" s="130" t="s">
        <v>2095</v>
      </c>
      <c r="C28" s="143">
        <v>24900</v>
      </c>
      <c r="D28" s="134" t="s">
        <v>2097</v>
      </c>
      <c r="E28" s="134"/>
      <c r="F28" s="134" t="s">
        <v>2096</v>
      </c>
      <c r="G28" s="134"/>
      <c r="H28" s="293"/>
      <c r="I28" s="286">
        <v>0.52500000000000002</v>
      </c>
      <c r="J28" s="134" t="s">
        <v>2063</v>
      </c>
      <c r="K28" s="134"/>
      <c r="L28" s="134" t="s">
        <v>2135</v>
      </c>
      <c r="M28" s="134" t="s">
        <v>176</v>
      </c>
      <c r="N28" s="134"/>
    </row>
    <row r="29" spans="2:14" x14ac:dyDescent="0.3">
      <c r="B29" s="130" t="s">
        <v>179</v>
      </c>
      <c r="C29" s="143">
        <v>24640</v>
      </c>
      <c r="D29" s="134" t="s">
        <v>149</v>
      </c>
      <c r="E29" s="134"/>
      <c r="F29" s="254" t="s">
        <v>1506</v>
      </c>
      <c r="G29" s="134" t="s">
        <v>2082</v>
      </c>
      <c r="H29" s="293">
        <v>1</v>
      </c>
      <c r="I29" s="286">
        <v>0.81</v>
      </c>
      <c r="J29" s="134"/>
      <c r="K29" s="134"/>
      <c r="L29" s="134"/>
      <c r="M29" s="134"/>
      <c r="N29" s="134"/>
    </row>
    <row r="30" spans="2:14" x14ac:dyDescent="0.3">
      <c r="B30" s="130" t="s">
        <v>180</v>
      </c>
      <c r="C30" s="143">
        <v>21800</v>
      </c>
      <c r="D30" s="134" t="s">
        <v>149</v>
      </c>
      <c r="E30" s="134"/>
      <c r="F30" s="294" t="s">
        <v>2081</v>
      </c>
      <c r="G30" s="134" t="s">
        <v>2080</v>
      </c>
      <c r="H30" s="293"/>
      <c r="I30" s="286">
        <v>1.06</v>
      </c>
      <c r="J30" s="134"/>
      <c r="K30" s="134"/>
      <c r="L30" s="134" t="s">
        <v>2079</v>
      </c>
      <c r="M30" s="298" t="s">
        <v>183</v>
      </c>
      <c r="N30" s="134"/>
    </row>
    <row r="31" spans="2:14" x14ac:dyDescent="0.3">
      <c r="B31" s="130" t="s">
        <v>2075</v>
      </c>
      <c r="C31" s="143">
        <v>29600</v>
      </c>
      <c r="D31" s="134" t="s">
        <v>149</v>
      </c>
      <c r="E31" s="134"/>
      <c r="F31" s="134" t="s">
        <v>2076</v>
      </c>
      <c r="G31" s="7" t="s">
        <v>2077</v>
      </c>
      <c r="H31" s="293">
        <v>1</v>
      </c>
      <c r="I31" s="286">
        <v>1.2</v>
      </c>
      <c r="J31" s="134"/>
      <c r="K31" s="134"/>
      <c r="L31" s="134" t="s">
        <v>2079</v>
      </c>
      <c r="M31" s="298" t="s">
        <v>183</v>
      </c>
      <c r="N31" s="134"/>
    </row>
    <row r="32" spans="2:14" x14ac:dyDescent="0.3">
      <c r="B32" s="296" t="s">
        <v>2142</v>
      </c>
      <c r="C32" s="143"/>
      <c r="D32" s="134"/>
      <c r="E32" s="134"/>
      <c r="F32" s="134"/>
      <c r="G32" s="134"/>
      <c r="H32" s="293"/>
      <c r="I32" s="286"/>
      <c r="J32" s="134"/>
      <c r="K32" s="134"/>
      <c r="L32" s="134"/>
      <c r="M32" s="134"/>
      <c r="N32" s="134"/>
    </row>
    <row r="33" spans="2:14" x14ac:dyDescent="0.3">
      <c r="B33" s="281" t="s">
        <v>181</v>
      </c>
      <c r="C33" s="143"/>
      <c r="D33" s="134"/>
      <c r="E33" s="134"/>
      <c r="F33" s="134"/>
      <c r="G33" s="134"/>
      <c r="H33" s="293"/>
      <c r="I33" s="286"/>
      <c r="J33" s="134"/>
      <c r="K33" s="134"/>
      <c r="L33" s="134"/>
      <c r="M33" s="134"/>
      <c r="N33" s="134"/>
    </row>
    <row r="34" spans="2:14" x14ac:dyDescent="0.3">
      <c r="B34" s="130" t="s">
        <v>2061</v>
      </c>
      <c r="C34" s="143">
        <v>35240</v>
      </c>
      <c r="D34" s="134" t="s">
        <v>175</v>
      </c>
      <c r="E34" s="134"/>
      <c r="F34" s="134" t="s">
        <v>2062</v>
      </c>
      <c r="G34" s="134"/>
      <c r="H34" s="293"/>
      <c r="I34" s="286">
        <v>0.26</v>
      </c>
      <c r="J34" s="134"/>
      <c r="K34" s="134"/>
      <c r="L34" s="134"/>
      <c r="M34" s="134" t="s">
        <v>176</v>
      </c>
      <c r="N34" s="134"/>
    </row>
    <row r="35" spans="2:14" x14ac:dyDescent="0.3">
      <c r="B35" s="130" t="s">
        <v>2060</v>
      </c>
      <c r="C35" s="143">
        <v>39280</v>
      </c>
      <c r="D35" s="134" t="s">
        <v>175</v>
      </c>
      <c r="E35" s="134"/>
      <c r="F35" s="134" t="s">
        <v>2057</v>
      </c>
      <c r="G35" s="134"/>
      <c r="H35" s="293"/>
      <c r="I35" s="286">
        <v>0.82499999999999996</v>
      </c>
      <c r="J35" s="134" t="s">
        <v>2063</v>
      </c>
      <c r="K35" s="134"/>
      <c r="L35" s="134"/>
      <c r="M35" s="134" t="s">
        <v>176</v>
      </c>
      <c r="N35" s="134"/>
    </row>
    <row r="36" spans="2:14" x14ac:dyDescent="0.3">
      <c r="B36" s="130" t="s">
        <v>2059</v>
      </c>
      <c r="C36" s="143">
        <v>22270</v>
      </c>
      <c r="D36" s="134" t="s">
        <v>175</v>
      </c>
      <c r="E36" s="134"/>
      <c r="F36" s="134" t="s">
        <v>2057</v>
      </c>
      <c r="G36" s="134"/>
      <c r="H36" s="293"/>
      <c r="I36" s="286">
        <v>0.81</v>
      </c>
      <c r="J36" s="134"/>
      <c r="K36" s="134"/>
      <c r="L36" s="134"/>
      <c r="M36" s="134"/>
      <c r="N36" s="134"/>
    </row>
    <row r="37" spans="2:14" x14ac:dyDescent="0.3">
      <c r="B37" s="130" t="s">
        <v>2067</v>
      </c>
      <c r="C37" s="143">
        <v>103400</v>
      </c>
      <c r="D37" s="134" t="s">
        <v>165</v>
      </c>
      <c r="E37" s="134"/>
      <c r="F37" s="254" t="s">
        <v>1506</v>
      </c>
      <c r="G37" s="134"/>
      <c r="H37" s="293"/>
      <c r="I37" s="286">
        <v>0.84199999999999997</v>
      </c>
      <c r="J37" s="134" t="s">
        <v>2063</v>
      </c>
      <c r="K37" s="134"/>
      <c r="L37" s="134"/>
      <c r="M37" s="134" t="s">
        <v>176</v>
      </c>
      <c r="N37" s="134"/>
    </row>
    <row r="38" spans="2:14" x14ac:dyDescent="0.3">
      <c r="B38" s="130" t="s">
        <v>2123</v>
      </c>
      <c r="C38" s="143">
        <v>58600</v>
      </c>
      <c r="D38" s="134" t="s">
        <v>146</v>
      </c>
      <c r="E38" s="134"/>
      <c r="F38" s="254" t="s">
        <v>1506</v>
      </c>
      <c r="G38" s="294" t="s">
        <v>2081</v>
      </c>
      <c r="H38" s="293"/>
      <c r="I38" s="286">
        <v>1.05</v>
      </c>
      <c r="J38" s="134"/>
      <c r="K38" s="134"/>
      <c r="L38" s="134"/>
      <c r="M38" s="134"/>
      <c r="N38" s="134"/>
    </row>
    <row r="39" spans="2:14" x14ac:dyDescent="0.3">
      <c r="B39" s="130" t="s">
        <v>2122</v>
      </c>
      <c r="C39" s="143">
        <v>52500</v>
      </c>
      <c r="D39" s="134" t="s">
        <v>146</v>
      </c>
      <c r="E39" s="134"/>
      <c r="F39" s="254" t="s">
        <v>1506</v>
      </c>
      <c r="G39" s="134"/>
      <c r="H39" s="293"/>
      <c r="I39" s="286">
        <v>0.76200000000000001</v>
      </c>
      <c r="J39" s="134" t="s">
        <v>2063</v>
      </c>
      <c r="K39" s="134"/>
      <c r="L39" s="134"/>
      <c r="M39" s="134" t="s">
        <v>176</v>
      </c>
      <c r="N39" s="134"/>
    </row>
    <row r="40" spans="2:14" x14ac:dyDescent="0.3">
      <c r="B40" s="296" t="s">
        <v>2142</v>
      </c>
      <c r="C40" s="143"/>
      <c r="D40" s="134"/>
      <c r="E40" s="134"/>
      <c r="F40" s="134"/>
      <c r="G40" s="134"/>
      <c r="H40" s="293"/>
      <c r="I40" s="286"/>
      <c r="J40" s="134"/>
      <c r="K40" s="134"/>
      <c r="L40" s="134"/>
      <c r="M40" s="134"/>
      <c r="N40" s="134"/>
    </row>
    <row r="41" spans="2:14" x14ac:dyDescent="0.3">
      <c r="B41" s="281" t="s">
        <v>182</v>
      </c>
      <c r="C41" s="143"/>
      <c r="D41" s="134"/>
      <c r="E41" s="134"/>
      <c r="F41" s="134"/>
      <c r="G41" s="134"/>
      <c r="H41" s="293"/>
      <c r="I41" s="286"/>
      <c r="J41" s="134"/>
      <c r="K41" s="134"/>
      <c r="L41" s="134"/>
      <c r="M41" s="134"/>
      <c r="N41" s="134"/>
    </row>
    <row r="42" spans="2:14" x14ac:dyDescent="0.3">
      <c r="B42" s="130" t="s">
        <v>2064</v>
      </c>
      <c r="C42" s="143">
        <v>26410</v>
      </c>
      <c r="D42" s="134" t="s">
        <v>175</v>
      </c>
      <c r="E42" s="134"/>
      <c r="F42" s="254" t="s">
        <v>1506</v>
      </c>
      <c r="G42" s="134"/>
      <c r="H42" s="293">
        <v>1</v>
      </c>
      <c r="I42" s="286">
        <v>1.2</v>
      </c>
      <c r="J42" s="134"/>
      <c r="K42" s="134"/>
      <c r="L42" s="134" t="s">
        <v>2066</v>
      </c>
      <c r="M42" s="134"/>
      <c r="N42" s="134"/>
    </row>
    <row r="43" spans="2:14" x14ac:dyDescent="0.3">
      <c r="B43" s="130" t="s">
        <v>2065</v>
      </c>
      <c r="C43" s="143">
        <v>25220</v>
      </c>
      <c r="D43" s="134" t="s">
        <v>175</v>
      </c>
      <c r="E43" s="134"/>
      <c r="F43" s="254" t="s">
        <v>2054</v>
      </c>
      <c r="G43" s="251" t="s">
        <v>1473</v>
      </c>
      <c r="H43" s="293"/>
      <c r="I43" s="286">
        <v>0.75</v>
      </c>
      <c r="J43" s="134"/>
      <c r="K43" s="134"/>
      <c r="L43" s="134"/>
      <c r="M43" s="298" t="s">
        <v>183</v>
      </c>
      <c r="N43" s="134"/>
    </row>
    <row r="44" spans="2:14" x14ac:dyDescent="0.3">
      <c r="B44" s="130" t="s">
        <v>2084</v>
      </c>
      <c r="C44" s="143">
        <v>20900</v>
      </c>
      <c r="D44" s="134" t="s">
        <v>2086</v>
      </c>
      <c r="E44" s="134"/>
      <c r="F44" s="254" t="s">
        <v>1506</v>
      </c>
      <c r="G44" s="134"/>
      <c r="H44" s="293"/>
      <c r="I44" s="286">
        <v>1.1000000000000001</v>
      </c>
      <c r="J44" s="134"/>
      <c r="K44" s="134"/>
      <c r="L44" s="134"/>
      <c r="M44" s="134" t="s">
        <v>2091</v>
      </c>
      <c r="N44" s="134"/>
    </row>
    <row r="45" spans="2:14" x14ac:dyDescent="0.3">
      <c r="B45" s="130" t="s">
        <v>2085</v>
      </c>
      <c r="C45" s="143">
        <v>21900</v>
      </c>
      <c r="D45" s="134" t="s">
        <v>2086</v>
      </c>
      <c r="E45" s="134"/>
      <c r="F45" s="254" t="s">
        <v>1506</v>
      </c>
      <c r="G45" s="134" t="s">
        <v>2092</v>
      </c>
      <c r="H45" s="293"/>
      <c r="I45" s="286">
        <v>1</v>
      </c>
      <c r="J45" s="134"/>
      <c r="K45" s="134"/>
      <c r="L45" s="134" t="s">
        <v>2136</v>
      </c>
      <c r="M45" s="298" t="s">
        <v>183</v>
      </c>
      <c r="N45" s="134"/>
    </row>
    <row r="46" spans="2:14" x14ac:dyDescent="0.3">
      <c r="B46" s="130" t="s">
        <v>2083</v>
      </c>
      <c r="C46" s="143">
        <v>19000</v>
      </c>
      <c r="D46" s="134" t="s">
        <v>2086</v>
      </c>
      <c r="E46" s="134"/>
      <c r="F46" s="254" t="s">
        <v>1506</v>
      </c>
      <c r="G46" s="134" t="s">
        <v>2087</v>
      </c>
      <c r="H46" s="293"/>
      <c r="I46" s="286">
        <v>1.35</v>
      </c>
      <c r="J46" s="134"/>
      <c r="K46" s="134"/>
      <c r="L46" s="134" t="s">
        <v>2135</v>
      </c>
      <c r="M46" s="298" t="s">
        <v>183</v>
      </c>
      <c r="N46" s="134"/>
    </row>
    <row r="47" spans="2:14" x14ac:dyDescent="0.3">
      <c r="B47" s="130" t="s">
        <v>185</v>
      </c>
      <c r="C47" s="143">
        <v>19800</v>
      </c>
      <c r="D47" s="134" t="s">
        <v>2093</v>
      </c>
      <c r="E47" s="134"/>
      <c r="F47" s="254" t="s">
        <v>1506</v>
      </c>
      <c r="G47" s="134" t="s">
        <v>2078</v>
      </c>
      <c r="H47" s="293">
        <v>1</v>
      </c>
      <c r="I47" s="286"/>
      <c r="J47" s="134"/>
      <c r="K47" s="134"/>
      <c r="L47" s="134"/>
      <c r="M47" s="298" t="s">
        <v>183</v>
      </c>
      <c r="N47" s="134"/>
    </row>
    <row r="48" spans="2:14" x14ac:dyDescent="0.3">
      <c r="B48" s="296" t="s">
        <v>2142</v>
      </c>
      <c r="C48" s="143"/>
      <c r="D48" s="134"/>
      <c r="E48" s="134"/>
      <c r="F48" s="134"/>
      <c r="G48" s="134"/>
      <c r="H48" s="293"/>
      <c r="I48" s="286"/>
      <c r="J48" s="134"/>
      <c r="K48" s="134"/>
      <c r="L48" s="134"/>
      <c r="M48" s="134"/>
      <c r="N48" s="134"/>
    </row>
    <row r="49" spans="2:14" x14ac:dyDescent="0.3">
      <c r="B49" s="281" t="s">
        <v>186</v>
      </c>
      <c r="C49" s="143"/>
      <c r="D49" s="134"/>
      <c r="E49" s="134"/>
      <c r="F49" s="134"/>
      <c r="G49" s="134"/>
      <c r="H49" s="293"/>
      <c r="I49" s="286"/>
      <c r="J49" s="134"/>
      <c r="K49" s="134"/>
      <c r="L49" s="134"/>
      <c r="M49" s="134"/>
      <c r="N49" s="134"/>
    </row>
    <row r="50" spans="2:14" x14ac:dyDescent="0.3">
      <c r="B50" s="130" t="s">
        <v>2225</v>
      </c>
      <c r="C50" s="143">
        <v>197900</v>
      </c>
      <c r="D50" s="134" t="s">
        <v>2211</v>
      </c>
      <c r="E50" s="134"/>
      <c r="F50" s="254" t="s">
        <v>2212</v>
      </c>
      <c r="G50" s="134" t="s">
        <v>187</v>
      </c>
      <c r="H50" s="293">
        <v>1</v>
      </c>
      <c r="I50" s="286">
        <v>0.85</v>
      </c>
      <c r="J50" s="134"/>
      <c r="K50" s="134"/>
      <c r="L50" s="134"/>
      <c r="M50" s="134"/>
      <c r="N50" s="134" t="s">
        <v>2126</v>
      </c>
    </row>
    <row r="51" spans="2:14" x14ac:dyDescent="0.3">
      <c r="B51" s="130" t="s">
        <v>2221</v>
      </c>
      <c r="C51" s="143">
        <v>144700</v>
      </c>
      <c r="D51" s="134" t="s">
        <v>2211</v>
      </c>
      <c r="E51" s="134"/>
      <c r="F51" s="254" t="s">
        <v>2218</v>
      </c>
      <c r="G51" s="250" t="s">
        <v>1477</v>
      </c>
      <c r="H51" s="293">
        <v>1</v>
      </c>
      <c r="I51" s="286">
        <v>1.2</v>
      </c>
      <c r="J51" s="134"/>
      <c r="K51" s="134"/>
      <c r="L51" s="134"/>
      <c r="M51" s="134"/>
      <c r="N51" s="134"/>
    </row>
    <row r="52" spans="2:14" x14ac:dyDescent="0.3">
      <c r="B52" s="130" t="s">
        <v>2223</v>
      </c>
      <c r="C52" s="143">
        <v>218460</v>
      </c>
      <c r="D52" s="134" t="s">
        <v>2211</v>
      </c>
      <c r="E52" s="134"/>
      <c r="F52" s="254" t="s">
        <v>2218</v>
      </c>
      <c r="G52" s="134" t="s">
        <v>187</v>
      </c>
      <c r="H52" s="293">
        <v>1</v>
      </c>
      <c r="I52" s="286">
        <v>1.2</v>
      </c>
      <c r="J52" s="134"/>
      <c r="K52" s="134"/>
      <c r="L52" s="134"/>
      <c r="M52" s="134"/>
      <c r="N52" s="134" t="s">
        <v>2126</v>
      </c>
    </row>
    <row r="53" spans="2:14" x14ac:dyDescent="0.3">
      <c r="B53" s="130" t="s">
        <v>2219</v>
      </c>
      <c r="C53" s="143">
        <v>242800</v>
      </c>
      <c r="D53" s="134" t="s">
        <v>2211</v>
      </c>
      <c r="E53" s="134"/>
      <c r="F53" s="254" t="s">
        <v>2218</v>
      </c>
      <c r="G53" s="134" t="s">
        <v>187</v>
      </c>
      <c r="H53" s="293">
        <v>1</v>
      </c>
      <c r="I53" s="286">
        <v>1.4</v>
      </c>
      <c r="J53" s="134"/>
      <c r="K53" s="134"/>
      <c r="L53" s="134"/>
      <c r="M53" s="134"/>
      <c r="N53" s="134" t="s">
        <v>2206</v>
      </c>
    </row>
    <row r="54" spans="2:14" x14ac:dyDescent="0.3">
      <c r="B54" s="130" t="s">
        <v>2216</v>
      </c>
      <c r="C54" s="143">
        <v>165300</v>
      </c>
      <c r="D54" s="134" t="s">
        <v>2211</v>
      </c>
      <c r="E54" s="134"/>
      <c r="F54" s="254" t="s">
        <v>2212</v>
      </c>
      <c r="G54" s="250" t="s">
        <v>1477</v>
      </c>
      <c r="H54" s="293">
        <v>1</v>
      </c>
      <c r="I54" s="286">
        <v>1.2</v>
      </c>
      <c r="J54" s="134"/>
      <c r="K54" s="134"/>
      <c r="L54" s="134"/>
      <c r="M54" s="134"/>
      <c r="N54" s="134" t="s">
        <v>2213</v>
      </c>
    </row>
    <row r="55" spans="2:14" x14ac:dyDescent="0.3">
      <c r="B55" s="130" t="s">
        <v>2222</v>
      </c>
      <c r="C55" s="143">
        <v>176800</v>
      </c>
      <c r="D55" s="134" t="s">
        <v>2211</v>
      </c>
      <c r="E55" s="134"/>
      <c r="F55" s="254" t="s">
        <v>2212</v>
      </c>
      <c r="G55" s="250" t="s">
        <v>1477</v>
      </c>
      <c r="H55" s="293">
        <v>1</v>
      </c>
      <c r="I55" s="286">
        <v>1.2</v>
      </c>
      <c r="J55" s="134"/>
      <c r="K55" s="134"/>
      <c r="L55" s="134"/>
      <c r="M55" s="134"/>
      <c r="N55" s="134" t="s">
        <v>2126</v>
      </c>
    </row>
    <row r="56" spans="2:14" x14ac:dyDescent="0.3">
      <c r="B56" s="130" t="s">
        <v>2210</v>
      </c>
      <c r="C56" s="143">
        <v>240760</v>
      </c>
      <c r="D56" s="134" t="s">
        <v>2211</v>
      </c>
      <c r="E56" s="134"/>
      <c r="F56" s="254" t="s">
        <v>2212</v>
      </c>
      <c r="G56" s="134" t="s">
        <v>187</v>
      </c>
      <c r="H56" s="293">
        <v>1</v>
      </c>
      <c r="I56" s="286">
        <v>1.2</v>
      </c>
      <c r="J56" s="134"/>
      <c r="K56" s="134"/>
      <c r="L56" s="134"/>
      <c r="M56" s="134"/>
      <c r="N56" s="134" t="s">
        <v>2213</v>
      </c>
    </row>
    <row r="57" spans="2:14" x14ac:dyDescent="0.3">
      <c r="B57" s="130" t="s">
        <v>2220</v>
      </c>
      <c r="C57" s="143">
        <v>132890</v>
      </c>
      <c r="D57" s="134" t="s">
        <v>2211</v>
      </c>
      <c r="E57" s="134"/>
      <c r="F57" s="254" t="s">
        <v>2218</v>
      </c>
      <c r="G57" s="250" t="s">
        <v>1477</v>
      </c>
      <c r="H57" s="293">
        <v>1</v>
      </c>
      <c r="I57" s="286">
        <v>1.27</v>
      </c>
      <c r="J57" s="134"/>
      <c r="K57" s="134"/>
      <c r="L57" s="134"/>
      <c r="M57" s="134"/>
      <c r="N57" s="134"/>
    </row>
    <row r="58" spans="2:14" x14ac:dyDescent="0.3">
      <c r="B58" s="130" t="s">
        <v>2217</v>
      </c>
      <c r="C58" s="143">
        <v>179900</v>
      </c>
      <c r="D58" s="134" t="s">
        <v>2211</v>
      </c>
      <c r="E58" s="134"/>
      <c r="F58" s="254" t="s">
        <v>2218</v>
      </c>
      <c r="G58" s="134" t="s">
        <v>2161</v>
      </c>
      <c r="H58" s="293">
        <v>1</v>
      </c>
      <c r="I58" s="286">
        <v>1.3520000000000001</v>
      </c>
      <c r="J58" s="134"/>
      <c r="K58" s="134"/>
      <c r="L58" s="134"/>
      <c r="M58" s="134"/>
      <c r="N58" s="134" t="s">
        <v>2213</v>
      </c>
    </row>
    <row r="59" spans="2:14" x14ac:dyDescent="0.3">
      <c r="B59" s="130" t="s">
        <v>2224</v>
      </c>
      <c r="C59" s="143">
        <v>179900</v>
      </c>
      <c r="D59" s="134" t="s">
        <v>2211</v>
      </c>
      <c r="E59" s="134"/>
      <c r="F59" s="254" t="s">
        <v>2212</v>
      </c>
      <c r="G59" s="134" t="s">
        <v>2161</v>
      </c>
      <c r="H59" s="293">
        <v>1</v>
      </c>
      <c r="I59" s="286">
        <v>1.35</v>
      </c>
      <c r="J59" s="134"/>
      <c r="K59" s="134"/>
      <c r="L59" s="134"/>
      <c r="M59" s="134"/>
      <c r="N59" s="134" t="s">
        <v>2126</v>
      </c>
    </row>
    <row r="60" spans="2:14" x14ac:dyDescent="0.3">
      <c r="B60" s="130" t="s">
        <v>2214</v>
      </c>
      <c r="C60" s="143">
        <v>143000</v>
      </c>
      <c r="D60" s="134" t="s">
        <v>205</v>
      </c>
      <c r="E60" s="134"/>
      <c r="F60" s="254" t="s">
        <v>2215</v>
      </c>
      <c r="G60" s="250" t="s">
        <v>1477</v>
      </c>
      <c r="H60" s="293">
        <v>1</v>
      </c>
      <c r="I60" s="286">
        <v>1.2</v>
      </c>
      <c r="J60" s="134"/>
      <c r="K60" s="134"/>
      <c r="L60" s="134"/>
      <c r="M60" s="134"/>
      <c r="N60" s="134"/>
    </row>
    <row r="61" spans="2:14" x14ac:dyDescent="0.3">
      <c r="B61" s="130" t="s">
        <v>2209</v>
      </c>
      <c r="C61" s="143">
        <v>59900</v>
      </c>
      <c r="D61" s="134" t="s">
        <v>184</v>
      </c>
      <c r="E61" s="134"/>
      <c r="F61" s="134" t="s">
        <v>2208</v>
      </c>
      <c r="G61" s="134" t="s">
        <v>2236</v>
      </c>
      <c r="H61" s="293">
        <v>1</v>
      </c>
      <c r="I61" s="286">
        <v>1.2250000000000001</v>
      </c>
      <c r="J61" s="134"/>
      <c r="K61" s="134"/>
      <c r="L61" s="134" t="s">
        <v>2079</v>
      </c>
      <c r="M61" s="134"/>
      <c r="N61" s="134"/>
    </row>
    <row r="62" spans="2:14" x14ac:dyDescent="0.3">
      <c r="B62" s="130" t="s">
        <v>2207</v>
      </c>
      <c r="C62" s="143">
        <v>69000</v>
      </c>
      <c r="D62" s="134" t="s">
        <v>184</v>
      </c>
      <c r="E62" s="134"/>
      <c r="F62" s="134" t="s">
        <v>2208</v>
      </c>
      <c r="G62" s="134" t="s">
        <v>2236</v>
      </c>
      <c r="H62" s="293">
        <v>1</v>
      </c>
      <c r="I62" s="286">
        <v>1.19</v>
      </c>
      <c r="J62" s="134"/>
      <c r="K62" s="134"/>
      <c r="L62" s="134" t="s">
        <v>2079</v>
      </c>
      <c r="M62" s="134"/>
      <c r="N62" s="134"/>
    </row>
    <row r="63" spans="2:14" x14ac:dyDescent="0.3">
      <c r="B63" s="130" t="s">
        <v>2240</v>
      </c>
      <c r="C63" s="143">
        <v>218900</v>
      </c>
      <c r="D63" s="134" t="s">
        <v>188</v>
      </c>
      <c r="E63" s="134"/>
      <c r="F63" s="254" t="s">
        <v>2232</v>
      </c>
      <c r="G63" s="134" t="s">
        <v>2161</v>
      </c>
      <c r="H63" s="293">
        <v>1</v>
      </c>
      <c r="I63" s="286">
        <v>1.5</v>
      </c>
      <c r="J63" s="134"/>
      <c r="K63" s="134"/>
      <c r="L63" s="134"/>
      <c r="M63" s="134"/>
      <c r="N63" s="134" t="s">
        <v>2241</v>
      </c>
    </row>
    <row r="64" spans="2:14" x14ac:dyDescent="0.3">
      <c r="B64" s="130" t="s">
        <v>2239</v>
      </c>
      <c r="C64" s="143">
        <v>88740</v>
      </c>
      <c r="D64" s="134" t="s">
        <v>188</v>
      </c>
      <c r="E64" s="134"/>
      <c r="F64" s="254" t="s">
        <v>2232</v>
      </c>
      <c r="G64" s="134"/>
      <c r="H64" s="293">
        <v>1</v>
      </c>
      <c r="I64" s="286">
        <v>1.5</v>
      </c>
      <c r="J64" s="134"/>
      <c r="K64" s="134"/>
      <c r="L64" s="134"/>
      <c r="M64" s="134"/>
      <c r="N64" s="134" t="s">
        <v>2237</v>
      </c>
    </row>
    <row r="65" spans="2:14" x14ac:dyDescent="0.3">
      <c r="B65" s="130" t="s">
        <v>2238</v>
      </c>
      <c r="C65" s="143">
        <v>180200</v>
      </c>
      <c r="D65" s="134" t="s">
        <v>188</v>
      </c>
      <c r="E65" s="134"/>
      <c r="F65" s="254" t="s">
        <v>2232</v>
      </c>
      <c r="G65" s="134" t="s">
        <v>2161</v>
      </c>
      <c r="H65" s="293">
        <v>1</v>
      </c>
      <c r="I65" s="286">
        <v>0.95</v>
      </c>
      <c r="J65" s="134"/>
      <c r="K65" s="134"/>
      <c r="L65" s="134"/>
      <c r="M65" s="134"/>
      <c r="N65" s="134" t="s">
        <v>2206</v>
      </c>
    </row>
    <row r="66" spans="2:14" x14ac:dyDescent="0.3">
      <c r="B66" s="130" t="s">
        <v>2242</v>
      </c>
      <c r="C66" s="143">
        <v>108900</v>
      </c>
      <c r="D66" s="134" t="s">
        <v>188</v>
      </c>
      <c r="E66" s="134"/>
      <c r="F66" s="254" t="s">
        <v>2232</v>
      </c>
      <c r="G66" s="285" t="s">
        <v>1484</v>
      </c>
      <c r="H66" s="293">
        <v>1</v>
      </c>
      <c r="I66" s="286">
        <v>1.18</v>
      </c>
      <c r="J66" s="134"/>
      <c r="K66" s="134"/>
      <c r="L66" s="134"/>
      <c r="M66" s="134"/>
      <c r="N66" s="134"/>
    </row>
    <row r="67" spans="2:14" x14ac:dyDescent="0.3">
      <c r="B67" s="130" t="s">
        <v>2244</v>
      </c>
      <c r="C67" s="143">
        <v>124500</v>
      </c>
      <c r="D67" s="134" t="s">
        <v>188</v>
      </c>
      <c r="E67" s="134"/>
      <c r="F67" s="254" t="s">
        <v>2243</v>
      </c>
      <c r="G67" s="285" t="s">
        <v>1484</v>
      </c>
      <c r="H67" s="293">
        <v>1</v>
      </c>
      <c r="I67" s="286">
        <v>1.18</v>
      </c>
      <c r="J67" s="134"/>
      <c r="K67" s="134"/>
      <c r="L67" s="134"/>
      <c r="M67" s="134"/>
      <c r="N67" s="134"/>
    </row>
    <row r="68" spans="2:14" x14ac:dyDescent="0.3">
      <c r="B68" s="130" t="s">
        <v>2233</v>
      </c>
      <c r="C68" s="143">
        <v>210000</v>
      </c>
      <c r="D68" s="134" t="s">
        <v>188</v>
      </c>
      <c r="E68" s="134"/>
      <c r="F68" s="254" t="s">
        <v>2232</v>
      </c>
      <c r="G68" s="134" t="s">
        <v>2235</v>
      </c>
      <c r="H68" s="293">
        <v>1</v>
      </c>
      <c r="I68" s="286">
        <v>1.41</v>
      </c>
      <c r="J68" s="134"/>
      <c r="K68" s="134"/>
      <c r="L68" s="134"/>
      <c r="M68" s="134"/>
      <c r="N68" s="134"/>
    </row>
    <row r="69" spans="2:14" x14ac:dyDescent="0.3">
      <c r="B69" s="130" t="s">
        <v>2234</v>
      </c>
      <c r="C69" s="143">
        <v>167800</v>
      </c>
      <c r="D69" s="134" t="s">
        <v>188</v>
      </c>
      <c r="E69" s="134"/>
      <c r="F69" s="254" t="s">
        <v>2232</v>
      </c>
      <c r="G69" s="134" t="s">
        <v>2235</v>
      </c>
      <c r="H69" s="293">
        <v>1</v>
      </c>
      <c r="I69" s="286">
        <v>0.95</v>
      </c>
      <c r="J69" s="134"/>
      <c r="K69" s="134"/>
      <c r="L69" s="134"/>
      <c r="M69" s="134"/>
      <c r="N69" s="134"/>
    </row>
    <row r="70" spans="2:14" x14ac:dyDescent="0.3">
      <c r="B70" s="130" t="s">
        <v>2227</v>
      </c>
      <c r="C70" s="143">
        <v>113000</v>
      </c>
      <c r="D70" s="134" t="s">
        <v>2228</v>
      </c>
      <c r="E70" s="134"/>
      <c r="F70" s="254" t="s">
        <v>2230</v>
      </c>
      <c r="G70" s="251" t="s">
        <v>1473</v>
      </c>
      <c r="H70" s="293">
        <v>1</v>
      </c>
      <c r="I70" s="286">
        <v>1.5149999999999999</v>
      </c>
      <c r="J70" s="134"/>
      <c r="K70" s="134"/>
      <c r="L70" s="134"/>
      <c r="M70" s="134"/>
      <c r="N70" s="134" t="s">
        <v>2206</v>
      </c>
    </row>
    <row r="71" spans="2:14" x14ac:dyDescent="0.3">
      <c r="B71" s="130" t="s">
        <v>2231</v>
      </c>
      <c r="C71" s="143">
        <v>165000</v>
      </c>
      <c r="D71" s="134" t="s">
        <v>2228</v>
      </c>
      <c r="E71" s="134"/>
      <c r="F71" s="254" t="s">
        <v>2229</v>
      </c>
      <c r="G71" s="251" t="s">
        <v>1473</v>
      </c>
      <c r="H71" s="293">
        <v>1</v>
      </c>
      <c r="I71" s="286">
        <v>1.61</v>
      </c>
      <c r="J71" s="134"/>
      <c r="K71" s="134"/>
      <c r="L71" s="134"/>
      <c r="M71" s="134"/>
      <c r="N71" s="134" t="s">
        <v>2206</v>
      </c>
    </row>
    <row r="72" spans="2:14" x14ac:dyDescent="0.3">
      <c r="B72" s="130" t="s">
        <v>2248</v>
      </c>
      <c r="C72" s="143">
        <v>158900</v>
      </c>
      <c r="D72" s="134" t="s">
        <v>2251</v>
      </c>
      <c r="E72" s="134"/>
      <c r="F72" s="254" t="s">
        <v>2253</v>
      </c>
      <c r="G72" s="251" t="s">
        <v>1473</v>
      </c>
      <c r="H72" s="293">
        <v>1</v>
      </c>
      <c r="I72" s="286">
        <v>1.2</v>
      </c>
      <c r="J72" s="134"/>
      <c r="K72" s="134"/>
      <c r="L72" s="134"/>
      <c r="M72" s="134"/>
      <c r="N72" s="134" t="s">
        <v>2206</v>
      </c>
    </row>
    <row r="73" spans="2:14" x14ac:dyDescent="0.3">
      <c r="B73" s="130" t="s">
        <v>2250</v>
      </c>
      <c r="C73" s="143">
        <v>121900</v>
      </c>
      <c r="D73" s="134" t="s">
        <v>2251</v>
      </c>
      <c r="E73" s="134"/>
      <c r="F73" s="254" t="s">
        <v>2180</v>
      </c>
      <c r="G73" s="134"/>
      <c r="H73" s="293">
        <v>1</v>
      </c>
      <c r="I73" s="286">
        <v>1.19</v>
      </c>
      <c r="J73" s="134"/>
      <c r="K73" s="134"/>
      <c r="L73" s="134"/>
      <c r="M73" s="134"/>
      <c r="N73" s="134" t="s">
        <v>2206</v>
      </c>
    </row>
    <row r="74" spans="2:14" x14ac:dyDescent="0.3">
      <c r="B74" s="130" t="s">
        <v>2246</v>
      </c>
      <c r="C74" s="143">
        <v>187900</v>
      </c>
      <c r="D74" s="134" t="s">
        <v>2251</v>
      </c>
      <c r="E74" s="134"/>
      <c r="F74" s="254" t="s">
        <v>2254</v>
      </c>
      <c r="G74" s="294" t="s">
        <v>2081</v>
      </c>
      <c r="H74" s="293">
        <v>1</v>
      </c>
      <c r="I74" s="286">
        <v>1.19</v>
      </c>
      <c r="J74" s="134"/>
      <c r="K74" s="134"/>
      <c r="L74" s="134"/>
      <c r="M74" s="134"/>
      <c r="N74" s="134" t="s">
        <v>2206</v>
      </c>
    </row>
    <row r="75" spans="2:14" x14ac:dyDescent="0.3">
      <c r="B75" s="130" t="s">
        <v>2245</v>
      </c>
      <c r="C75" s="143">
        <v>154900</v>
      </c>
      <c r="D75" s="134" t="s">
        <v>2251</v>
      </c>
      <c r="E75" s="134" t="s">
        <v>2252</v>
      </c>
      <c r="F75" s="254" t="s">
        <v>2253</v>
      </c>
      <c r="G75" s="251" t="s">
        <v>1473</v>
      </c>
      <c r="H75" s="293">
        <v>1</v>
      </c>
      <c r="I75" s="286">
        <v>1.1000000000000001</v>
      </c>
      <c r="J75" s="134"/>
      <c r="K75" s="134"/>
      <c r="L75" s="134"/>
      <c r="M75" s="134"/>
      <c r="N75" s="134" t="s">
        <v>2206</v>
      </c>
    </row>
    <row r="76" spans="2:14" x14ac:dyDescent="0.3">
      <c r="B76" s="130" t="s">
        <v>2249</v>
      </c>
      <c r="C76" s="143">
        <v>118000</v>
      </c>
      <c r="D76" s="134" t="s">
        <v>2251</v>
      </c>
      <c r="E76" s="134" t="s">
        <v>2252</v>
      </c>
      <c r="F76" s="254" t="s">
        <v>2180</v>
      </c>
      <c r="G76" s="134"/>
      <c r="H76" s="293">
        <v>1</v>
      </c>
      <c r="I76" s="286">
        <v>1.1000000000000001</v>
      </c>
      <c r="J76" s="134"/>
      <c r="K76" s="134"/>
      <c r="L76" s="134"/>
      <c r="M76" s="134"/>
      <c r="N76" s="134" t="s">
        <v>2206</v>
      </c>
    </row>
    <row r="77" spans="2:14" x14ac:dyDescent="0.3">
      <c r="B77" s="130" t="s">
        <v>2247</v>
      </c>
      <c r="C77" s="143">
        <v>182900</v>
      </c>
      <c r="D77" s="134" t="s">
        <v>2251</v>
      </c>
      <c r="E77" s="134" t="s">
        <v>2252</v>
      </c>
      <c r="F77" s="254" t="s">
        <v>2254</v>
      </c>
      <c r="G77" s="294" t="s">
        <v>2081</v>
      </c>
      <c r="H77" s="293">
        <v>1</v>
      </c>
      <c r="I77" s="286">
        <v>1.1000000000000001</v>
      </c>
      <c r="J77" s="134"/>
      <c r="K77" s="134"/>
      <c r="L77" s="134"/>
      <c r="M77" s="134"/>
      <c r="N77" s="134" t="s">
        <v>2206</v>
      </c>
    </row>
    <row r="78" spans="2:14" x14ac:dyDescent="0.3">
      <c r="B78" s="130" t="s">
        <v>2179</v>
      </c>
      <c r="C78" s="143">
        <v>105110</v>
      </c>
      <c r="D78" s="134" t="s">
        <v>191</v>
      </c>
      <c r="E78" s="134"/>
      <c r="F78" s="254" t="s">
        <v>2180</v>
      </c>
      <c r="G78" s="294" t="s">
        <v>2081</v>
      </c>
      <c r="H78" s="293"/>
      <c r="I78" s="286">
        <v>1.2</v>
      </c>
      <c r="J78" s="134"/>
      <c r="K78" s="134"/>
      <c r="L78" s="134" t="s">
        <v>2132</v>
      </c>
      <c r="M78" s="134"/>
      <c r="N78" s="134"/>
    </row>
    <row r="79" spans="2:14" x14ac:dyDescent="0.3">
      <c r="B79" s="130" t="s">
        <v>2198</v>
      </c>
      <c r="C79" s="143">
        <v>99000</v>
      </c>
      <c r="D79" s="134" t="s">
        <v>2196</v>
      </c>
      <c r="E79" s="134"/>
      <c r="F79" s="254" t="s">
        <v>2201</v>
      </c>
      <c r="G79" s="294" t="s">
        <v>2081</v>
      </c>
      <c r="H79" s="293">
        <v>1</v>
      </c>
      <c r="I79" s="286">
        <v>1.24</v>
      </c>
      <c r="J79" s="134"/>
      <c r="K79" s="134"/>
      <c r="L79" s="134" t="s">
        <v>2135</v>
      </c>
      <c r="M79" s="134"/>
      <c r="N79" s="134" t="s">
        <v>2205</v>
      </c>
    </row>
    <row r="80" spans="2:14" x14ac:dyDescent="0.3">
      <c r="B80" s="130" t="s">
        <v>2202</v>
      </c>
      <c r="C80" s="143">
        <v>108700</v>
      </c>
      <c r="D80" s="134" t="s">
        <v>2196</v>
      </c>
      <c r="E80" s="134"/>
      <c r="F80" s="254" t="s">
        <v>2201</v>
      </c>
      <c r="G80" s="294" t="s">
        <v>2081</v>
      </c>
      <c r="H80" s="293">
        <v>1</v>
      </c>
      <c r="I80" s="286">
        <v>1.23</v>
      </c>
      <c r="J80" s="134"/>
      <c r="K80" s="134"/>
      <c r="L80" s="134" t="s">
        <v>2135</v>
      </c>
      <c r="M80" s="134"/>
      <c r="N80" s="134" t="s">
        <v>2109</v>
      </c>
    </row>
    <row r="81" spans="2:14" x14ac:dyDescent="0.3">
      <c r="B81" s="130" t="s">
        <v>2187</v>
      </c>
      <c r="C81" s="143">
        <v>73720</v>
      </c>
      <c r="D81" s="134" t="s">
        <v>2188</v>
      </c>
      <c r="E81" s="134"/>
      <c r="F81" s="254" t="s">
        <v>2189</v>
      </c>
      <c r="G81" s="134" t="s">
        <v>2161</v>
      </c>
      <c r="H81" s="293"/>
      <c r="I81" s="286">
        <v>1.26</v>
      </c>
      <c r="J81" s="134"/>
      <c r="K81" s="134"/>
      <c r="L81" s="134" t="s">
        <v>2135</v>
      </c>
      <c r="M81" s="134"/>
      <c r="N81" s="134"/>
    </row>
    <row r="82" spans="2:14" x14ac:dyDescent="0.3">
      <c r="B82" s="130" t="s">
        <v>2192</v>
      </c>
      <c r="C82" s="143">
        <v>49400</v>
      </c>
      <c r="D82" s="134" t="s">
        <v>2193</v>
      </c>
      <c r="E82" s="134"/>
      <c r="F82" s="254" t="s">
        <v>2194</v>
      </c>
      <c r="G82" s="294" t="s">
        <v>2081</v>
      </c>
      <c r="H82" s="293">
        <v>1</v>
      </c>
      <c r="I82" s="286">
        <v>1.18</v>
      </c>
      <c r="J82" s="134"/>
      <c r="K82" s="134"/>
      <c r="L82" s="7" t="s">
        <v>2183</v>
      </c>
      <c r="M82" s="134"/>
      <c r="N82" s="134" t="s">
        <v>2109</v>
      </c>
    </row>
    <row r="83" spans="2:14" x14ac:dyDescent="0.3">
      <c r="B83" s="130" t="s">
        <v>2182</v>
      </c>
      <c r="C83" s="143">
        <v>49400</v>
      </c>
      <c r="D83" s="134" t="s">
        <v>2097</v>
      </c>
      <c r="E83" s="134"/>
      <c r="F83" s="254" t="s">
        <v>2180</v>
      </c>
      <c r="G83" s="134" t="s">
        <v>2161</v>
      </c>
      <c r="H83" s="293">
        <v>1</v>
      </c>
      <c r="I83" s="286">
        <v>1.18</v>
      </c>
      <c r="J83" s="134"/>
      <c r="K83" s="134"/>
      <c r="L83" s="7" t="s">
        <v>2183</v>
      </c>
      <c r="M83" s="134"/>
      <c r="N83" s="134" t="s">
        <v>2109</v>
      </c>
    </row>
    <row r="84" spans="2:14" x14ac:dyDescent="0.3">
      <c r="B84" s="130" t="s">
        <v>2197</v>
      </c>
      <c r="C84" s="143">
        <v>97900</v>
      </c>
      <c r="D84" s="134" t="s">
        <v>2196</v>
      </c>
      <c r="E84" s="134"/>
      <c r="F84" s="134" t="s">
        <v>2203</v>
      </c>
      <c r="G84" s="134" t="s">
        <v>2161</v>
      </c>
      <c r="H84" s="293">
        <v>1</v>
      </c>
      <c r="I84" s="286">
        <v>1.44</v>
      </c>
      <c r="J84" s="134"/>
      <c r="K84" s="134"/>
      <c r="L84" s="134"/>
      <c r="M84" s="134"/>
      <c r="N84" s="134" t="s">
        <v>2109</v>
      </c>
    </row>
    <row r="85" spans="2:14" x14ac:dyDescent="0.3">
      <c r="B85" s="130" t="s">
        <v>2199</v>
      </c>
      <c r="C85" s="143">
        <v>118700</v>
      </c>
      <c r="D85" s="134" t="s">
        <v>2196</v>
      </c>
      <c r="E85" s="134"/>
      <c r="F85" s="134" t="s">
        <v>2200</v>
      </c>
      <c r="G85" s="134" t="s">
        <v>2161</v>
      </c>
      <c r="H85" s="293">
        <v>1</v>
      </c>
      <c r="I85" s="286">
        <v>1.25</v>
      </c>
      <c r="J85" s="134"/>
      <c r="K85" s="134"/>
      <c r="L85" s="134" t="s">
        <v>2135</v>
      </c>
      <c r="M85" s="134"/>
      <c r="N85" s="134" t="s">
        <v>2206</v>
      </c>
    </row>
    <row r="86" spans="2:14" x14ac:dyDescent="0.3">
      <c r="B86" s="130" t="s">
        <v>2184</v>
      </c>
      <c r="C86" s="143">
        <v>78900</v>
      </c>
      <c r="D86" s="134" t="s">
        <v>2185</v>
      </c>
      <c r="E86" s="134"/>
      <c r="F86" s="134" t="s">
        <v>2186</v>
      </c>
      <c r="G86" s="134" t="s">
        <v>2161</v>
      </c>
      <c r="H86" s="293">
        <v>1</v>
      </c>
      <c r="I86" s="286">
        <v>1.1399999999999999</v>
      </c>
      <c r="J86" s="134"/>
      <c r="K86" s="134"/>
      <c r="L86" s="134" t="s">
        <v>2135</v>
      </c>
      <c r="M86" s="134"/>
      <c r="N86" s="134" t="s">
        <v>2109</v>
      </c>
    </row>
    <row r="87" spans="2:14" x14ac:dyDescent="0.3">
      <c r="B87" s="130" t="s">
        <v>2190</v>
      </c>
      <c r="C87" s="143">
        <v>62000</v>
      </c>
      <c r="D87" s="134" t="s">
        <v>2185</v>
      </c>
      <c r="E87" s="134"/>
      <c r="F87" s="254" t="s">
        <v>2191</v>
      </c>
      <c r="G87" s="134" t="s">
        <v>2161</v>
      </c>
      <c r="H87" s="293"/>
      <c r="I87" s="286">
        <v>1</v>
      </c>
      <c r="J87" s="134"/>
      <c r="K87" s="134"/>
      <c r="L87" s="134" t="s">
        <v>2135</v>
      </c>
      <c r="M87" s="134"/>
      <c r="N87" s="134"/>
    </row>
    <row r="88" spans="2:14" x14ac:dyDescent="0.3">
      <c r="B88" s="130" t="s">
        <v>2195</v>
      </c>
      <c r="C88" s="143">
        <v>99000</v>
      </c>
      <c r="D88" s="134" t="s">
        <v>2196</v>
      </c>
      <c r="E88" s="134"/>
      <c r="F88" s="254" t="s">
        <v>2180</v>
      </c>
      <c r="G88" s="294" t="s">
        <v>2081</v>
      </c>
      <c r="H88" s="293">
        <v>1</v>
      </c>
      <c r="I88" s="286">
        <v>1.29</v>
      </c>
      <c r="J88" s="134"/>
      <c r="K88" s="134"/>
      <c r="L88" s="134" t="s">
        <v>2135</v>
      </c>
      <c r="M88" s="134"/>
      <c r="N88" s="134" t="s">
        <v>2109</v>
      </c>
    </row>
    <row r="89" spans="2:14" x14ac:dyDescent="0.3">
      <c r="B89" s="130" t="s">
        <v>2262</v>
      </c>
      <c r="C89" s="143">
        <v>89800</v>
      </c>
      <c r="D89" s="134" t="s">
        <v>149</v>
      </c>
      <c r="E89" s="134"/>
      <c r="F89" s="134" t="s">
        <v>2260</v>
      </c>
      <c r="G89" s="134" t="s">
        <v>187</v>
      </c>
      <c r="H89" s="293"/>
      <c r="I89" s="286">
        <v>0.92500000000000004</v>
      </c>
      <c r="J89" s="134"/>
      <c r="K89" s="134"/>
      <c r="L89" s="134" t="s">
        <v>2079</v>
      </c>
      <c r="M89" s="134"/>
      <c r="N89" s="134" t="s">
        <v>2206</v>
      </c>
    </row>
    <row r="90" spans="2:14" x14ac:dyDescent="0.3">
      <c r="B90" s="130" t="s">
        <v>2258</v>
      </c>
      <c r="C90" s="143">
        <v>70000</v>
      </c>
      <c r="D90" s="134" t="s">
        <v>149</v>
      </c>
      <c r="E90" s="134"/>
      <c r="F90" s="272" t="s">
        <v>2153</v>
      </c>
      <c r="G90" s="294" t="s">
        <v>2161</v>
      </c>
      <c r="H90" s="293"/>
      <c r="I90" s="286">
        <v>1.2</v>
      </c>
      <c r="J90" s="134"/>
      <c r="K90" s="134"/>
      <c r="L90" s="7"/>
      <c r="M90" s="134"/>
      <c r="N90" s="134" t="s">
        <v>2206</v>
      </c>
    </row>
    <row r="91" spans="2:14" x14ac:dyDescent="0.3">
      <c r="B91" s="130" t="s">
        <v>2263</v>
      </c>
      <c r="C91" s="143">
        <v>69900</v>
      </c>
      <c r="D91" s="134" t="s">
        <v>149</v>
      </c>
      <c r="E91" s="134"/>
      <c r="F91" s="294" t="s">
        <v>2154</v>
      </c>
      <c r="G91" s="293" t="s">
        <v>2261</v>
      </c>
      <c r="H91" s="293">
        <v>1</v>
      </c>
      <c r="I91" s="286">
        <v>1.4</v>
      </c>
      <c r="J91" s="134"/>
      <c r="K91" s="134"/>
      <c r="L91" s="134" t="s">
        <v>2079</v>
      </c>
      <c r="M91" s="134"/>
      <c r="N91" s="134"/>
    </row>
    <row r="92" spans="2:14" x14ac:dyDescent="0.3">
      <c r="B92" s="130" t="s">
        <v>2268</v>
      </c>
      <c r="C92" s="143">
        <v>69800</v>
      </c>
      <c r="D92" s="134" t="s">
        <v>149</v>
      </c>
      <c r="E92" s="134"/>
      <c r="F92" s="294" t="s">
        <v>2154</v>
      </c>
      <c r="G92" s="294" t="s">
        <v>2081</v>
      </c>
      <c r="H92" s="293"/>
      <c r="I92" s="286">
        <v>1.1000000000000001</v>
      </c>
      <c r="J92" s="134"/>
      <c r="K92" s="134"/>
      <c r="L92" s="134" t="s">
        <v>2079</v>
      </c>
      <c r="M92" s="134"/>
      <c r="N92" s="134" t="s">
        <v>2206</v>
      </c>
    </row>
    <row r="93" spans="2:14" x14ac:dyDescent="0.3">
      <c r="B93" s="130" t="s">
        <v>2256</v>
      </c>
      <c r="C93" s="143">
        <v>59900</v>
      </c>
      <c r="D93" s="134" t="s">
        <v>149</v>
      </c>
      <c r="E93" s="134"/>
      <c r="F93" s="294" t="s">
        <v>2154</v>
      </c>
      <c r="G93" s="294" t="s">
        <v>2081</v>
      </c>
      <c r="H93" s="293"/>
      <c r="I93" s="286">
        <v>1.1000000000000001</v>
      </c>
      <c r="J93" s="134"/>
      <c r="K93" s="134"/>
      <c r="L93" s="134" t="s">
        <v>2079</v>
      </c>
      <c r="M93" s="134"/>
      <c r="N93" s="134"/>
    </row>
    <row r="94" spans="2:14" x14ac:dyDescent="0.3">
      <c r="B94" s="130" t="s">
        <v>2270</v>
      </c>
      <c r="C94" s="143">
        <v>89900</v>
      </c>
      <c r="D94" s="134" t="s">
        <v>149</v>
      </c>
      <c r="E94" s="134"/>
      <c r="F94" s="294" t="s">
        <v>2154</v>
      </c>
      <c r="G94" s="293" t="s">
        <v>2161</v>
      </c>
      <c r="H94" s="293"/>
      <c r="I94" s="286">
        <v>1.2</v>
      </c>
      <c r="J94" s="134"/>
      <c r="K94" s="134"/>
      <c r="L94" s="134" t="s">
        <v>2079</v>
      </c>
      <c r="M94" s="134"/>
      <c r="N94" s="134" t="s">
        <v>2272</v>
      </c>
    </row>
    <row r="95" spans="2:14" x14ac:dyDescent="0.3">
      <c r="B95" s="130" t="s">
        <v>2269</v>
      </c>
      <c r="C95" s="143">
        <v>79900</v>
      </c>
      <c r="D95" s="134" t="s">
        <v>149</v>
      </c>
      <c r="E95" s="134"/>
      <c r="F95" s="294" t="s">
        <v>2154</v>
      </c>
      <c r="G95" s="293" t="s">
        <v>2261</v>
      </c>
      <c r="H95" s="293"/>
      <c r="I95" s="286">
        <v>0.75</v>
      </c>
      <c r="J95" s="134"/>
      <c r="K95" s="134"/>
      <c r="L95" s="134" t="s">
        <v>2079</v>
      </c>
      <c r="M95" s="134"/>
      <c r="N95" s="134" t="s">
        <v>2109</v>
      </c>
    </row>
    <row r="96" spans="2:14" x14ac:dyDescent="0.3">
      <c r="B96" s="130" t="s">
        <v>2265</v>
      </c>
      <c r="C96" s="143">
        <v>94650</v>
      </c>
      <c r="D96" s="134" t="s">
        <v>149</v>
      </c>
      <c r="E96" s="134"/>
      <c r="F96" s="254" t="s">
        <v>2266</v>
      </c>
      <c r="G96" s="250" t="s">
        <v>1477</v>
      </c>
      <c r="H96" s="293">
        <v>1</v>
      </c>
      <c r="I96" s="286">
        <v>1.2</v>
      </c>
      <c r="J96" s="134"/>
      <c r="K96" s="134"/>
      <c r="L96" s="7"/>
      <c r="M96" s="134"/>
      <c r="N96" s="134" t="s">
        <v>2271</v>
      </c>
    </row>
    <row r="97" spans="2:14" x14ac:dyDescent="0.3">
      <c r="B97" s="130" t="s">
        <v>2267</v>
      </c>
      <c r="C97" s="143">
        <v>79900</v>
      </c>
      <c r="D97" s="134" t="s">
        <v>149</v>
      </c>
      <c r="E97" s="134"/>
      <c r="F97" s="134" t="s">
        <v>2260</v>
      </c>
      <c r="G97" s="251" t="s">
        <v>1473</v>
      </c>
      <c r="H97" s="293">
        <v>1</v>
      </c>
      <c r="I97" s="286">
        <v>1.27</v>
      </c>
      <c r="J97" s="134"/>
      <c r="K97" s="134"/>
      <c r="L97" s="134" t="s">
        <v>2079</v>
      </c>
      <c r="M97" s="134"/>
      <c r="N97" s="134" t="s">
        <v>2206</v>
      </c>
    </row>
    <row r="98" spans="2:14" x14ac:dyDescent="0.3">
      <c r="B98" s="130" t="s">
        <v>2255</v>
      </c>
      <c r="C98" s="143">
        <v>120460</v>
      </c>
      <c r="D98" s="134" t="s">
        <v>149</v>
      </c>
      <c r="E98" s="134"/>
      <c r="F98" s="134" t="s">
        <v>2257</v>
      </c>
      <c r="G98" s="294" t="s">
        <v>2259</v>
      </c>
      <c r="H98" s="293"/>
      <c r="I98" s="286">
        <v>1.012</v>
      </c>
      <c r="J98" s="134"/>
      <c r="K98" s="134"/>
      <c r="L98" s="134" t="s">
        <v>2079</v>
      </c>
      <c r="M98" s="134"/>
      <c r="N98" s="134" t="s">
        <v>2206</v>
      </c>
    </row>
    <row r="99" spans="2:14" x14ac:dyDescent="0.3">
      <c r="B99" s="130" t="s">
        <v>2158</v>
      </c>
      <c r="C99" s="143">
        <v>89800</v>
      </c>
      <c r="D99" s="134" t="s">
        <v>2159</v>
      </c>
      <c r="E99" s="134"/>
      <c r="F99" s="272" t="s">
        <v>2160</v>
      </c>
      <c r="G99" s="134" t="s">
        <v>2161</v>
      </c>
      <c r="H99" s="293">
        <v>1</v>
      </c>
      <c r="I99" s="286">
        <v>1.02</v>
      </c>
      <c r="J99" s="134"/>
      <c r="K99" s="134"/>
      <c r="L99" s="134" t="s">
        <v>2132</v>
      </c>
      <c r="M99" s="134"/>
      <c r="N99" s="134"/>
    </row>
    <row r="100" spans="2:14" x14ac:dyDescent="0.3">
      <c r="B100" s="130" t="s">
        <v>2169</v>
      </c>
      <c r="C100" s="143">
        <v>50900</v>
      </c>
      <c r="D100" s="134" t="s">
        <v>2151</v>
      </c>
      <c r="E100" s="134"/>
      <c r="F100" s="299" t="s">
        <v>2174</v>
      </c>
      <c r="G100" s="134"/>
      <c r="H100" s="293">
        <v>1</v>
      </c>
      <c r="I100" s="286">
        <v>1.2</v>
      </c>
      <c r="J100" s="134"/>
      <c r="K100" s="134"/>
      <c r="L100" s="134"/>
      <c r="M100" s="134"/>
      <c r="N100" s="134"/>
    </row>
    <row r="101" spans="2:14" x14ac:dyDescent="0.3">
      <c r="B101" s="130" t="s">
        <v>2157</v>
      </c>
      <c r="C101" s="143">
        <v>97900</v>
      </c>
      <c r="D101" s="134" t="s">
        <v>2151</v>
      </c>
      <c r="E101" s="134"/>
      <c r="F101" s="254" t="s">
        <v>2138</v>
      </c>
      <c r="G101" s="294" t="s">
        <v>2081</v>
      </c>
      <c r="H101" s="293">
        <v>1</v>
      </c>
      <c r="I101" s="286">
        <v>1.1499999999999999</v>
      </c>
      <c r="J101" s="134"/>
      <c r="K101" s="134"/>
      <c r="L101" s="134" t="s">
        <v>2132</v>
      </c>
      <c r="M101" s="134"/>
      <c r="N101" s="134"/>
    </row>
    <row r="102" spans="2:14" x14ac:dyDescent="0.3">
      <c r="B102" s="130" t="s">
        <v>2139</v>
      </c>
      <c r="C102" s="143">
        <v>68300</v>
      </c>
      <c r="D102" s="134" t="s">
        <v>192</v>
      </c>
      <c r="E102" s="134"/>
      <c r="F102" s="134" t="s">
        <v>2156</v>
      </c>
      <c r="G102" s="134" t="s">
        <v>187</v>
      </c>
      <c r="H102" s="293">
        <v>1</v>
      </c>
      <c r="I102" s="286">
        <v>1.2</v>
      </c>
      <c r="J102" s="134"/>
      <c r="K102" s="134"/>
      <c r="L102" s="134" t="s">
        <v>2132</v>
      </c>
      <c r="M102" s="134"/>
      <c r="N102" s="134"/>
    </row>
    <row r="103" spans="2:14" x14ac:dyDescent="0.3">
      <c r="B103" s="130" t="s">
        <v>2162</v>
      </c>
      <c r="C103" s="143">
        <v>57210</v>
      </c>
      <c r="D103" s="134" t="s">
        <v>2131</v>
      </c>
      <c r="E103" s="134"/>
      <c r="F103" s="272" t="s">
        <v>2163</v>
      </c>
      <c r="G103" s="294" t="s">
        <v>2081</v>
      </c>
      <c r="H103" s="293">
        <v>1</v>
      </c>
      <c r="I103" s="286">
        <v>0.92500000000000004</v>
      </c>
      <c r="J103" s="134"/>
      <c r="K103" s="134"/>
      <c r="L103" s="134" t="s">
        <v>2132</v>
      </c>
      <c r="M103" s="134"/>
      <c r="N103" s="134"/>
    </row>
    <row r="104" spans="2:14" x14ac:dyDescent="0.3">
      <c r="B104" s="130" t="s">
        <v>2137</v>
      </c>
      <c r="C104" s="143">
        <v>59900</v>
      </c>
      <c r="D104" s="134" t="s">
        <v>2131</v>
      </c>
      <c r="E104" s="134"/>
      <c r="F104" s="134" t="s">
        <v>2155</v>
      </c>
      <c r="G104" s="134" t="s">
        <v>187</v>
      </c>
      <c r="H104" s="293">
        <v>1</v>
      </c>
      <c r="I104" s="286">
        <v>0.78</v>
      </c>
      <c r="J104" s="134"/>
      <c r="K104" s="134"/>
      <c r="L104" s="134" t="s">
        <v>2132</v>
      </c>
      <c r="M104" s="134"/>
      <c r="N104" s="134"/>
    </row>
    <row r="105" spans="2:14" x14ac:dyDescent="0.3">
      <c r="B105" s="130" t="s">
        <v>2130</v>
      </c>
      <c r="C105" s="143">
        <v>56300</v>
      </c>
      <c r="D105" s="134" t="s">
        <v>2131</v>
      </c>
      <c r="E105" s="134"/>
      <c r="F105" s="7" t="s">
        <v>2152</v>
      </c>
      <c r="G105" s="134" t="s">
        <v>187</v>
      </c>
      <c r="H105" s="293">
        <v>1</v>
      </c>
      <c r="I105" s="286">
        <v>0.78</v>
      </c>
      <c r="J105" s="134"/>
      <c r="K105" s="134"/>
      <c r="L105" s="134" t="s">
        <v>2132</v>
      </c>
      <c r="M105" s="134"/>
      <c r="N105" s="134"/>
    </row>
    <row r="106" spans="2:14" x14ac:dyDescent="0.3">
      <c r="B106" s="130" t="s">
        <v>2150</v>
      </c>
      <c r="C106" s="143">
        <v>54900</v>
      </c>
      <c r="D106" s="134" t="s">
        <v>2151</v>
      </c>
      <c r="E106" s="134"/>
      <c r="F106" s="272" t="s">
        <v>2153</v>
      </c>
      <c r="G106" s="294" t="s">
        <v>2081</v>
      </c>
      <c r="H106" s="293">
        <v>1</v>
      </c>
      <c r="I106" s="286">
        <v>1.2</v>
      </c>
      <c r="J106" s="134"/>
      <c r="K106" s="134"/>
      <c r="L106" s="134" t="s">
        <v>2132</v>
      </c>
      <c r="M106" s="134" t="s">
        <v>2091</v>
      </c>
      <c r="N106" s="134"/>
    </row>
    <row r="107" spans="2:14" x14ac:dyDescent="0.3">
      <c r="B107" s="130" t="s">
        <v>2171</v>
      </c>
      <c r="C107" s="143">
        <v>41900</v>
      </c>
      <c r="D107" s="134" t="s">
        <v>2151</v>
      </c>
      <c r="E107" s="134"/>
      <c r="F107" s="254" t="s">
        <v>2138</v>
      </c>
      <c r="G107" s="294" t="s">
        <v>2081</v>
      </c>
      <c r="H107" s="293"/>
      <c r="I107" s="286">
        <v>1.2</v>
      </c>
      <c r="J107" s="134"/>
      <c r="K107" s="134"/>
      <c r="L107" s="134" t="s">
        <v>190</v>
      </c>
      <c r="M107" s="134"/>
      <c r="N107" s="134"/>
    </row>
    <row r="108" spans="2:14" x14ac:dyDescent="0.3">
      <c r="B108" s="130" t="s">
        <v>2168</v>
      </c>
      <c r="C108" s="143">
        <v>49900</v>
      </c>
      <c r="D108" s="134" t="s">
        <v>2165</v>
      </c>
      <c r="E108" s="134"/>
      <c r="F108" s="134" t="s">
        <v>2173</v>
      </c>
      <c r="G108" s="294" t="s">
        <v>2081</v>
      </c>
      <c r="H108" s="293">
        <v>1</v>
      </c>
      <c r="I108" s="286">
        <v>1.2</v>
      </c>
      <c r="J108" s="134"/>
      <c r="K108" s="134"/>
      <c r="L108" s="134" t="s">
        <v>2132</v>
      </c>
      <c r="M108" s="134"/>
      <c r="N108" s="134"/>
    </row>
    <row r="109" spans="2:14" x14ac:dyDescent="0.3">
      <c r="B109" s="130" t="s">
        <v>2176</v>
      </c>
      <c r="C109" s="143">
        <v>49800</v>
      </c>
      <c r="D109" s="134" t="s">
        <v>2177</v>
      </c>
      <c r="E109" s="134"/>
      <c r="F109" s="134" t="s">
        <v>2178</v>
      </c>
      <c r="G109" s="134" t="s">
        <v>2161</v>
      </c>
      <c r="H109" s="293">
        <v>1</v>
      </c>
      <c r="I109" s="286">
        <v>1.2</v>
      </c>
      <c r="J109" s="134"/>
      <c r="K109" s="134"/>
      <c r="L109" s="134" t="s">
        <v>2132</v>
      </c>
      <c r="M109" s="134"/>
      <c r="N109" s="134"/>
    </row>
    <row r="110" spans="2:14" x14ac:dyDescent="0.3">
      <c r="B110" s="130" t="s">
        <v>2133</v>
      </c>
      <c r="C110" s="143">
        <v>42900</v>
      </c>
      <c r="D110" s="134" t="s">
        <v>192</v>
      </c>
      <c r="E110" s="134"/>
      <c r="F110" s="254" t="s">
        <v>2138</v>
      </c>
      <c r="G110" s="134"/>
      <c r="H110" s="293">
        <v>1</v>
      </c>
      <c r="I110" s="286">
        <v>1.2</v>
      </c>
      <c r="J110" s="134"/>
      <c r="K110" s="134"/>
      <c r="L110" s="134" t="s">
        <v>2134</v>
      </c>
      <c r="M110" s="134"/>
      <c r="N110" s="134"/>
    </row>
    <row r="111" spans="2:14" x14ac:dyDescent="0.3">
      <c r="B111" s="130" t="s">
        <v>2164</v>
      </c>
      <c r="C111" s="143">
        <v>59800</v>
      </c>
      <c r="D111" s="134" t="s">
        <v>2165</v>
      </c>
      <c r="E111" s="134" t="s">
        <v>87</v>
      </c>
      <c r="F111" s="7" t="s">
        <v>2175</v>
      </c>
      <c r="G111" s="134" t="s">
        <v>187</v>
      </c>
      <c r="H111" s="293">
        <v>1</v>
      </c>
      <c r="I111" s="286">
        <v>0.7</v>
      </c>
      <c r="J111" s="134"/>
      <c r="K111" s="134"/>
      <c r="L111" s="134" t="s">
        <v>2132</v>
      </c>
      <c r="M111" s="134"/>
      <c r="N111" s="134"/>
    </row>
    <row r="112" spans="2:14" x14ac:dyDescent="0.3">
      <c r="B112" s="130" t="s">
        <v>2166</v>
      </c>
      <c r="C112" s="143">
        <v>59700</v>
      </c>
      <c r="D112" s="134" t="s">
        <v>2167</v>
      </c>
      <c r="E112" s="134" t="s">
        <v>87</v>
      </c>
      <c r="F112" s="134" t="s">
        <v>2156</v>
      </c>
      <c r="G112" s="134" t="s">
        <v>2161</v>
      </c>
      <c r="H112" s="293">
        <v>1</v>
      </c>
      <c r="I112" s="286">
        <v>0.98</v>
      </c>
      <c r="J112" s="134"/>
      <c r="K112" s="134"/>
      <c r="L112" s="134" t="s">
        <v>2132</v>
      </c>
      <c r="M112" s="134"/>
      <c r="N112" s="134"/>
    </row>
    <row r="113" spans="2:14" x14ac:dyDescent="0.3">
      <c r="B113" s="130" t="s">
        <v>2144</v>
      </c>
      <c r="C113" s="143">
        <v>42770</v>
      </c>
      <c r="D113" s="134" t="s">
        <v>2145</v>
      </c>
      <c r="E113" s="134" t="s">
        <v>87</v>
      </c>
      <c r="F113" s="254" t="s">
        <v>2138</v>
      </c>
      <c r="G113" s="285" t="s">
        <v>1484</v>
      </c>
      <c r="H113" s="293">
        <v>1</v>
      </c>
      <c r="I113" s="286">
        <v>1.18</v>
      </c>
      <c r="J113" s="134"/>
      <c r="K113" s="134"/>
      <c r="L113" s="134" t="s">
        <v>2132</v>
      </c>
      <c r="M113" s="134"/>
      <c r="N113" s="134"/>
    </row>
    <row r="114" spans="2:14" x14ac:dyDescent="0.3">
      <c r="B114" s="130" t="s">
        <v>2170</v>
      </c>
      <c r="C114" s="143">
        <v>42900</v>
      </c>
      <c r="D114" s="134" t="s">
        <v>2172</v>
      </c>
      <c r="E114" s="134" t="s">
        <v>87</v>
      </c>
      <c r="F114" s="134" t="s">
        <v>2173</v>
      </c>
      <c r="G114" s="294" t="s">
        <v>2081</v>
      </c>
      <c r="H114" s="293">
        <v>1</v>
      </c>
      <c r="I114" s="286">
        <v>1.18</v>
      </c>
      <c r="J114" s="134"/>
      <c r="K114" s="134"/>
      <c r="L114" s="134" t="s">
        <v>2132</v>
      </c>
      <c r="M114" s="134"/>
      <c r="N114" s="134"/>
    </row>
    <row r="115" spans="2:14" x14ac:dyDescent="0.3">
      <c r="B115" s="130" t="s">
        <v>2146</v>
      </c>
      <c r="C115" s="143">
        <v>89800</v>
      </c>
      <c r="D115" s="134" t="s">
        <v>2147</v>
      </c>
      <c r="E115" s="134" t="s">
        <v>87</v>
      </c>
      <c r="F115" s="294" t="s">
        <v>2154</v>
      </c>
      <c r="G115" s="134" t="s">
        <v>2161</v>
      </c>
      <c r="H115" s="293">
        <v>1</v>
      </c>
      <c r="I115" s="286">
        <v>1.1000000000000001</v>
      </c>
      <c r="J115" s="134"/>
      <c r="K115" s="134"/>
      <c r="L115" s="134" t="s">
        <v>2132</v>
      </c>
      <c r="M115" s="134"/>
      <c r="N115" s="134"/>
    </row>
    <row r="116" spans="2:14" x14ac:dyDescent="0.3">
      <c r="B116" s="130" t="s">
        <v>2140</v>
      </c>
      <c r="C116" s="143">
        <v>108800</v>
      </c>
      <c r="D116" s="134" t="s">
        <v>192</v>
      </c>
      <c r="E116" s="134" t="s">
        <v>87</v>
      </c>
      <c r="F116" s="294" t="s">
        <v>2154</v>
      </c>
      <c r="G116" s="134" t="s">
        <v>2161</v>
      </c>
      <c r="H116" s="293">
        <v>1</v>
      </c>
      <c r="I116" s="286">
        <v>1.1000000000000001</v>
      </c>
      <c r="J116" s="134"/>
      <c r="K116" s="134"/>
      <c r="L116" s="134" t="s">
        <v>2132</v>
      </c>
      <c r="M116" s="134"/>
      <c r="N116" s="134"/>
    </row>
    <row r="117" spans="2:14" x14ac:dyDescent="0.3">
      <c r="B117" s="130" t="s">
        <v>2141</v>
      </c>
      <c r="C117" s="143">
        <v>79800</v>
      </c>
      <c r="D117" s="134" t="s">
        <v>192</v>
      </c>
      <c r="E117" s="134" t="s">
        <v>87</v>
      </c>
      <c r="F117" s="294" t="s">
        <v>2154</v>
      </c>
      <c r="G117" s="134" t="s">
        <v>2161</v>
      </c>
      <c r="H117" s="293">
        <v>1</v>
      </c>
      <c r="I117" s="286">
        <v>0.94</v>
      </c>
      <c r="J117" s="134"/>
      <c r="K117" s="134"/>
      <c r="L117" s="134" t="s">
        <v>2132</v>
      </c>
      <c r="M117" s="134"/>
      <c r="N117" s="134"/>
    </row>
    <row r="118" spans="2:14" x14ac:dyDescent="0.3">
      <c r="B118" s="130" t="s">
        <v>2148</v>
      </c>
      <c r="C118" s="143">
        <v>102800</v>
      </c>
      <c r="D118" s="134" t="s">
        <v>2149</v>
      </c>
      <c r="E118" s="134" t="s">
        <v>87</v>
      </c>
      <c r="F118" s="294" t="s">
        <v>2154</v>
      </c>
      <c r="G118" s="134" t="s">
        <v>2161</v>
      </c>
      <c r="H118" s="293">
        <v>1</v>
      </c>
      <c r="I118" s="286">
        <v>0.94</v>
      </c>
      <c r="J118" s="134"/>
      <c r="K118" s="134"/>
      <c r="L118" s="134" t="s">
        <v>2132</v>
      </c>
      <c r="M118" s="134"/>
      <c r="N118" s="134"/>
    </row>
    <row r="119" spans="2:14" x14ac:dyDescent="0.3">
      <c r="B119" s="296" t="s">
        <v>2142</v>
      </c>
      <c r="C119" s="143"/>
      <c r="D119" s="134"/>
      <c r="E119" s="134"/>
      <c r="F119" s="134"/>
      <c r="G119" s="134"/>
      <c r="H119" s="293"/>
      <c r="I119" s="286"/>
      <c r="J119" s="134"/>
      <c r="K119" s="134"/>
      <c r="L119" s="134"/>
      <c r="M119" s="134"/>
      <c r="N119" s="134"/>
    </row>
    <row r="120" spans="2:14" x14ac:dyDescent="0.3">
      <c r="B120" s="141" t="s">
        <v>193</v>
      </c>
      <c r="C120" s="143"/>
      <c r="D120" s="134"/>
      <c r="E120" s="134"/>
      <c r="F120" s="134"/>
      <c r="G120" s="134"/>
      <c r="H120" s="293"/>
      <c r="I120" s="286"/>
      <c r="J120" s="134"/>
      <c r="K120" s="134"/>
      <c r="L120" s="134"/>
      <c r="M120" s="134"/>
      <c r="N120" s="134"/>
    </row>
    <row r="121" spans="2:14" x14ac:dyDescent="0.3">
      <c r="B121" s="124" t="s">
        <v>2129</v>
      </c>
      <c r="C121" s="143">
        <v>128000</v>
      </c>
      <c r="D121" s="134" t="s">
        <v>192</v>
      </c>
      <c r="F121" s="294" t="s">
        <v>2081</v>
      </c>
      <c r="G121" s="134" t="s">
        <v>187</v>
      </c>
      <c r="H121" s="293">
        <v>1</v>
      </c>
      <c r="I121" s="286">
        <v>1.01</v>
      </c>
      <c r="J121" s="134"/>
      <c r="K121" s="134"/>
      <c r="L121" s="134" t="s">
        <v>190</v>
      </c>
      <c r="N121" s="134" t="s">
        <v>2126</v>
      </c>
    </row>
    <row r="122" spans="2:14" x14ac:dyDescent="0.3">
      <c r="B122" s="130" t="s">
        <v>194</v>
      </c>
      <c r="C122" s="143">
        <v>115630</v>
      </c>
      <c r="D122" s="134" t="s">
        <v>192</v>
      </c>
      <c r="E122" s="134"/>
      <c r="F122" s="254" t="s">
        <v>1506</v>
      </c>
      <c r="G122" s="134" t="s">
        <v>187</v>
      </c>
      <c r="H122" s="293">
        <v>1</v>
      </c>
      <c r="I122" s="286">
        <v>1.01</v>
      </c>
      <c r="J122" s="134"/>
      <c r="K122" s="134"/>
      <c r="L122" s="134" t="s">
        <v>190</v>
      </c>
      <c r="M122" s="134"/>
      <c r="N122" s="134" t="s">
        <v>2126</v>
      </c>
    </row>
    <row r="123" spans="2:14" x14ac:dyDescent="0.3">
      <c r="B123" s="130" t="s">
        <v>2124</v>
      </c>
      <c r="C123" s="143">
        <v>94700</v>
      </c>
      <c r="D123" s="134" t="s">
        <v>192</v>
      </c>
      <c r="E123" s="134"/>
      <c r="F123" s="254" t="s">
        <v>1506</v>
      </c>
      <c r="G123" s="134"/>
      <c r="H123" s="293">
        <v>1</v>
      </c>
      <c r="I123" s="286">
        <v>1.02</v>
      </c>
      <c r="J123" s="134"/>
      <c r="K123" s="134"/>
      <c r="L123" s="134" t="s">
        <v>2125</v>
      </c>
      <c r="M123" s="134"/>
      <c r="N123" s="134"/>
    </row>
    <row r="124" spans="2:14" x14ac:dyDescent="0.3">
      <c r="B124" s="130" t="s">
        <v>196</v>
      </c>
      <c r="C124" s="143">
        <v>93860</v>
      </c>
      <c r="D124" s="134" t="s">
        <v>192</v>
      </c>
      <c r="E124" s="134"/>
      <c r="F124" s="294" t="s">
        <v>2081</v>
      </c>
      <c r="G124" s="134"/>
      <c r="H124" s="293">
        <v>1</v>
      </c>
      <c r="I124" s="286">
        <v>1.02</v>
      </c>
      <c r="J124" s="134"/>
      <c r="K124" s="134"/>
      <c r="L124" s="134" t="s">
        <v>189</v>
      </c>
      <c r="M124" s="134"/>
      <c r="N124" s="134"/>
    </row>
    <row r="125" spans="2:14" x14ac:dyDescent="0.3">
      <c r="B125" s="130" t="s">
        <v>195</v>
      </c>
      <c r="C125" s="143">
        <v>109910</v>
      </c>
      <c r="D125" s="134" t="s">
        <v>192</v>
      </c>
      <c r="E125" s="134"/>
      <c r="F125" s="254" t="s">
        <v>1506</v>
      </c>
      <c r="G125" s="134" t="s">
        <v>187</v>
      </c>
      <c r="H125" s="293">
        <v>1</v>
      </c>
      <c r="I125" s="286">
        <v>0.86</v>
      </c>
      <c r="J125" s="134"/>
      <c r="K125" s="134"/>
      <c r="L125" s="134" t="s">
        <v>190</v>
      </c>
      <c r="M125" s="134"/>
      <c r="N125" s="134" t="s">
        <v>2126</v>
      </c>
    </row>
    <row r="126" spans="2:14" x14ac:dyDescent="0.3">
      <c r="B126" s="130" t="s">
        <v>2127</v>
      </c>
      <c r="C126" s="143">
        <v>89000</v>
      </c>
      <c r="D126" s="134" t="s">
        <v>192</v>
      </c>
      <c r="E126" s="134" t="s">
        <v>87</v>
      </c>
      <c r="F126" s="294" t="s">
        <v>2081</v>
      </c>
      <c r="G126" s="134"/>
      <c r="H126" s="293">
        <v>1</v>
      </c>
      <c r="I126" s="286">
        <v>0.85</v>
      </c>
      <c r="J126" s="134"/>
      <c r="K126" s="134"/>
      <c r="L126" s="134" t="s">
        <v>2128</v>
      </c>
      <c r="M126" s="134"/>
      <c r="N126" s="134"/>
    </row>
  </sheetData>
  <sortState ref="B50:N119">
    <sortCondition ref="B49"/>
  </sortState>
  <phoneticPr fontId="4" type="noConversion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7" tint="0.59999389629810485"/>
  </sheetPr>
  <dimension ref="A1:V107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" sqref="B1"/>
    </sheetView>
  </sheetViews>
  <sheetFormatPr defaultColWidth="9" defaultRowHeight="13.2" x14ac:dyDescent="0.3"/>
  <cols>
    <col min="1" max="1" width="2.796875" style="124" bestFit="1" customWidth="1"/>
    <col min="2" max="2" width="45.09765625" style="124" bestFit="1" customWidth="1"/>
    <col min="3" max="3" width="11.69921875" style="124" customWidth="1"/>
    <col min="4" max="4" width="10.19921875" style="124" bestFit="1" customWidth="1"/>
    <col min="5" max="5" width="9.296875" style="124" bestFit="1" customWidth="1"/>
    <col min="6" max="6" width="12.296875" style="124" bestFit="1" customWidth="1"/>
    <col min="7" max="7" width="13" style="124" bestFit="1" customWidth="1"/>
    <col min="8" max="8" width="4.3984375" style="305" bestFit="1" customWidth="1"/>
    <col min="9" max="9" width="6.296875" style="305" customWidth="1"/>
    <col min="10" max="10" width="4.5" style="305" customWidth="1"/>
    <col min="11" max="11" width="2.8984375" style="125" bestFit="1" customWidth="1"/>
    <col min="12" max="12" width="5.8984375" style="163" bestFit="1" customWidth="1"/>
    <col min="13" max="13" width="6.59765625" style="305" bestFit="1" customWidth="1"/>
    <col min="14" max="14" width="0.3984375" style="305" customWidth="1"/>
    <col min="15" max="15" width="7.5" style="124" bestFit="1" customWidth="1"/>
    <col min="16" max="16" width="5.5" style="125" bestFit="1" customWidth="1"/>
    <col min="17" max="17" width="6.796875" style="307" bestFit="1" customWidth="1"/>
    <col min="18" max="18" width="9" style="125" bestFit="1" customWidth="1"/>
    <col min="19" max="19" width="0.3984375" style="125" customWidth="1"/>
    <col min="20" max="21" width="10.8984375" style="125" bestFit="1" customWidth="1"/>
    <col min="22" max="22" width="9.5" style="125" bestFit="1" customWidth="1"/>
    <col min="23" max="16384" width="9" style="124"/>
  </cols>
  <sheetData>
    <row r="1" spans="1:22" ht="24" customHeight="1" x14ac:dyDescent="0.3">
      <c r="A1" s="124">
        <v>15</v>
      </c>
      <c r="C1" s="301" t="s">
        <v>2354</v>
      </c>
      <c r="I1" s="304" t="s">
        <v>2274</v>
      </c>
      <c r="K1" s="301"/>
      <c r="M1" s="304" t="s">
        <v>2287</v>
      </c>
      <c r="N1" s="304"/>
      <c r="P1" s="301" t="s">
        <v>2281</v>
      </c>
      <c r="Q1" s="300" t="s">
        <v>2280</v>
      </c>
    </row>
    <row r="2" spans="1:22" x14ac:dyDescent="0.3">
      <c r="B2" s="126" t="s">
        <v>0</v>
      </c>
      <c r="C2" s="290" t="s">
        <v>1</v>
      </c>
      <c r="D2" s="126" t="s">
        <v>2</v>
      </c>
      <c r="E2" s="289" t="s">
        <v>2053</v>
      </c>
      <c r="F2" s="289" t="s">
        <v>2278</v>
      </c>
      <c r="G2" s="290" t="s">
        <v>2277</v>
      </c>
      <c r="H2" s="302" t="s">
        <v>155</v>
      </c>
      <c r="I2" s="302" t="s">
        <v>156</v>
      </c>
      <c r="J2" s="302" t="s">
        <v>157</v>
      </c>
      <c r="K2" s="289" t="s">
        <v>158</v>
      </c>
      <c r="L2" s="161" t="s">
        <v>159</v>
      </c>
      <c r="M2" s="302" t="s">
        <v>160</v>
      </c>
      <c r="N2" s="302"/>
      <c r="O2" s="126" t="s">
        <v>152</v>
      </c>
      <c r="P2" s="289" t="s">
        <v>153</v>
      </c>
      <c r="Q2" s="308" t="s">
        <v>2279</v>
      </c>
      <c r="R2" s="289" t="s">
        <v>2275</v>
      </c>
      <c r="S2" s="289"/>
      <c r="T2" s="290" t="s">
        <v>2291</v>
      </c>
      <c r="U2" s="290" t="s">
        <v>2290</v>
      </c>
      <c r="V2" s="290" t="s">
        <v>2289</v>
      </c>
    </row>
    <row r="3" spans="1:22" x14ac:dyDescent="0.3">
      <c r="B3" s="133" t="s">
        <v>1207</v>
      </c>
      <c r="C3" s="126"/>
      <c r="D3" s="126"/>
      <c r="E3" s="289"/>
      <c r="F3" s="289"/>
      <c r="G3" s="290"/>
      <c r="H3" s="302"/>
      <c r="I3" s="302"/>
      <c r="J3" s="302"/>
      <c r="K3" s="289"/>
      <c r="L3" s="161"/>
      <c r="M3" s="302"/>
      <c r="N3" s="302"/>
      <c r="O3" s="126"/>
      <c r="P3" s="289"/>
      <c r="Q3" s="306"/>
      <c r="R3" s="289"/>
      <c r="S3" s="289"/>
      <c r="T3" s="290"/>
      <c r="U3" s="290"/>
      <c r="V3" s="290"/>
    </row>
    <row r="4" spans="1:22" x14ac:dyDescent="0.3">
      <c r="B4" s="126" t="s">
        <v>1203</v>
      </c>
      <c r="C4" s="126"/>
      <c r="D4" s="126"/>
      <c r="E4" s="289"/>
      <c r="F4" s="289"/>
      <c r="G4" s="290"/>
      <c r="H4" s="302"/>
      <c r="I4" s="302"/>
      <c r="J4" s="302"/>
      <c r="K4" s="289"/>
      <c r="L4" s="161"/>
      <c r="M4" s="302"/>
      <c r="N4" s="302"/>
      <c r="O4" s="126"/>
      <c r="P4" s="289"/>
      <c r="Q4" s="306"/>
      <c r="R4" s="289"/>
      <c r="S4" s="289"/>
      <c r="T4" s="290"/>
      <c r="U4" s="290"/>
      <c r="V4" s="290"/>
    </row>
    <row r="5" spans="1:22" x14ac:dyDescent="0.3">
      <c r="B5" s="133" t="s">
        <v>2312</v>
      </c>
      <c r="C5" s="131">
        <v>45600</v>
      </c>
      <c r="D5" s="133" t="s">
        <v>1981</v>
      </c>
      <c r="E5" s="254" t="s">
        <v>2313</v>
      </c>
      <c r="F5" s="134"/>
      <c r="G5" s="134" t="s">
        <v>140</v>
      </c>
      <c r="H5" s="303">
        <v>63.9</v>
      </c>
      <c r="I5" s="303">
        <v>110.7</v>
      </c>
      <c r="J5" s="303">
        <v>38.4</v>
      </c>
      <c r="K5" s="134">
        <v>3</v>
      </c>
      <c r="L5" s="149"/>
      <c r="M5" s="303">
        <v>85</v>
      </c>
      <c r="N5" s="303"/>
      <c r="O5" s="133" t="s">
        <v>161</v>
      </c>
      <c r="P5" s="134">
        <v>8000</v>
      </c>
      <c r="Q5" s="293">
        <v>1</v>
      </c>
      <c r="R5" s="134"/>
      <c r="S5" s="134"/>
      <c r="T5" s="134"/>
      <c r="U5" s="134" t="s">
        <v>2318</v>
      </c>
      <c r="V5" s="134"/>
    </row>
    <row r="6" spans="1:22" x14ac:dyDescent="0.3">
      <c r="B6" s="133" t="s">
        <v>2314</v>
      </c>
      <c r="C6" s="131">
        <v>118000</v>
      </c>
      <c r="D6" s="133" t="s">
        <v>1981</v>
      </c>
      <c r="E6" s="134" t="s">
        <v>2315</v>
      </c>
      <c r="F6" s="134" t="s">
        <v>2311</v>
      </c>
      <c r="G6" s="134" t="s">
        <v>140</v>
      </c>
      <c r="H6" s="303">
        <v>77</v>
      </c>
      <c r="I6" s="303">
        <v>119.4</v>
      </c>
      <c r="J6" s="303">
        <v>48.8</v>
      </c>
      <c r="K6" s="134">
        <v>17</v>
      </c>
      <c r="L6" s="149"/>
      <c r="M6" s="303">
        <v>147</v>
      </c>
      <c r="N6" s="303"/>
      <c r="O6" s="133" t="s">
        <v>161</v>
      </c>
      <c r="P6" s="134">
        <v>12000</v>
      </c>
      <c r="Q6" s="293">
        <v>1</v>
      </c>
      <c r="R6" s="134"/>
      <c r="S6" s="134"/>
      <c r="T6" s="134"/>
      <c r="U6" s="134" t="s">
        <v>2318</v>
      </c>
      <c r="V6" s="134"/>
    </row>
    <row r="7" spans="1:22" x14ac:dyDescent="0.3">
      <c r="B7" s="133" t="s">
        <v>2306</v>
      </c>
      <c r="C7" s="131">
        <v>50700</v>
      </c>
      <c r="D7" s="133" t="s">
        <v>1981</v>
      </c>
      <c r="E7" s="254" t="s">
        <v>1506</v>
      </c>
      <c r="F7" s="134" t="s">
        <v>2311</v>
      </c>
      <c r="G7" s="134" t="s">
        <v>140</v>
      </c>
      <c r="H7" s="303">
        <v>80</v>
      </c>
      <c r="I7" s="303">
        <v>124</v>
      </c>
      <c r="J7" s="303">
        <v>38</v>
      </c>
      <c r="K7" s="134">
        <v>8</v>
      </c>
      <c r="L7" s="149"/>
      <c r="M7" s="303">
        <v>100</v>
      </c>
      <c r="N7" s="303"/>
      <c r="O7" s="133" t="s">
        <v>161</v>
      </c>
      <c r="P7" s="134">
        <v>6400</v>
      </c>
      <c r="Q7" s="293">
        <v>1</v>
      </c>
      <c r="R7" s="134"/>
      <c r="S7" s="134"/>
      <c r="T7" s="134"/>
      <c r="U7" s="134" t="s">
        <v>2109</v>
      </c>
      <c r="V7" s="134"/>
    </row>
    <row r="8" spans="1:22" x14ac:dyDescent="0.3">
      <c r="B8" s="133" t="s">
        <v>2316</v>
      </c>
      <c r="C8" s="131">
        <v>95060</v>
      </c>
      <c r="D8" s="133" t="s">
        <v>1981</v>
      </c>
      <c r="E8" s="134" t="s">
        <v>2309</v>
      </c>
      <c r="F8" s="134" t="s">
        <v>2311</v>
      </c>
      <c r="G8" s="134" t="s">
        <v>140</v>
      </c>
      <c r="H8" s="303">
        <v>72</v>
      </c>
      <c r="I8" s="303">
        <v>118</v>
      </c>
      <c r="J8" s="303">
        <v>39</v>
      </c>
      <c r="K8" s="134">
        <v>8</v>
      </c>
      <c r="L8" s="149"/>
      <c r="M8" s="303">
        <v>135.5</v>
      </c>
      <c r="N8" s="303"/>
      <c r="O8" s="133" t="s">
        <v>163</v>
      </c>
      <c r="P8" s="134">
        <v>12000</v>
      </c>
      <c r="Q8" s="293">
        <v>1</v>
      </c>
      <c r="R8" s="134"/>
      <c r="S8" s="134"/>
      <c r="T8" s="134"/>
      <c r="U8" s="134" t="s">
        <v>2109</v>
      </c>
      <c r="V8" s="134" t="s">
        <v>749</v>
      </c>
    </row>
    <row r="9" spans="1:22" x14ac:dyDescent="0.3">
      <c r="B9" s="133" t="s">
        <v>2310</v>
      </c>
      <c r="C9" s="131">
        <v>54580</v>
      </c>
      <c r="D9" s="133" t="s">
        <v>1981</v>
      </c>
      <c r="E9" s="254" t="s">
        <v>1506</v>
      </c>
      <c r="F9" s="250" t="s">
        <v>1477</v>
      </c>
      <c r="G9" s="134" t="s">
        <v>140</v>
      </c>
      <c r="H9" s="303">
        <v>72</v>
      </c>
      <c r="I9" s="303">
        <v>118</v>
      </c>
      <c r="J9" s="303">
        <v>39</v>
      </c>
      <c r="K9" s="134">
        <v>7</v>
      </c>
      <c r="L9" s="149">
        <v>30</v>
      </c>
      <c r="M9" s="303">
        <v>150</v>
      </c>
      <c r="N9" s="303"/>
      <c r="O9" s="133" t="s">
        <v>161</v>
      </c>
      <c r="P9" s="134">
        <v>5000</v>
      </c>
      <c r="Q9" s="293">
        <v>1</v>
      </c>
      <c r="R9" s="134"/>
      <c r="S9" s="134"/>
      <c r="T9" s="134"/>
      <c r="U9" s="134" t="s">
        <v>2318</v>
      </c>
      <c r="V9" s="134" t="s">
        <v>749</v>
      </c>
    </row>
    <row r="10" spans="1:22" x14ac:dyDescent="0.3">
      <c r="B10" s="133" t="s">
        <v>2317</v>
      </c>
      <c r="C10" s="131">
        <v>20240</v>
      </c>
      <c r="D10" s="133" t="s">
        <v>2304</v>
      </c>
      <c r="E10" s="254" t="s">
        <v>1506</v>
      </c>
      <c r="F10" s="251" t="s">
        <v>1473</v>
      </c>
      <c r="G10" s="134" t="s">
        <v>140</v>
      </c>
      <c r="H10" s="303">
        <v>67</v>
      </c>
      <c r="I10" s="303">
        <v>128</v>
      </c>
      <c r="J10" s="303">
        <v>41.5</v>
      </c>
      <c r="K10" s="134">
        <v>9</v>
      </c>
      <c r="L10" s="149">
        <v>30</v>
      </c>
      <c r="M10" s="303">
        <v>110</v>
      </c>
      <c r="N10" s="303"/>
      <c r="O10" s="133" t="s">
        <v>163</v>
      </c>
      <c r="P10" s="134">
        <v>8200</v>
      </c>
      <c r="Q10" s="293"/>
      <c r="R10" s="134">
        <v>12000</v>
      </c>
      <c r="S10" s="134"/>
      <c r="T10" s="134"/>
      <c r="U10" s="134" t="s">
        <v>2308</v>
      </c>
      <c r="V10" s="134" t="s">
        <v>749</v>
      </c>
    </row>
    <row r="11" spans="1:22" x14ac:dyDescent="0.3">
      <c r="B11" s="133" t="s">
        <v>2325</v>
      </c>
      <c r="C11" s="131">
        <v>4690</v>
      </c>
      <c r="D11" s="133" t="s">
        <v>2304</v>
      </c>
      <c r="E11" s="254" t="s">
        <v>1506</v>
      </c>
      <c r="F11" s="134"/>
      <c r="G11" s="134" t="s">
        <v>140</v>
      </c>
      <c r="H11" s="303">
        <v>59</v>
      </c>
      <c r="I11" s="303">
        <v>118</v>
      </c>
      <c r="J11" s="303">
        <v>39</v>
      </c>
      <c r="K11" s="134">
        <v>3</v>
      </c>
      <c r="L11" s="149"/>
      <c r="M11" s="303">
        <v>88</v>
      </c>
      <c r="N11" s="303"/>
      <c r="O11" s="133" t="s">
        <v>161</v>
      </c>
      <c r="P11" s="134">
        <v>800</v>
      </c>
      <c r="Q11" s="293"/>
      <c r="R11" s="134"/>
      <c r="S11" s="134"/>
      <c r="T11" s="134"/>
      <c r="U11" s="134"/>
      <c r="V11" s="134"/>
    </row>
    <row r="12" spans="1:22" x14ac:dyDescent="0.3">
      <c r="B12" s="133" t="s">
        <v>2326</v>
      </c>
      <c r="C12" s="131">
        <v>7500</v>
      </c>
      <c r="D12" s="133" t="s">
        <v>1680</v>
      </c>
      <c r="E12" s="254" t="s">
        <v>2327</v>
      </c>
      <c r="F12" s="134"/>
      <c r="G12" s="134" t="s">
        <v>140</v>
      </c>
      <c r="H12" s="303">
        <v>59</v>
      </c>
      <c r="I12" s="303">
        <v>118</v>
      </c>
      <c r="J12" s="303">
        <v>59</v>
      </c>
      <c r="K12" s="134">
        <v>3</v>
      </c>
      <c r="L12" s="149"/>
      <c r="M12" s="303">
        <v>88</v>
      </c>
      <c r="N12" s="303"/>
      <c r="O12" s="133" t="s">
        <v>161</v>
      </c>
      <c r="P12" s="134">
        <v>1000</v>
      </c>
      <c r="Q12" s="293"/>
      <c r="R12" s="134"/>
      <c r="S12" s="134"/>
      <c r="T12" s="134"/>
      <c r="U12" s="134"/>
      <c r="V12" s="134"/>
    </row>
    <row r="13" spans="1:22" x14ac:dyDescent="0.3">
      <c r="B13" s="133" t="s">
        <v>2324</v>
      </c>
      <c r="C13" s="131">
        <v>19500</v>
      </c>
      <c r="D13" s="133" t="s">
        <v>2304</v>
      </c>
      <c r="E13" s="254" t="s">
        <v>1506</v>
      </c>
      <c r="F13" s="134"/>
      <c r="G13" s="134" t="s">
        <v>140</v>
      </c>
      <c r="H13" s="303">
        <v>75</v>
      </c>
      <c r="I13" s="303">
        <v>127</v>
      </c>
      <c r="J13" s="303">
        <v>42</v>
      </c>
      <c r="K13" s="134">
        <v>5</v>
      </c>
      <c r="L13" s="149">
        <v>9</v>
      </c>
      <c r="M13" s="303">
        <v>100</v>
      </c>
      <c r="N13" s="303"/>
      <c r="O13" s="133" t="s">
        <v>163</v>
      </c>
      <c r="P13" s="134">
        <v>1600</v>
      </c>
      <c r="Q13" s="293"/>
      <c r="R13" s="134">
        <v>6600</v>
      </c>
      <c r="S13" s="134"/>
      <c r="T13" s="134"/>
      <c r="U13" s="134"/>
      <c r="V13" s="134"/>
    </row>
    <row r="14" spans="1:22" x14ac:dyDescent="0.3">
      <c r="B14" s="133" t="s">
        <v>2320</v>
      </c>
      <c r="C14" s="131">
        <v>23500</v>
      </c>
      <c r="D14" s="133" t="s">
        <v>1680</v>
      </c>
      <c r="E14" s="254" t="s">
        <v>1506</v>
      </c>
      <c r="F14" s="250" t="s">
        <v>1477</v>
      </c>
      <c r="G14" s="134" t="s">
        <v>140</v>
      </c>
      <c r="H14" s="303">
        <v>77.599999999999994</v>
      </c>
      <c r="I14" s="303">
        <v>124.5</v>
      </c>
      <c r="J14" s="303">
        <v>41.8</v>
      </c>
      <c r="K14" s="134">
        <v>7</v>
      </c>
      <c r="L14" s="149">
        <v>30</v>
      </c>
      <c r="M14" s="303">
        <v>106</v>
      </c>
      <c r="N14" s="303"/>
      <c r="O14" s="133" t="s">
        <v>161</v>
      </c>
      <c r="P14" s="134">
        <v>3200</v>
      </c>
      <c r="Q14" s="293">
        <v>1</v>
      </c>
      <c r="R14" s="134">
        <v>3600</v>
      </c>
      <c r="S14" s="134"/>
      <c r="T14" s="134"/>
      <c r="U14" s="134"/>
      <c r="V14" s="134"/>
    </row>
    <row r="15" spans="1:22" x14ac:dyDescent="0.3">
      <c r="B15" s="133" t="s">
        <v>2319</v>
      </c>
      <c r="C15" s="131">
        <v>41700</v>
      </c>
      <c r="D15" s="133" t="s">
        <v>2304</v>
      </c>
      <c r="E15" s="254" t="s">
        <v>1506</v>
      </c>
      <c r="F15" s="251" t="s">
        <v>1473</v>
      </c>
      <c r="G15" s="134" t="s">
        <v>140</v>
      </c>
      <c r="H15" s="303">
        <v>77.599999999999994</v>
      </c>
      <c r="I15" s="303">
        <v>124.5</v>
      </c>
      <c r="J15" s="303">
        <v>41.8</v>
      </c>
      <c r="K15" s="134">
        <v>5</v>
      </c>
      <c r="L15" s="149">
        <v>30</v>
      </c>
      <c r="M15" s="303">
        <v>106</v>
      </c>
      <c r="N15" s="303"/>
      <c r="O15" s="133" t="s">
        <v>163</v>
      </c>
      <c r="P15" s="134">
        <v>6030</v>
      </c>
      <c r="Q15" s="293"/>
      <c r="R15" s="134">
        <v>12000</v>
      </c>
      <c r="S15" s="134"/>
      <c r="T15" s="134"/>
      <c r="U15" s="134" t="s">
        <v>2109</v>
      </c>
      <c r="V15" s="134"/>
    </row>
    <row r="16" spans="1:22" x14ac:dyDescent="0.3">
      <c r="B16" s="133" t="s">
        <v>2323</v>
      </c>
      <c r="C16" s="131">
        <v>59900</v>
      </c>
      <c r="D16" s="133" t="s">
        <v>2304</v>
      </c>
      <c r="E16" s="254" t="s">
        <v>1506</v>
      </c>
      <c r="F16" s="134"/>
      <c r="G16" s="134" t="s">
        <v>140</v>
      </c>
      <c r="H16" s="303">
        <v>74</v>
      </c>
      <c r="I16" s="303">
        <v>126</v>
      </c>
      <c r="J16" s="303">
        <v>43</v>
      </c>
      <c r="K16" s="134">
        <v>7</v>
      </c>
      <c r="L16" s="149">
        <v>30</v>
      </c>
      <c r="M16" s="303">
        <v>145</v>
      </c>
      <c r="N16" s="303"/>
      <c r="O16" s="133" t="s">
        <v>163</v>
      </c>
      <c r="P16" s="134">
        <v>6030</v>
      </c>
      <c r="Q16" s="293"/>
      <c r="R16" s="134">
        <v>12000</v>
      </c>
      <c r="S16" s="134"/>
      <c r="T16" s="134"/>
      <c r="U16" s="134" t="s">
        <v>2308</v>
      </c>
      <c r="V16" s="134"/>
    </row>
    <row r="17" spans="2:22" x14ac:dyDescent="0.3">
      <c r="B17" s="133" t="s">
        <v>2321</v>
      </c>
      <c r="C17" s="131">
        <v>42970</v>
      </c>
      <c r="D17" s="133" t="s">
        <v>1680</v>
      </c>
      <c r="E17" s="254" t="s">
        <v>2322</v>
      </c>
      <c r="F17" s="251" t="s">
        <v>1473</v>
      </c>
      <c r="G17" s="134" t="s">
        <v>140</v>
      </c>
      <c r="H17" s="303">
        <v>71</v>
      </c>
      <c r="I17" s="303">
        <v>118</v>
      </c>
      <c r="J17" s="303">
        <v>38</v>
      </c>
      <c r="K17" s="134">
        <v>9</v>
      </c>
      <c r="L17" s="149">
        <v>30</v>
      </c>
      <c r="M17" s="303">
        <v>107</v>
      </c>
      <c r="N17" s="303"/>
      <c r="O17" s="133" t="s">
        <v>161</v>
      </c>
      <c r="P17" s="134">
        <v>3200</v>
      </c>
      <c r="Q17" s="293">
        <v>1</v>
      </c>
      <c r="R17" s="134">
        <v>3600</v>
      </c>
      <c r="S17" s="134"/>
      <c r="T17" s="134"/>
      <c r="U17" s="134"/>
      <c r="V17" s="134"/>
    </row>
    <row r="18" spans="2:22" x14ac:dyDescent="0.3">
      <c r="B18" s="133" t="s">
        <v>2338</v>
      </c>
      <c r="C18" s="131">
        <v>57390</v>
      </c>
      <c r="D18" s="133" t="s">
        <v>165</v>
      </c>
      <c r="E18" s="272" t="s">
        <v>1503</v>
      </c>
      <c r="F18" s="134"/>
      <c r="G18" s="134" t="s">
        <v>147</v>
      </c>
      <c r="H18" s="303">
        <v>58.8</v>
      </c>
      <c r="I18" s="303">
        <v>111</v>
      </c>
      <c r="J18" s="303">
        <v>36.5</v>
      </c>
      <c r="K18" s="134">
        <v>3</v>
      </c>
      <c r="L18" s="149"/>
      <c r="M18" s="303">
        <v>88</v>
      </c>
      <c r="N18" s="303"/>
      <c r="O18" s="133" t="s">
        <v>166</v>
      </c>
      <c r="P18" s="134"/>
      <c r="Q18" s="293"/>
      <c r="R18" s="134"/>
      <c r="S18" s="134"/>
      <c r="T18" s="134" t="s">
        <v>2335</v>
      </c>
      <c r="U18" s="134" t="s">
        <v>2307</v>
      </c>
      <c r="V18" s="134"/>
    </row>
    <row r="19" spans="2:22" x14ac:dyDescent="0.3">
      <c r="B19" s="133" t="s">
        <v>2341</v>
      </c>
      <c r="C19" s="131">
        <v>28980</v>
      </c>
      <c r="D19" s="133" t="s">
        <v>165</v>
      </c>
      <c r="E19" s="254" t="s">
        <v>2342</v>
      </c>
      <c r="F19" s="134"/>
      <c r="G19" s="134" t="s">
        <v>147</v>
      </c>
      <c r="H19" s="303">
        <v>68.5</v>
      </c>
      <c r="I19" s="303">
        <v>111</v>
      </c>
      <c r="J19" s="303">
        <v>36.5</v>
      </c>
      <c r="K19" s="134">
        <v>6</v>
      </c>
      <c r="L19" s="149"/>
      <c r="M19" s="303">
        <v>135</v>
      </c>
      <c r="N19" s="303"/>
      <c r="O19" s="133" t="s">
        <v>166</v>
      </c>
      <c r="P19" s="134">
        <v>1000</v>
      </c>
      <c r="Q19" s="293"/>
      <c r="R19" s="134">
        <v>8000</v>
      </c>
      <c r="S19" s="134"/>
      <c r="T19" s="134"/>
      <c r="U19" s="134" t="s">
        <v>2307</v>
      </c>
      <c r="V19" s="134"/>
    </row>
    <row r="20" spans="2:22" x14ac:dyDescent="0.3">
      <c r="B20" s="133" t="s">
        <v>2334</v>
      </c>
      <c r="C20" s="131">
        <v>21500</v>
      </c>
      <c r="D20" s="133" t="s">
        <v>165</v>
      </c>
      <c r="E20" s="254" t="s">
        <v>1506</v>
      </c>
      <c r="F20" s="134"/>
      <c r="G20" s="134" t="s">
        <v>2063</v>
      </c>
      <c r="H20" s="303">
        <v>74.900000000000006</v>
      </c>
      <c r="I20" s="303">
        <v>98.2</v>
      </c>
      <c r="J20" s="303">
        <v>56.7</v>
      </c>
      <c r="K20" s="134">
        <v>5</v>
      </c>
      <c r="L20" s="149"/>
      <c r="M20" s="303">
        <v>155</v>
      </c>
      <c r="N20" s="303"/>
      <c r="O20" s="133" t="s">
        <v>166</v>
      </c>
      <c r="P20" s="134">
        <v>1000</v>
      </c>
      <c r="Q20" s="293"/>
      <c r="R20" s="134">
        <v>2400</v>
      </c>
      <c r="S20" s="134"/>
      <c r="T20" s="134" t="s">
        <v>2335</v>
      </c>
      <c r="U20" s="134" t="s">
        <v>2307</v>
      </c>
      <c r="V20" s="134"/>
    </row>
    <row r="21" spans="2:22" x14ac:dyDescent="0.3">
      <c r="B21" s="133" t="s">
        <v>2339</v>
      </c>
      <c r="C21" s="131">
        <v>25290</v>
      </c>
      <c r="D21" s="133" t="s">
        <v>165</v>
      </c>
      <c r="E21" s="254" t="s">
        <v>1506</v>
      </c>
      <c r="F21" s="134"/>
      <c r="G21" s="134" t="s">
        <v>147</v>
      </c>
      <c r="H21" s="303">
        <v>60.1</v>
      </c>
      <c r="I21" s="303">
        <v>107</v>
      </c>
      <c r="J21" s="303">
        <v>25.8</v>
      </c>
      <c r="K21" s="134">
        <v>3</v>
      </c>
      <c r="L21" s="149"/>
      <c r="M21" s="303">
        <v>80</v>
      </c>
      <c r="N21" s="303"/>
      <c r="O21" s="133" t="s">
        <v>166</v>
      </c>
      <c r="P21" s="134"/>
      <c r="Q21" s="293"/>
      <c r="R21" s="134">
        <v>2400</v>
      </c>
      <c r="S21" s="134"/>
      <c r="T21" s="134" t="s">
        <v>2340</v>
      </c>
      <c r="U21" s="134" t="s">
        <v>2307</v>
      </c>
      <c r="V21" s="134"/>
    </row>
    <row r="22" spans="2:22" x14ac:dyDescent="0.3">
      <c r="B22" s="133" t="s">
        <v>2343</v>
      </c>
      <c r="C22" s="131">
        <v>46950</v>
      </c>
      <c r="D22" s="133" t="s">
        <v>165</v>
      </c>
      <c r="E22" s="254" t="s">
        <v>1506</v>
      </c>
      <c r="F22" s="134"/>
      <c r="G22" s="134" t="s">
        <v>2063</v>
      </c>
      <c r="H22" s="303">
        <v>58</v>
      </c>
      <c r="I22" s="303">
        <v>130.6</v>
      </c>
      <c r="J22" s="303">
        <v>36.5</v>
      </c>
      <c r="K22" s="134">
        <v>3</v>
      </c>
      <c r="L22" s="149"/>
      <c r="M22" s="303">
        <v>88</v>
      </c>
      <c r="N22" s="303"/>
      <c r="O22" s="133" t="s">
        <v>166</v>
      </c>
      <c r="P22" s="134">
        <v>1000</v>
      </c>
      <c r="Q22" s="293"/>
      <c r="R22" s="134">
        <v>8000</v>
      </c>
      <c r="S22" s="134"/>
      <c r="T22" s="134" t="s">
        <v>2340</v>
      </c>
      <c r="U22" s="134" t="s">
        <v>2307</v>
      </c>
      <c r="V22" s="134"/>
    </row>
    <row r="23" spans="2:22" x14ac:dyDescent="0.3">
      <c r="B23" s="133" t="s">
        <v>2337</v>
      </c>
      <c r="C23" s="131">
        <v>21500</v>
      </c>
      <c r="D23" s="133" t="s">
        <v>165</v>
      </c>
      <c r="E23" s="254" t="s">
        <v>1506</v>
      </c>
      <c r="F23" s="134"/>
      <c r="G23" s="134" t="s">
        <v>2063</v>
      </c>
      <c r="H23" s="303">
        <v>60.7</v>
      </c>
      <c r="I23" s="303">
        <v>102</v>
      </c>
      <c r="J23" s="303">
        <v>39.5</v>
      </c>
      <c r="K23" s="134">
        <v>4</v>
      </c>
      <c r="L23" s="149"/>
      <c r="M23" s="303">
        <v>105</v>
      </c>
      <c r="N23" s="303"/>
      <c r="O23" s="133" t="s">
        <v>166</v>
      </c>
      <c r="P23" s="134">
        <v>1000</v>
      </c>
      <c r="Q23" s="293"/>
      <c r="R23" s="134">
        <v>8000</v>
      </c>
      <c r="S23" s="134"/>
      <c r="T23" s="134" t="s">
        <v>2336</v>
      </c>
      <c r="U23" s="134"/>
      <c r="V23" s="134"/>
    </row>
    <row r="24" spans="2:22" x14ac:dyDescent="0.3">
      <c r="B24" s="133" t="s">
        <v>2305</v>
      </c>
      <c r="C24" s="131">
        <v>72530</v>
      </c>
      <c r="D24" s="133" t="s">
        <v>1981</v>
      </c>
      <c r="E24" s="134" t="s">
        <v>2309</v>
      </c>
      <c r="F24" s="134" t="s">
        <v>2311</v>
      </c>
      <c r="G24" s="134" t="s">
        <v>140</v>
      </c>
      <c r="H24" s="303">
        <v>72</v>
      </c>
      <c r="I24" s="303">
        <v>118</v>
      </c>
      <c r="J24" s="303">
        <v>39</v>
      </c>
      <c r="K24" s="134">
        <v>8</v>
      </c>
      <c r="L24" s="149"/>
      <c r="M24" s="303">
        <v>135.5</v>
      </c>
      <c r="N24" s="303"/>
      <c r="O24" s="133" t="s">
        <v>161</v>
      </c>
      <c r="P24" s="134">
        <v>8200</v>
      </c>
      <c r="Q24" s="293">
        <v>1</v>
      </c>
      <c r="R24" s="134"/>
      <c r="S24" s="134"/>
      <c r="T24" s="134"/>
      <c r="U24" s="134" t="s">
        <v>2318</v>
      </c>
      <c r="V24" s="134" t="s">
        <v>749</v>
      </c>
    </row>
    <row r="25" spans="2:22" x14ac:dyDescent="0.3">
      <c r="B25" s="133" t="s">
        <v>2344</v>
      </c>
      <c r="C25" s="131">
        <v>66000</v>
      </c>
      <c r="D25" s="133" t="s">
        <v>144</v>
      </c>
      <c r="E25" s="254" t="s">
        <v>1506</v>
      </c>
      <c r="F25" s="134" t="s">
        <v>2331</v>
      </c>
      <c r="G25" s="134" t="s">
        <v>140</v>
      </c>
      <c r="H25" s="303">
        <v>70</v>
      </c>
      <c r="I25" s="303">
        <v>127</v>
      </c>
      <c r="J25" s="303">
        <v>44</v>
      </c>
      <c r="K25" s="134">
        <v>5</v>
      </c>
      <c r="L25" s="149">
        <v>50</v>
      </c>
      <c r="M25" s="303">
        <v>105</v>
      </c>
      <c r="N25" s="303"/>
      <c r="O25" s="133" t="s">
        <v>161</v>
      </c>
      <c r="P25" s="134">
        <v>10000</v>
      </c>
      <c r="Q25" s="293">
        <v>1</v>
      </c>
      <c r="R25" s="134"/>
      <c r="S25" s="134"/>
      <c r="T25" s="134"/>
      <c r="U25" s="134"/>
      <c r="V25" s="134"/>
    </row>
    <row r="26" spans="2:22" x14ac:dyDescent="0.3">
      <c r="B26" s="133" t="s">
        <v>2350</v>
      </c>
      <c r="C26" s="131">
        <v>186000</v>
      </c>
      <c r="D26" s="133" t="s">
        <v>144</v>
      </c>
      <c r="E26" s="254" t="s">
        <v>2351</v>
      </c>
      <c r="F26" s="134" t="s">
        <v>2331</v>
      </c>
      <c r="G26" s="134" t="s">
        <v>2352</v>
      </c>
      <c r="H26" s="303">
        <v>70</v>
      </c>
      <c r="I26" s="303">
        <v>128</v>
      </c>
      <c r="J26" s="303">
        <v>42.5</v>
      </c>
      <c r="K26" s="134">
        <v>9</v>
      </c>
      <c r="L26" s="149">
        <v>50</v>
      </c>
      <c r="M26" s="303">
        <v>125</v>
      </c>
      <c r="N26" s="303"/>
      <c r="O26" s="133" t="s">
        <v>163</v>
      </c>
      <c r="P26" s="134">
        <v>16000</v>
      </c>
      <c r="Q26" s="293">
        <v>1</v>
      </c>
      <c r="R26" s="134"/>
      <c r="S26" s="134"/>
      <c r="T26" s="134" t="s">
        <v>2292</v>
      </c>
      <c r="U26" s="134" t="s">
        <v>2345</v>
      </c>
      <c r="V26" s="134"/>
    </row>
    <row r="27" spans="2:22" x14ac:dyDescent="0.3">
      <c r="B27" s="133" t="s">
        <v>2346</v>
      </c>
      <c r="C27" s="131">
        <v>97900</v>
      </c>
      <c r="D27" s="133" t="s">
        <v>144</v>
      </c>
      <c r="E27" s="254" t="s">
        <v>1506</v>
      </c>
      <c r="F27" s="134" t="s">
        <v>2331</v>
      </c>
      <c r="G27" s="134" t="s">
        <v>140</v>
      </c>
      <c r="H27" s="303">
        <v>75</v>
      </c>
      <c r="I27" s="303">
        <v>119</v>
      </c>
      <c r="J27" s="303">
        <v>43</v>
      </c>
      <c r="K27" s="134">
        <v>19</v>
      </c>
      <c r="L27" s="149">
        <v>50</v>
      </c>
      <c r="M27" s="303">
        <v>135</v>
      </c>
      <c r="N27" s="303"/>
      <c r="O27" s="133" t="s">
        <v>163</v>
      </c>
      <c r="P27" s="134">
        <v>16000</v>
      </c>
      <c r="Q27" s="293">
        <v>1</v>
      </c>
      <c r="R27" s="134"/>
      <c r="S27" s="134"/>
      <c r="T27" s="134"/>
      <c r="U27" s="134" t="s">
        <v>2345</v>
      </c>
      <c r="V27" s="134"/>
    </row>
    <row r="28" spans="2:22" x14ac:dyDescent="0.3">
      <c r="B28" s="133" t="s">
        <v>167</v>
      </c>
      <c r="C28" s="131">
        <v>167000</v>
      </c>
      <c r="D28" s="133" t="s">
        <v>144</v>
      </c>
      <c r="E28" s="254" t="s">
        <v>1506</v>
      </c>
      <c r="F28" s="134" t="s">
        <v>2331</v>
      </c>
      <c r="G28" s="134" t="s">
        <v>2352</v>
      </c>
      <c r="H28" s="303">
        <v>75</v>
      </c>
      <c r="I28" s="303">
        <v>119</v>
      </c>
      <c r="J28" s="303">
        <v>43</v>
      </c>
      <c r="K28" s="134">
        <v>19</v>
      </c>
      <c r="L28" s="149">
        <v>50</v>
      </c>
      <c r="M28" s="303">
        <v>150</v>
      </c>
      <c r="N28" s="303"/>
      <c r="O28" s="133" t="s">
        <v>163</v>
      </c>
      <c r="P28" s="134">
        <v>8200</v>
      </c>
      <c r="Q28" s="293">
        <v>1</v>
      </c>
      <c r="R28" s="134"/>
      <c r="S28" s="134"/>
      <c r="T28" s="134" t="s">
        <v>2292</v>
      </c>
      <c r="U28" s="134" t="s">
        <v>2345</v>
      </c>
      <c r="V28" s="134"/>
    </row>
    <row r="29" spans="2:22" x14ac:dyDescent="0.3">
      <c r="B29" s="133" t="s">
        <v>2347</v>
      </c>
      <c r="C29" s="131">
        <v>84900</v>
      </c>
      <c r="D29" s="133" t="s">
        <v>144</v>
      </c>
      <c r="E29" s="254" t="s">
        <v>1506</v>
      </c>
      <c r="F29" s="134" t="s">
        <v>2331</v>
      </c>
      <c r="G29" s="134" t="s">
        <v>2348</v>
      </c>
      <c r="H29" s="303">
        <v>67.8</v>
      </c>
      <c r="I29" s="303">
        <v>99</v>
      </c>
      <c r="J29" s="303">
        <v>35</v>
      </c>
      <c r="K29" s="134">
        <v>7</v>
      </c>
      <c r="L29" s="149">
        <v>50</v>
      </c>
      <c r="M29" s="303">
        <v>69</v>
      </c>
      <c r="N29" s="303"/>
      <c r="O29" s="133" t="s">
        <v>163</v>
      </c>
      <c r="P29" s="134">
        <v>8200</v>
      </c>
      <c r="Q29" s="293">
        <v>1</v>
      </c>
      <c r="R29" s="134"/>
      <c r="S29" s="134"/>
      <c r="U29" s="134" t="s">
        <v>2345</v>
      </c>
      <c r="V29" s="134"/>
    </row>
    <row r="30" spans="2:22" x14ac:dyDescent="0.3">
      <c r="B30" s="133" t="s">
        <v>2349</v>
      </c>
      <c r="C30" s="131">
        <v>170870</v>
      </c>
      <c r="D30" s="133" t="s">
        <v>144</v>
      </c>
      <c r="E30" s="254" t="s">
        <v>1506</v>
      </c>
      <c r="F30" s="134" t="s">
        <v>2331</v>
      </c>
      <c r="G30" s="134" t="s">
        <v>2352</v>
      </c>
      <c r="H30" s="303">
        <v>71</v>
      </c>
      <c r="I30" s="303">
        <v>122</v>
      </c>
      <c r="J30" s="303">
        <v>42</v>
      </c>
      <c r="K30" s="134">
        <v>11</v>
      </c>
      <c r="L30" s="149">
        <v>50</v>
      </c>
      <c r="M30" s="303">
        <v>115</v>
      </c>
      <c r="N30" s="303"/>
      <c r="O30" s="133" t="s">
        <v>163</v>
      </c>
      <c r="P30" s="134">
        <v>8200</v>
      </c>
      <c r="Q30" s="293">
        <v>1</v>
      </c>
      <c r="R30" s="134"/>
      <c r="S30" s="134"/>
      <c r="T30" s="134" t="s">
        <v>2292</v>
      </c>
      <c r="U30" s="134" t="s">
        <v>2345</v>
      </c>
      <c r="V30" s="134"/>
    </row>
    <row r="31" spans="2:22" x14ac:dyDescent="0.3">
      <c r="B31" s="133" t="s">
        <v>168</v>
      </c>
      <c r="C31" s="131">
        <v>93340</v>
      </c>
      <c r="D31" s="133" t="s">
        <v>144</v>
      </c>
      <c r="E31" s="254" t="s">
        <v>1506</v>
      </c>
      <c r="F31" s="285" t="s">
        <v>1484</v>
      </c>
      <c r="G31" s="134" t="s">
        <v>140</v>
      </c>
      <c r="H31" s="303">
        <v>65</v>
      </c>
      <c r="I31" s="303">
        <v>126</v>
      </c>
      <c r="J31" s="303">
        <v>39</v>
      </c>
      <c r="K31" s="134">
        <v>9</v>
      </c>
      <c r="L31" s="149">
        <v>50</v>
      </c>
      <c r="M31" s="303">
        <v>132</v>
      </c>
      <c r="N31" s="303"/>
      <c r="O31" s="133" t="s">
        <v>163</v>
      </c>
      <c r="P31" s="134">
        <v>8200</v>
      </c>
      <c r="Q31" s="293">
        <v>1</v>
      </c>
      <c r="R31" s="134"/>
      <c r="S31" s="134"/>
      <c r="T31" s="134"/>
      <c r="U31" s="134" t="s">
        <v>162</v>
      </c>
      <c r="V31" s="134"/>
    </row>
    <row r="32" spans="2:22" x14ac:dyDescent="0.3">
      <c r="B32" s="133" t="s">
        <v>2333</v>
      </c>
      <c r="C32" s="131">
        <v>47520</v>
      </c>
      <c r="D32" s="133" t="s">
        <v>169</v>
      </c>
      <c r="E32" s="254" t="s">
        <v>1506</v>
      </c>
      <c r="F32" s="134" t="s">
        <v>2331</v>
      </c>
      <c r="G32" s="134" t="s">
        <v>140</v>
      </c>
      <c r="H32" s="303">
        <v>67</v>
      </c>
      <c r="I32" s="303">
        <v>120</v>
      </c>
      <c r="J32" s="303">
        <v>30</v>
      </c>
      <c r="K32" s="134">
        <v>8</v>
      </c>
      <c r="L32" s="149">
        <v>20</v>
      </c>
      <c r="M32" s="303">
        <v>103</v>
      </c>
      <c r="N32" s="303"/>
      <c r="O32" s="133" t="s">
        <v>161</v>
      </c>
      <c r="P32" s="134">
        <v>4000</v>
      </c>
      <c r="Q32" s="293">
        <v>1</v>
      </c>
      <c r="R32" s="134"/>
      <c r="S32" s="134"/>
      <c r="T32" s="134"/>
      <c r="U32" s="134" t="s">
        <v>2308</v>
      </c>
      <c r="V32" s="134"/>
    </row>
    <row r="33" spans="2:22" x14ac:dyDescent="0.3">
      <c r="B33" s="133" t="s">
        <v>2328</v>
      </c>
      <c r="C33" s="131">
        <v>68930</v>
      </c>
      <c r="D33" s="133" t="s">
        <v>169</v>
      </c>
      <c r="E33" s="254" t="s">
        <v>1506</v>
      </c>
      <c r="F33" s="134" t="s">
        <v>2331</v>
      </c>
      <c r="G33" s="134" t="s">
        <v>140</v>
      </c>
      <c r="H33" s="303">
        <v>70</v>
      </c>
      <c r="I33" s="303">
        <v>120</v>
      </c>
      <c r="J33" s="303">
        <v>38</v>
      </c>
      <c r="K33" s="134">
        <v>7</v>
      </c>
      <c r="L33" s="149">
        <v>30</v>
      </c>
      <c r="M33" s="303">
        <v>90</v>
      </c>
      <c r="N33" s="303"/>
      <c r="O33" s="133" t="s">
        <v>163</v>
      </c>
      <c r="P33" s="134">
        <v>8200</v>
      </c>
      <c r="Q33" s="293">
        <v>1</v>
      </c>
      <c r="R33" s="134"/>
      <c r="S33" s="134"/>
      <c r="T33" s="134"/>
      <c r="U33" s="134"/>
      <c r="V33" s="134"/>
    </row>
    <row r="34" spans="2:22" x14ac:dyDescent="0.3">
      <c r="B34" s="133" t="s">
        <v>2329</v>
      </c>
      <c r="C34" s="131">
        <v>57800</v>
      </c>
      <c r="D34" s="133" t="s">
        <v>169</v>
      </c>
      <c r="E34" s="134" t="s">
        <v>2332</v>
      </c>
      <c r="F34" s="134" t="s">
        <v>2331</v>
      </c>
      <c r="G34" s="134" t="s">
        <v>140</v>
      </c>
      <c r="H34" s="303">
        <v>67</v>
      </c>
      <c r="I34" s="303">
        <v>130</v>
      </c>
      <c r="J34" s="303">
        <v>40</v>
      </c>
      <c r="K34" s="134">
        <v>12</v>
      </c>
      <c r="L34" s="149">
        <v>20</v>
      </c>
      <c r="M34" s="303">
        <v>100</v>
      </c>
      <c r="N34" s="303"/>
      <c r="O34" s="133" t="s">
        <v>161</v>
      </c>
      <c r="P34" s="134">
        <v>7000</v>
      </c>
      <c r="Q34" s="293">
        <v>1</v>
      </c>
      <c r="R34" s="134"/>
      <c r="S34" s="134"/>
      <c r="T34" s="134"/>
      <c r="U34" s="134" t="s">
        <v>2308</v>
      </c>
      <c r="V34" s="134"/>
    </row>
    <row r="35" spans="2:22" x14ac:dyDescent="0.3">
      <c r="B35" s="133" t="s">
        <v>2330</v>
      </c>
      <c r="C35" s="131">
        <v>108800</v>
      </c>
      <c r="D35" s="133" t="s">
        <v>169</v>
      </c>
      <c r="E35" s="134" t="s">
        <v>2332</v>
      </c>
      <c r="F35" s="134" t="s">
        <v>2331</v>
      </c>
      <c r="G35" s="134" t="s">
        <v>140</v>
      </c>
      <c r="H35" s="303">
        <v>78</v>
      </c>
      <c r="I35" s="303">
        <v>135</v>
      </c>
      <c r="J35" s="303">
        <v>40</v>
      </c>
      <c r="K35" s="134">
        <v>16</v>
      </c>
      <c r="L35" s="149">
        <v>20</v>
      </c>
      <c r="M35" s="303">
        <v>126</v>
      </c>
      <c r="N35" s="303"/>
      <c r="O35" s="133" t="s">
        <v>163</v>
      </c>
      <c r="P35" s="134">
        <v>8200</v>
      </c>
      <c r="Q35" s="293">
        <v>1</v>
      </c>
      <c r="R35" s="134">
        <v>12000</v>
      </c>
      <c r="S35" s="134"/>
      <c r="T35" s="134"/>
      <c r="U35" s="134" t="s">
        <v>2308</v>
      </c>
      <c r="V35" s="134"/>
    </row>
    <row r="36" spans="2:22" x14ac:dyDescent="0.3">
      <c r="B36" s="133" t="s">
        <v>2299</v>
      </c>
      <c r="C36" s="131">
        <v>4980</v>
      </c>
      <c r="D36" s="133" t="s">
        <v>2283</v>
      </c>
      <c r="E36" s="254" t="s">
        <v>2301</v>
      </c>
      <c r="F36" s="134"/>
      <c r="G36" s="134" t="s">
        <v>140</v>
      </c>
      <c r="H36" s="303">
        <v>61.7</v>
      </c>
      <c r="I36" s="303">
        <v>112.8</v>
      </c>
      <c r="J36" s="303">
        <v>38.4</v>
      </c>
      <c r="K36" s="134">
        <v>3</v>
      </c>
      <c r="L36" s="149"/>
      <c r="M36" s="303">
        <v>90</v>
      </c>
      <c r="N36" s="303"/>
      <c r="O36" s="133"/>
      <c r="P36" s="134"/>
      <c r="Q36" s="293"/>
      <c r="R36" s="134"/>
      <c r="S36" s="134"/>
      <c r="T36" s="134"/>
      <c r="U36" s="134"/>
      <c r="V36" s="134"/>
    </row>
    <row r="37" spans="2:22" x14ac:dyDescent="0.3">
      <c r="B37" s="133" t="s">
        <v>2302</v>
      </c>
      <c r="C37" s="131">
        <v>10800</v>
      </c>
      <c r="D37" s="133" t="s">
        <v>2283</v>
      </c>
      <c r="E37" s="254" t="s">
        <v>2301</v>
      </c>
      <c r="F37" s="134"/>
      <c r="G37" s="134" t="s">
        <v>2296</v>
      </c>
      <c r="H37" s="303">
        <v>55</v>
      </c>
      <c r="I37" s="303">
        <v>95</v>
      </c>
      <c r="J37" s="303">
        <v>37</v>
      </c>
      <c r="K37" s="134">
        <v>3</v>
      </c>
      <c r="L37" s="149"/>
      <c r="M37" s="303">
        <v>75</v>
      </c>
      <c r="N37" s="303"/>
      <c r="O37" s="133" t="s">
        <v>161</v>
      </c>
      <c r="P37" s="134">
        <v>800</v>
      </c>
      <c r="Q37" s="293"/>
      <c r="R37" s="134"/>
      <c r="S37" s="134"/>
      <c r="T37" s="134" t="s">
        <v>2295</v>
      </c>
      <c r="U37" s="134"/>
      <c r="V37" s="134"/>
    </row>
    <row r="38" spans="2:22" x14ac:dyDescent="0.3">
      <c r="B38" s="133" t="s">
        <v>2273</v>
      </c>
      <c r="C38" s="131">
        <v>18320</v>
      </c>
      <c r="D38" s="133" t="s">
        <v>146</v>
      </c>
      <c r="E38" s="254" t="s">
        <v>1506</v>
      </c>
      <c r="F38" s="134"/>
      <c r="G38" s="134" t="s">
        <v>140</v>
      </c>
      <c r="H38" s="303">
        <v>62.5</v>
      </c>
      <c r="I38" s="303">
        <v>116.75</v>
      </c>
      <c r="J38" s="303">
        <v>38.340000000000003</v>
      </c>
      <c r="K38" s="134">
        <v>4</v>
      </c>
      <c r="L38" s="149">
        <v>20</v>
      </c>
      <c r="M38" s="303">
        <v>110.5</v>
      </c>
      <c r="N38" s="303"/>
      <c r="O38" s="133" t="s">
        <v>161</v>
      </c>
      <c r="P38" s="134">
        <v>2500</v>
      </c>
      <c r="Q38" s="293"/>
      <c r="R38" s="134"/>
      <c r="S38" s="134"/>
      <c r="T38" s="134"/>
      <c r="U38" s="134" t="s">
        <v>2126</v>
      </c>
      <c r="V38" s="134"/>
    </row>
    <row r="39" spans="2:22" x14ac:dyDescent="0.3">
      <c r="B39" s="133" t="s">
        <v>2276</v>
      </c>
      <c r="C39" s="131">
        <v>32900</v>
      </c>
      <c r="D39" s="133" t="s">
        <v>146</v>
      </c>
      <c r="E39" s="254" t="s">
        <v>1506</v>
      </c>
      <c r="F39" s="251" t="s">
        <v>1473</v>
      </c>
      <c r="G39" s="134" t="s">
        <v>140</v>
      </c>
      <c r="H39" s="303">
        <v>65</v>
      </c>
      <c r="I39" s="303">
        <v>115</v>
      </c>
      <c r="J39" s="303">
        <v>37</v>
      </c>
      <c r="K39" s="134">
        <v>5</v>
      </c>
      <c r="L39" s="149">
        <v>20</v>
      </c>
      <c r="M39" s="303">
        <v>87</v>
      </c>
      <c r="N39" s="303"/>
      <c r="O39" s="133" t="s">
        <v>161</v>
      </c>
      <c r="P39" s="134">
        <v>4000</v>
      </c>
      <c r="Q39" s="293">
        <v>1</v>
      </c>
      <c r="R39" s="134"/>
      <c r="S39" s="134"/>
      <c r="T39" s="134"/>
      <c r="U39" s="134" t="s">
        <v>2126</v>
      </c>
      <c r="V39" s="134"/>
    </row>
    <row r="40" spans="2:22" x14ac:dyDescent="0.3">
      <c r="B40" s="133" t="s">
        <v>2282</v>
      </c>
      <c r="C40" s="131">
        <v>99000</v>
      </c>
      <c r="D40" s="133" t="s">
        <v>2283</v>
      </c>
      <c r="E40" s="254" t="s">
        <v>1506</v>
      </c>
      <c r="F40" s="134" t="s">
        <v>2285</v>
      </c>
      <c r="G40" s="134" t="s">
        <v>140</v>
      </c>
      <c r="H40" s="303">
        <v>75</v>
      </c>
      <c r="I40" s="303">
        <v>132</v>
      </c>
      <c r="J40" s="303">
        <v>40</v>
      </c>
      <c r="K40" s="134">
        <v>12</v>
      </c>
      <c r="L40" s="149">
        <v>40</v>
      </c>
      <c r="M40" s="303">
        <v>168</v>
      </c>
      <c r="N40" s="303"/>
      <c r="O40" s="133" t="s">
        <v>161</v>
      </c>
      <c r="P40" s="134">
        <v>12000</v>
      </c>
      <c r="Q40" s="293">
        <v>1</v>
      </c>
      <c r="R40" s="134"/>
      <c r="S40" s="134"/>
      <c r="T40" s="134"/>
      <c r="U40" s="134" t="s">
        <v>2284</v>
      </c>
      <c r="V40" s="134" t="s">
        <v>2286</v>
      </c>
    </row>
    <row r="41" spans="2:22" x14ac:dyDescent="0.3">
      <c r="B41" s="133" t="s">
        <v>2297</v>
      </c>
      <c r="C41" s="131">
        <v>7040</v>
      </c>
      <c r="D41" s="133" t="s">
        <v>2283</v>
      </c>
      <c r="E41" s="134" t="s">
        <v>2057</v>
      </c>
      <c r="F41" s="134"/>
      <c r="G41" s="134" t="s">
        <v>140</v>
      </c>
      <c r="H41" s="303">
        <v>60</v>
      </c>
      <c r="I41" s="303">
        <v>112</v>
      </c>
      <c r="J41" s="303">
        <v>36</v>
      </c>
      <c r="K41" s="134">
        <v>3</v>
      </c>
      <c r="L41" s="149"/>
      <c r="M41" s="303">
        <v>90</v>
      </c>
      <c r="N41" s="303"/>
      <c r="O41" s="133" t="s">
        <v>161</v>
      </c>
      <c r="P41" s="134">
        <v>1000</v>
      </c>
      <c r="Q41" s="293"/>
      <c r="R41" s="134"/>
      <c r="S41" s="134"/>
      <c r="T41" s="134"/>
      <c r="U41" s="134" t="s">
        <v>2126</v>
      </c>
      <c r="V41" s="134"/>
    </row>
    <row r="42" spans="2:22" x14ac:dyDescent="0.3">
      <c r="B42" s="133" t="s">
        <v>2303</v>
      </c>
      <c r="C42" s="131">
        <v>17060</v>
      </c>
      <c r="D42" s="133" t="s">
        <v>2283</v>
      </c>
      <c r="E42" s="7" t="s">
        <v>2300</v>
      </c>
      <c r="F42" s="134"/>
      <c r="G42" s="134" t="s">
        <v>2296</v>
      </c>
      <c r="H42" s="303">
        <v>60</v>
      </c>
      <c r="I42" s="303">
        <v>90</v>
      </c>
      <c r="J42" s="303">
        <v>32</v>
      </c>
      <c r="K42" s="134">
        <v>4</v>
      </c>
      <c r="L42" s="149"/>
      <c r="M42" s="303">
        <v>88</v>
      </c>
      <c r="N42" s="303"/>
      <c r="O42" s="133"/>
      <c r="P42" s="134"/>
      <c r="Q42" s="293"/>
      <c r="R42" s="134"/>
      <c r="S42" s="134"/>
      <c r="T42" s="134" t="s">
        <v>2295</v>
      </c>
      <c r="U42" s="134" t="s">
        <v>2126</v>
      </c>
      <c r="V42" s="134"/>
    </row>
    <row r="43" spans="2:22" x14ac:dyDescent="0.3">
      <c r="B43" s="133" t="s">
        <v>2294</v>
      </c>
      <c r="C43" s="131">
        <v>27000</v>
      </c>
      <c r="D43" s="133" t="s">
        <v>2283</v>
      </c>
      <c r="E43" s="254" t="s">
        <v>1506</v>
      </c>
      <c r="F43" s="134"/>
      <c r="G43" s="134" t="s">
        <v>2296</v>
      </c>
      <c r="H43" s="303">
        <v>60</v>
      </c>
      <c r="I43" s="303">
        <v>102</v>
      </c>
      <c r="J43" s="303">
        <v>38</v>
      </c>
      <c r="K43" s="134">
        <v>5</v>
      </c>
      <c r="L43" s="149"/>
      <c r="M43" s="303">
        <v>87</v>
      </c>
      <c r="N43" s="303"/>
      <c r="O43" s="133" t="s">
        <v>161</v>
      </c>
      <c r="P43" s="134"/>
      <c r="Q43" s="293"/>
      <c r="R43" s="134"/>
      <c r="S43" s="134"/>
      <c r="T43" s="134" t="s">
        <v>2295</v>
      </c>
      <c r="U43" s="134" t="s">
        <v>2126</v>
      </c>
      <c r="V43" s="134"/>
    </row>
    <row r="44" spans="2:22" x14ac:dyDescent="0.3">
      <c r="B44" s="133" t="s">
        <v>2288</v>
      </c>
      <c r="C44" s="131">
        <v>74100</v>
      </c>
      <c r="D44" s="133" t="s">
        <v>2283</v>
      </c>
      <c r="E44" s="254" t="s">
        <v>2298</v>
      </c>
      <c r="F44" s="134"/>
      <c r="G44" s="7" t="s">
        <v>2293</v>
      </c>
      <c r="H44" s="303">
        <v>61.6</v>
      </c>
      <c r="I44" s="303">
        <v>100.3</v>
      </c>
      <c r="J44" s="303">
        <v>34.4</v>
      </c>
      <c r="K44" s="134">
        <v>6</v>
      </c>
      <c r="L44" s="149"/>
      <c r="M44" s="303">
        <v>106</v>
      </c>
      <c r="N44" s="303"/>
      <c r="O44" s="133" t="s">
        <v>161</v>
      </c>
      <c r="P44" s="134">
        <v>1600</v>
      </c>
      <c r="Q44" s="293"/>
      <c r="R44" s="134"/>
      <c r="S44" s="134"/>
      <c r="T44" s="134" t="s">
        <v>2292</v>
      </c>
      <c r="U44" s="134" t="s">
        <v>2126</v>
      </c>
      <c r="V44" s="134"/>
    </row>
    <row r="45" spans="2:22" x14ac:dyDescent="0.3">
      <c r="B45" s="133" t="s">
        <v>2364</v>
      </c>
      <c r="C45" s="131">
        <v>31300</v>
      </c>
      <c r="D45" s="133" t="s">
        <v>148</v>
      </c>
      <c r="E45" s="310" t="s">
        <v>2361</v>
      </c>
      <c r="F45" s="134" t="s">
        <v>2285</v>
      </c>
      <c r="G45" s="134" t="s">
        <v>140</v>
      </c>
      <c r="H45" s="303">
        <v>65</v>
      </c>
      <c r="I45" s="303">
        <v>120</v>
      </c>
      <c r="J45" s="303">
        <v>40</v>
      </c>
      <c r="K45" s="134">
        <v>6</v>
      </c>
      <c r="L45" s="149">
        <v>20</v>
      </c>
      <c r="M45" s="303">
        <v>120</v>
      </c>
      <c r="N45" s="303"/>
      <c r="O45" s="133" t="s">
        <v>161</v>
      </c>
      <c r="P45" s="134">
        <v>2000</v>
      </c>
      <c r="Q45" s="293"/>
      <c r="R45" s="134">
        <v>6700</v>
      </c>
      <c r="S45" s="134"/>
      <c r="T45" s="134"/>
      <c r="U45" s="134"/>
      <c r="V45" s="134"/>
    </row>
    <row r="46" spans="2:22" x14ac:dyDescent="0.3">
      <c r="B46" s="133" t="s">
        <v>2362</v>
      </c>
      <c r="C46" s="131">
        <v>58000</v>
      </c>
      <c r="D46" s="133" t="s">
        <v>148</v>
      </c>
      <c r="E46" s="134" t="s">
        <v>2363</v>
      </c>
      <c r="F46" s="134" t="s">
        <v>2285</v>
      </c>
      <c r="G46" s="134" t="s">
        <v>140</v>
      </c>
      <c r="H46" s="303">
        <v>70</v>
      </c>
      <c r="I46" s="303">
        <v>133</v>
      </c>
      <c r="J46" s="303">
        <v>45</v>
      </c>
      <c r="K46" s="134">
        <v>6</v>
      </c>
      <c r="L46" s="149">
        <v>50</v>
      </c>
      <c r="M46" s="303">
        <v>130</v>
      </c>
      <c r="N46" s="303"/>
      <c r="O46" s="133" t="s">
        <v>161</v>
      </c>
      <c r="P46" s="134">
        <v>6500</v>
      </c>
      <c r="Q46" s="293">
        <v>1</v>
      </c>
      <c r="R46" s="134">
        <v>6500</v>
      </c>
      <c r="S46" s="134"/>
      <c r="T46" s="134"/>
      <c r="U46" s="134" t="s">
        <v>2126</v>
      </c>
      <c r="V46" s="134"/>
    </row>
    <row r="47" spans="2:22" x14ac:dyDescent="0.3">
      <c r="B47" s="133" t="s">
        <v>2370</v>
      </c>
      <c r="C47" s="131">
        <v>113990</v>
      </c>
      <c r="D47" s="133" t="s">
        <v>148</v>
      </c>
      <c r="E47" s="254" t="s">
        <v>1506</v>
      </c>
      <c r="F47" s="134" t="s">
        <v>2285</v>
      </c>
      <c r="G47" s="134" t="s">
        <v>140</v>
      </c>
      <c r="H47" s="303">
        <v>68.459999999999994</v>
      </c>
      <c r="I47" s="303">
        <v>124.85</v>
      </c>
      <c r="J47" s="303">
        <v>41.97</v>
      </c>
      <c r="K47" s="134">
        <v>7</v>
      </c>
      <c r="L47" s="149">
        <v>50</v>
      </c>
      <c r="M47" s="303">
        <v>135</v>
      </c>
      <c r="N47" s="303"/>
      <c r="O47" s="133" t="s">
        <v>161</v>
      </c>
      <c r="P47" s="134">
        <v>16000</v>
      </c>
      <c r="Q47" s="293">
        <v>1</v>
      </c>
      <c r="R47" s="134"/>
      <c r="S47" s="134"/>
      <c r="T47" s="134"/>
      <c r="U47" s="134" t="s">
        <v>2126</v>
      </c>
      <c r="V47" s="134"/>
    </row>
    <row r="48" spans="2:22" x14ac:dyDescent="0.3">
      <c r="B48" s="133" t="s">
        <v>2369</v>
      </c>
      <c r="C48" s="131">
        <v>19200</v>
      </c>
      <c r="D48" s="133" t="s">
        <v>148</v>
      </c>
      <c r="E48" s="254" t="s">
        <v>1506</v>
      </c>
      <c r="F48" s="134"/>
      <c r="G48" s="134" t="s">
        <v>140</v>
      </c>
      <c r="H48" s="303">
        <v>65</v>
      </c>
      <c r="I48" s="303">
        <v>120</v>
      </c>
      <c r="J48" s="303">
        <v>40</v>
      </c>
      <c r="K48" s="134">
        <v>6</v>
      </c>
      <c r="L48" s="149">
        <v>20</v>
      </c>
      <c r="M48" s="303">
        <v>120</v>
      </c>
      <c r="N48" s="303"/>
      <c r="O48" s="133" t="s">
        <v>161</v>
      </c>
      <c r="P48" s="134">
        <v>2000</v>
      </c>
      <c r="Q48" s="293"/>
      <c r="R48" s="134">
        <v>6700</v>
      </c>
      <c r="S48" s="134"/>
      <c r="T48" s="134"/>
      <c r="U48" s="134" t="s">
        <v>2126</v>
      </c>
      <c r="V48" s="134"/>
    </row>
    <row r="49" spans="2:22" x14ac:dyDescent="0.3">
      <c r="B49" s="133" t="s">
        <v>2365</v>
      </c>
      <c r="C49" s="131">
        <v>62470</v>
      </c>
      <c r="D49" s="133" t="s">
        <v>148</v>
      </c>
      <c r="E49" s="254" t="s">
        <v>1506</v>
      </c>
      <c r="F49" s="134" t="s">
        <v>2285</v>
      </c>
      <c r="G49" s="134" t="s">
        <v>140</v>
      </c>
      <c r="H49" s="303">
        <v>70</v>
      </c>
      <c r="I49" s="303">
        <v>133</v>
      </c>
      <c r="J49" s="303">
        <v>45</v>
      </c>
      <c r="K49" s="134">
        <v>6</v>
      </c>
      <c r="L49" s="149">
        <v>50</v>
      </c>
      <c r="M49" s="303">
        <v>130</v>
      </c>
      <c r="N49" s="303"/>
      <c r="O49" s="133" t="s">
        <v>161</v>
      </c>
      <c r="P49" s="134">
        <v>6500</v>
      </c>
      <c r="Q49" s="293"/>
      <c r="R49" s="134">
        <v>6500</v>
      </c>
      <c r="S49" s="134"/>
      <c r="T49" s="134"/>
      <c r="U49" s="134"/>
      <c r="V49" s="134"/>
    </row>
    <row r="50" spans="2:22" x14ac:dyDescent="0.3">
      <c r="B50" s="133" t="s">
        <v>2368</v>
      </c>
      <c r="C50" s="131">
        <v>145600</v>
      </c>
      <c r="D50" s="133" t="s">
        <v>148</v>
      </c>
      <c r="E50" s="254" t="s">
        <v>1506</v>
      </c>
      <c r="F50" s="134" t="s">
        <v>2285</v>
      </c>
      <c r="G50" s="134" t="s">
        <v>2352</v>
      </c>
      <c r="H50" s="303">
        <v>69</v>
      </c>
      <c r="I50" s="303">
        <v>129</v>
      </c>
      <c r="J50" s="303">
        <v>41</v>
      </c>
      <c r="K50" s="134">
        <v>8</v>
      </c>
      <c r="L50" s="149">
        <v>30</v>
      </c>
      <c r="M50" s="303">
        <v>120</v>
      </c>
      <c r="N50" s="303"/>
      <c r="O50" s="133" t="s">
        <v>163</v>
      </c>
      <c r="P50" s="134">
        <v>16400</v>
      </c>
      <c r="Q50" s="293">
        <v>1</v>
      </c>
      <c r="R50" s="134">
        <v>12000</v>
      </c>
      <c r="S50" s="134"/>
      <c r="T50" s="134" t="s">
        <v>2292</v>
      </c>
      <c r="U50" s="134"/>
      <c r="V50" s="134"/>
    </row>
    <row r="51" spans="2:22" x14ac:dyDescent="0.3">
      <c r="B51" s="133" t="s">
        <v>2366</v>
      </c>
      <c r="C51" s="131">
        <v>88410</v>
      </c>
      <c r="D51" s="133" t="s">
        <v>148</v>
      </c>
      <c r="E51" s="272" t="s">
        <v>2367</v>
      </c>
      <c r="F51" s="134" t="s">
        <v>2285</v>
      </c>
      <c r="G51" s="134" t="s">
        <v>140</v>
      </c>
      <c r="H51" s="303">
        <v>68.3</v>
      </c>
      <c r="I51" s="303">
        <v>125.5</v>
      </c>
      <c r="J51" s="303">
        <v>38.700000000000003</v>
      </c>
      <c r="K51" s="134">
        <v>8</v>
      </c>
      <c r="L51" s="149"/>
      <c r="M51" s="303">
        <v>102</v>
      </c>
      <c r="N51" s="303"/>
      <c r="O51" s="133" t="s">
        <v>163</v>
      </c>
      <c r="P51" s="134">
        <v>5700</v>
      </c>
      <c r="Q51" s="293"/>
      <c r="R51" s="134">
        <v>12000</v>
      </c>
      <c r="S51" s="134"/>
      <c r="T51" s="134"/>
      <c r="U51" s="134"/>
      <c r="V51" s="134"/>
    </row>
    <row r="52" spans="2:22" x14ac:dyDescent="0.3">
      <c r="B52" s="133" t="s">
        <v>171</v>
      </c>
      <c r="C52" s="131">
        <v>28820</v>
      </c>
      <c r="D52" s="133" t="s">
        <v>149</v>
      </c>
      <c r="E52" s="7" t="s">
        <v>2358</v>
      </c>
      <c r="F52" s="134" t="s">
        <v>2359</v>
      </c>
      <c r="G52" s="134" t="s">
        <v>140</v>
      </c>
      <c r="H52" s="303">
        <v>64</v>
      </c>
      <c r="I52" s="303">
        <v>124</v>
      </c>
      <c r="J52" s="303">
        <v>40</v>
      </c>
      <c r="K52" s="134">
        <v>6</v>
      </c>
      <c r="L52" s="149"/>
      <c r="M52" s="303">
        <v>134</v>
      </c>
      <c r="N52" s="303"/>
      <c r="O52" s="133" t="s">
        <v>161</v>
      </c>
      <c r="P52" s="134">
        <v>3000</v>
      </c>
      <c r="Q52" s="293"/>
      <c r="R52" s="134">
        <v>4500</v>
      </c>
      <c r="S52" s="134"/>
      <c r="T52" s="134"/>
      <c r="U52" s="134"/>
      <c r="V52" s="134"/>
    </row>
    <row r="53" spans="2:22" x14ac:dyDescent="0.3">
      <c r="B53" s="133" t="s">
        <v>2356</v>
      </c>
      <c r="C53" s="131">
        <v>39440</v>
      </c>
      <c r="D53" s="133" t="s">
        <v>149</v>
      </c>
      <c r="E53" s="254" t="s">
        <v>1506</v>
      </c>
      <c r="F53" s="310" t="s">
        <v>2357</v>
      </c>
      <c r="G53" s="134" t="s">
        <v>140</v>
      </c>
      <c r="H53" s="303">
        <v>64</v>
      </c>
      <c r="I53" s="303">
        <v>126</v>
      </c>
      <c r="J53" s="303">
        <v>40</v>
      </c>
      <c r="K53" s="134">
        <v>6</v>
      </c>
      <c r="L53" s="149"/>
      <c r="M53" s="303">
        <v>135</v>
      </c>
      <c r="N53" s="303"/>
      <c r="O53" s="133" t="s">
        <v>161</v>
      </c>
      <c r="P53" s="134">
        <v>4000</v>
      </c>
      <c r="Q53" s="293"/>
      <c r="R53" s="134">
        <v>6000</v>
      </c>
      <c r="S53" s="134"/>
      <c r="T53" s="134"/>
      <c r="U53" s="134"/>
      <c r="V53" s="134"/>
    </row>
    <row r="54" spans="2:22" x14ac:dyDescent="0.3">
      <c r="B54" s="124" t="s">
        <v>2360</v>
      </c>
      <c r="C54" s="131">
        <v>17330</v>
      </c>
      <c r="D54" s="133" t="s">
        <v>149</v>
      </c>
      <c r="E54" s="254" t="s">
        <v>1506</v>
      </c>
      <c r="F54" s="251" t="s">
        <v>1473</v>
      </c>
      <c r="G54" s="134" t="s">
        <v>140</v>
      </c>
      <c r="H54" s="303">
        <v>70</v>
      </c>
      <c r="I54" s="303">
        <v>135</v>
      </c>
      <c r="J54" s="303">
        <v>42.5</v>
      </c>
      <c r="K54" s="134">
        <v>6</v>
      </c>
      <c r="L54" s="149"/>
      <c r="M54" s="303">
        <v>143</v>
      </c>
      <c r="N54" s="303"/>
      <c r="O54" s="133" t="s">
        <v>161</v>
      </c>
      <c r="P54" s="134">
        <v>1600</v>
      </c>
      <c r="Q54" s="293"/>
      <c r="R54" s="134">
        <v>4000</v>
      </c>
    </row>
    <row r="55" spans="2:22" x14ac:dyDescent="0.3">
      <c r="B55" s="133" t="s">
        <v>2353</v>
      </c>
      <c r="C55" s="131">
        <v>14140</v>
      </c>
      <c r="D55" s="133" t="s">
        <v>149</v>
      </c>
      <c r="E55" s="254" t="s">
        <v>1506</v>
      </c>
      <c r="F55" s="310" t="s">
        <v>2355</v>
      </c>
      <c r="G55" s="134" t="s">
        <v>140</v>
      </c>
      <c r="H55" s="303">
        <v>80</v>
      </c>
      <c r="I55" s="303">
        <v>119</v>
      </c>
      <c r="J55" s="303">
        <v>38.5</v>
      </c>
      <c r="K55" s="134">
        <v>6</v>
      </c>
      <c r="L55" s="149"/>
      <c r="M55" s="303">
        <v>135</v>
      </c>
      <c r="N55" s="303"/>
      <c r="O55" s="133" t="s">
        <v>161</v>
      </c>
      <c r="P55" s="134">
        <v>2000</v>
      </c>
      <c r="Q55" s="293"/>
      <c r="R55" s="134">
        <v>4000</v>
      </c>
      <c r="S55" s="134"/>
      <c r="T55" s="134"/>
      <c r="U55" s="134"/>
      <c r="V55" s="134"/>
    </row>
    <row r="56" spans="2:22" x14ac:dyDescent="0.3">
      <c r="G56" s="134"/>
    </row>
    <row r="57" spans="2:22" x14ac:dyDescent="0.3">
      <c r="G57" s="134"/>
    </row>
    <row r="58" spans="2:22" x14ac:dyDescent="0.3">
      <c r="G58" s="134"/>
    </row>
    <row r="59" spans="2:22" x14ac:dyDescent="0.3">
      <c r="G59" s="134"/>
    </row>
    <row r="60" spans="2:22" x14ac:dyDescent="0.3">
      <c r="G60" s="134"/>
    </row>
    <row r="61" spans="2:22" x14ac:dyDescent="0.3">
      <c r="G61" s="134"/>
    </row>
    <row r="62" spans="2:22" x14ac:dyDescent="0.3">
      <c r="G62" s="134"/>
    </row>
    <row r="63" spans="2:22" x14ac:dyDescent="0.3">
      <c r="G63" s="134"/>
    </row>
    <row r="64" spans="2:22" x14ac:dyDescent="0.3">
      <c r="G64" s="134"/>
    </row>
    <row r="65" spans="7:7" x14ac:dyDescent="0.3">
      <c r="G65" s="134"/>
    </row>
    <row r="66" spans="7:7" x14ac:dyDescent="0.3">
      <c r="G66" s="134"/>
    </row>
    <row r="67" spans="7:7" x14ac:dyDescent="0.3">
      <c r="G67" s="134"/>
    </row>
    <row r="68" spans="7:7" x14ac:dyDescent="0.3">
      <c r="G68" s="134"/>
    </row>
    <row r="69" spans="7:7" x14ac:dyDescent="0.3">
      <c r="G69" s="134"/>
    </row>
    <row r="70" spans="7:7" x14ac:dyDescent="0.3">
      <c r="G70" s="134"/>
    </row>
    <row r="71" spans="7:7" x14ac:dyDescent="0.3">
      <c r="G71" s="134"/>
    </row>
    <row r="72" spans="7:7" x14ac:dyDescent="0.3">
      <c r="G72" s="134"/>
    </row>
    <row r="73" spans="7:7" x14ac:dyDescent="0.3">
      <c r="G73" s="134"/>
    </row>
    <row r="74" spans="7:7" x14ac:dyDescent="0.3">
      <c r="G74" s="134"/>
    </row>
    <row r="75" spans="7:7" x14ac:dyDescent="0.3">
      <c r="G75" s="134"/>
    </row>
    <row r="76" spans="7:7" x14ac:dyDescent="0.3">
      <c r="G76" s="134"/>
    </row>
    <row r="77" spans="7:7" x14ac:dyDescent="0.3">
      <c r="G77" s="134"/>
    </row>
    <row r="78" spans="7:7" x14ac:dyDescent="0.3">
      <c r="G78" s="134"/>
    </row>
    <row r="79" spans="7:7" x14ac:dyDescent="0.3">
      <c r="G79" s="134"/>
    </row>
    <row r="80" spans="7:7" x14ac:dyDescent="0.3">
      <c r="G80" s="134"/>
    </row>
    <row r="81" spans="7:7" x14ac:dyDescent="0.3">
      <c r="G81" s="134"/>
    </row>
    <row r="82" spans="7:7" x14ac:dyDescent="0.3">
      <c r="G82" s="134"/>
    </row>
    <row r="83" spans="7:7" x14ac:dyDescent="0.3">
      <c r="G83" s="134"/>
    </row>
    <row r="84" spans="7:7" x14ac:dyDescent="0.3">
      <c r="G84" s="134"/>
    </row>
    <row r="85" spans="7:7" x14ac:dyDescent="0.3">
      <c r="G85" s="134"/>
    </row>
    <row r="86" spans="7:7" x14ac:dyDescent="0.3">
      <c r="G86" s="134"/>
    </row>
    <row r="87" spans="7:7" x14ac:dyDescent="0.3">
      <c r="G87" s="134"/>
    </row>
    <row r="88" spans="7:7" x14ac:dyDescent="0.3">
      <c r="G88" s="134"/>
    </row>
    <row r="89" spans="7:7" x14ac:dyDescent="0.3">
      <c r="G89" s="134"/>
    </row>
    <row r="90" spans="7:7" x14ac:dyDescent="0.3">
      <c r="G90" s="134"/>
    </row>
    <row r="91" spans="7:7" x14ac:dyDescent="0.3">
      <c r="G91" s="134"/>
    </row>
    <row r="92" spans="7:7" x14ac:dyDescent="0.3">
      <c r="G92" s="134"/>
    </row>
    <row r="93" spans="7:7" x14ac:dyDescent="0.3">
      <c r="G93" s="134"/>
    </row>
    <row r="94" spans="7:7" x14ac:dyDescent="0.3">
      <c r="G94" s="134"/>
    </row>
    <row r="95" spans="7:7" x14ac:dyDescent="0.3">
      <c r="G95" s="134"/>
    </row>
    <row r="96" spans="7:7" x14ac:dyDescent="0.3">
      <c r="G96" s="134"/>
    </row>
    <row r="97" spans="7:7" x14ac:dyDescent="0.3">
      <c r="G97" s="134"/>
    </row>
    <row r="98" spans="7:7" x14ac:dyDescent="0.3">
      <c r="G98" s="134"/>
    </row>
    <row r="99" spans="7:7" x14ac:dyDescent="0.3">
      <c r="G99" s="134"/>
    </row>
    <row r="100" spans="7:7" x14ac:dyDescent="0.3">
      <c r="G100" s="134"/>
    </row>
    <row r="101" spans="7:7" x14ac:dyDescent="0.3">
      <c r="G101" s="134"/>
    </row>
    <row r="102" spans="7:7" x14ac:dyDescent="0.3">
      <c r="G102" s="134"/>
    </row>
    <row r="103" spans="7:7" x14ac:dyDescent="0.3">
      <c r="G103" s="134"/>
    </row>
    <row r="104" spans="7:7" x14ac:dyDescent="0.3">
      <c r="G104" s="134"/>
    </row>
    <row r="105" spans="7:7" x14ac:dyDescent="0.3">
      <c r="G105" s="134"/>
    </row>
    <row r="106" spans="7:7" x14ac:dyDescent="0.3">
      <c r="G106" s="134"/>
    </row>
    <row r="107" spans="7:7" x14ac:dyDescent="0.3">
      <c r="G107" s="134"/>
    </row>
  </sheetData>
  <sortState ref="B7:W57">
    <sortCondition ref="B6"/>
  </sortState>
  <phoneticPr fontId="4" type="noConversion"/>
  <conditionalFormatting sqref="K8:K32 K34:K47 K56:K1048576 K50:K54 K1:K6">
    <cfRule type="cellIs" dxfId="176" priority="12" operator="lessThanOrEqual">
      <formula>3</formula>
    </cfRule>
  </conditionalFormatting>
  <conditionalFormatting sqref="G56:G1048576 G50:G54 G1:G47">
    <cfRule type="cellIs" dxfId="175" priority="10" operator="equal">
      <formula>"USB"</formula>
    </cfRule>
  </conditionalFormatting>
  <conditionalFormatting sqref="K7">
    <cfRule type="cellIs" dxfId="174" priority="9" operator="lessThanOrEqual">
      <formula>3</formula>
    </cfRule>
  </conditionalFormatting>
  <conditionalFormatting sqref="K33">
    <cfRule type="cellIs" dxfId="173" priority="8" operator="lessThanOrEqual">
      <formula>3</formula>
    </cfRule>
  </conditionalFormatting>
  <conditionalFormatting sqref="K55">
    <cfRule type="cellIs" dxfId="172" priority="7" operator="lessThanOrEqual">
      <formula>3</formula>
    </cfRule>
  </conditionalFormatting>
  <conditionalFormatting sqref="G55">
    <cfRule type="cellIs" dxfId="171" priority="6" operator="equal">
      <formula>"USB"</formula>
    </cfRule>
  </conditionalFormatting>
  <conditionalFormatting sqref="K48">
    <cfRule type="cellIs" dxfId="170" priority="5" operator="lessThanOrEqual">
      <formula>3</formula>
    </cfRule>
  </conditionalFormatting>
  <conditionalFormatting sqref="G48">
    <cfRule type="cellIs" dxfId="169" priority="4" operator="equal">
      <formula>"USB"</formula>
    </cfRule>
  </conditionalFormatting>
  <conditionalFormatting sqref="K49">
    <cfRule type="cellIs" dxfId="168" priority="3" operator="lessThanOrEqual">
      <formula>3</formula>
    </cfRule>
  </conditionalFormatting>
  <conditionalFormatting sqref="G49">
    <cfRule type="cellIs" dxfId="167" priority="1" operator="equal">
      <formula>"USB"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7" tint="0.59999389629810485"/>
  </sheetPr>
  <dimension ref="A1:M51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" sqref="B1"/>
    </sheetView>
  </sheetViews>
  <sheetFormatPr defaultColWidth="9" defaultRowHeight="13.2" x14ac:dyDescent="0.3"/>
  <cols>
    <col min="1" max="1" width="2.796875" style="133" bestFit="1" customWidth="1"/>
    <col min="2" max="2" width="42.5" style="133" bestFit="1" customWidth="1"/>
    <col min="3" max="3" width="9.5" style="133" customWidth="1"/>
    <col min="4" max="4" width="8.69921875" style="133" bestFit="1" customWidth="1"/>
    <col min="5" max="5" width="9.296875" style="133" bestFit="1" customWidth="1"/>
    <col min="6" max="6" width="10.5" style="133" customWidth="1"/>
    <col min="7" max="7" width="1" style="133" customWidth="1"/>
    <col min="8" max="8" width="6.19921875" style="327" bestFit="1" customWidth="1"/>
    <col min="9" max="9" width="5" style="318" bestFit="1" customWidth="1"/>
    <col min="10" max="10" width="1" style="133" customWidth="1"/>
    <col min="11" max="11" width="5.8984375" style="321" bestFit="1" customWidth="1"/>
    <col min="12" max="12" width="5.296875" style="311" bestFit="1" customWidth="1"/>
    <col min="13" max="13" width="5.8984375" style="315" bestFit="1" customWidth="1"/>
    <col min="14" max="16384" width="9" style="133"/>
  </cols>
  <sheetData>
    <row r="1" spans="1:13" ht="24" customHeight="1" x14ac:dyDescent="0.3">
      <c r="A1" s="133">
        <v>16</v>
      </c>
      <c r="F1" s="310" t="s">
        <v>2375</v>
      </c>
    </row>
    <row r="2" spans="1:13" x14ac:dyDescent="0.3">
      <c r="B2" s="309" t="s">
        <v>0</v>
      </c>
      <c r="C2" s="309" t="s">
        <v>1</v>
      </c>
      <c r="D2" s="309" t="s">
        <v>2</v>
      </c>
      <c r="E2" s="309" t="s">
        <v>131</v>
      </c>
      <c r="F2" s="309" t="s">
        <v>134</v>
      </c>
      <c r="G2" s="309"/>
      <c r="H2" s="328" t="s">
        <v>135</v>
      </c>
      <c r="I2" s="319" t="s">
        <v>136</v>
      </c>
      <c r="J2" s="309"/>
      <c r="K2" s="324" t="s">
        <v>2374</v>
      </c>
      <c r="L2" s="325" t="s">
        <v>133</v>
      </c>
      <c r="M2" s="326" t="s">
        <v>132</v>
      </c>
    </row>
    <row r="3" spans="1:13" x14ac:dyDescent="0.3">
      <c r="B3" s="133" t="s">
        <v>1212</v>
      </c>
      <c r="C3" s="140"/>
      <c r="D3" s="140"/>
      <c r="E3" s="127"/>
      <c r="F3" s="309"/>
      <c r="G3" s="309"/>
      <c r="H3" s="329"/>
      <c r="I3" s="319"/>
      <c r="J3" s="309"/>
      <c r="K3" s="322"/>
      <c r="L3" s="312"/>
      <c r="M3" s="316"/>
    </row>
    <row r="4" spans="1:13" x14ac:dyDescent="0.3">
      <c r="B4" s="140" t="s">
        <v>1203</v>
      </c>
      <c r="C4" s="140"/>
      <c r="D4" s="140"/>
      <c r="E4" s="127"/>
      <c r="F4" s="309"/>
      <c r="G4" s="309"/>
      <c r="H4" s="329"/>
      <c r="I4" s="319"/>
      <c r="J4" s="309"/>
      <c r="K4" s="322"/>
      <c r="L4" s="313"/>
      <c r="M4" s="316"/>
    </row>
    <row r="5" spans="1:13" x14ac:dyDescent="0.3">
      <c r="B5" s="133" t="s">
        <v>2376</v>
      </c>
      <c r="C5" s="157">
        <v>27500</v>
      </c>
      <c r="D5" s="133" t="s">
        <v>141</v>
      </c>
      <c r="E5" s="134" t="s">
        <v>138</v>
      </c>
      <c r="F5" s="134" t="s">
        <v>139</v>
      </c>
      <c r="G5" s="134"/>
      <c r="H5" s="330">
        <v>2.2000000000000002</v>
      </c>
      <c r="I5" s="320"/>
      <c r="J5" s="134"/>
      <c r="K5" s="323">
        <v>40</v>
      </c>
      <c r="L5" s="314">
        <v>32</v>
      </c>
      <c r="M5" s="317">
        <v>108</v>
      </c>
    </row>
    <row r="6" spans="1:13" x14ac:dyDescent="0.3">
      <c r="B6" s="133" t="s">
        <v>2372</v>
      </c>
      <c r="C6" s="157">
        <v>34500</v>
      </c>
      <c r="D6" s="133" t="s">
        <v>141</v>
      </c>
      <c r="E6" s="134" t="s">
        <v>138</v>
      </c>
      <c r="F6" s="134" t="s">
        <v>139</v>
      </c>
      <c r="G6" s="134"/>
      <c r="H6" s="330">
        <v>2.2000000000000002</v>
      </c>
      <c r="I6" s="320"/>
      <c r="J6" s="134"/>
      <c r="K6" s="323">
        <v>50</v>
      </c>
      <c r="L6" s="314">
        <v>32</v>
      </c>
      <c r="M6" s="317">
        <v>105</v>
      </c>
    </row>
    <row r="7" spans="1:13" x14ac:dyDescent="0.3">
      <c r="B7" s="133" t="s">
        <v>2373</v>
      </c>
      <c r="C7" s="157">
        <v>41000</v>
      </c>
      <c r="D7" s="133" t="s">
        <v>141</v>
      </c>
      <c r="E7" s="134" t="s">
        <v>138</v>
      </c>
      <c r="F7" s="134" t="s">
        <v>139</v>
      </c>
      <c r="G7" s="134"/>
      <c r="H7" s="330">
        <v>2.2000000000000002</v>
      </c>
      <c r="I7" s="320"/>
      <c r="J7" s="134"/>
      <c r="K7" s="323">
        <v>50</v>
      </c>
      <c r="L7" s="314">
        <v>32</v>
      </c>
      <c r="M7" s="317">
        <v>108</v>
      </c>
    </row>
    <row r="8" spans="1:13" x14ac:dyDescent="0.3">
      <c r="B8" s="133" t="s">
        <v>2377</v>
      </c>
      <c r="C8" s="157">
        <v>29000</v>
      </c>
      <c r="D8" s="133" t="s">
        <v>141</v>
      </c>
      <c r="E8" s="134" t="s">
        <v>138</v>
      </c>
      <c r="F8" s="134" t="s">
        <v>139</v>
      </c>
      <c r="G8" s="134"/>
      <c r="H8" s="330">
        <v>2</v>
      </c>
      <c r="I8" s="320" t="s">
        <v>1311</v>
      </c>
      <c r="J8" s="134"/>
      <c r="K8" s="323"/>
      <c r="L8" s="314">
        <v>32</v>
      </c>
      <c r="M8" s="317"/>
    </row>
    <row r="9" spans="1:13" x14ac:dyDescent="0.3">
      <c r="B9" s="133" t="s">
        <v>2378</v>
      </c>
      <c r="C9" s="157">
        <v>13870</v>
      </c>
      <c r="D9" s="133" t="s">
        <v>141</v>
      </c>
      <c r="E9" s="134" t="s">
        <v>138</v>
      </c>
      <c r="F9" s="134" t="s">
        <v>139</v>
      </c>
      <c r="G9" s="134"/>
      <c r="H9" s="330">
        <v>2</v>
      </c>
      <c r="I9" s="320" t="s">
        <v>1311</v>
      </c>
      <c r="J9" s="134"/>
      <c r="K9" s="323">
        <v>40</v>
      </c>
      <c r="L9" s="314">
        <v>32</v>
      </c>
      <c r="M9" s="317">
        <v>102</v>
      </c>
    </row>
    <row r="10" spans="1:13" x14ac:dyDescent="0.3">
      <c r="B10" s="133" t="s">
        <v>2379</v>
      </c>
      <c r="C10" s="157">
        <v>53490</v>
      </c>
      <c r="D10" s="133" t="s">
        <v>141</v>
      </c>
      <c r="E10" s="134" t="s">
        <v>138</v>
      </c>
      <c r="F10" s="134" t="s">
        <v>139</v>
      </c>
      <c r="G10" s="134"/>
      <c r="H10" s="330">
        <v>2</v>
      </c>
      <c r="I10" s="320">
        <v>286</v>
      </c>
      <c r="J10" s="134"/>
      <c r="K10" s="323">
        <v>40</v>
      </c>
      <c r="L10" s="314">
        <v>45</v>
      </c>
      <c r="M10" s="317">
        <v>98</v>
      </c>
    </row>
    <row r="11" spans="1:13" x14ac:dyDescent="0.3">
      <c r="B11" s="133" t="s">
        <v>2380</v>
      </c>
      <c r="C11" s="157">
        <v>9770</v>
      </c>
      <c r="D11" s="133" t="s">
        <v>141</v>
      </c>
      <c r="E11" s="134" t="s">
        <v>138</v>
      </c>
      <c r="F11" s="134" t="s">
        <v>139</v>
      </c>
      <c r="G11" s="134"/>
      <c r="H11" s="330">
        <v>2</v>
      </c>
      <c r="I11" s="320" t="s">
        <v>1311</v>
      </c>
      <c r="J11" s="134"/>
      <c r="K11" s="323">
        <v>30</v>
      </c>
      <c r="L11" s="314">
        <v>32</v>
      </c>
      <c r="M11" s="317">
        <v>91</v>
      </c>
    </row>
    <row r="12" spans="1:13" x14ac:dyDescent="0.3">
      <c r="B12" s="133" t="s">
        <v>2381</v>
      </c>
      <c r="C12" s="157">
        <v>17850</v>
      </c>
      <c r="D12" s="133" t="s">
        <v>141</v>
      </c>
      <c r="E12" s="134" t="s">
        <v>138</v>
      </c>
      <c r="F12" s="134" t="s">
        <v>139</v>
      </c>
      <c r="G12" s="134"/>
      <c r="H12" s="330">
        <v>2</v>
      </c>
      <c r="I12" s="320"/>
      <c r="J12" s="134"/>
      <c r="K12" s="323">
        <v>40</v>
      </c>
      <c r="L12" s="314">
        <v>32</v>
      </c>
      <c r="M12" s="317">
        <v>101</v>
      </c>
    </row>
    <row r="13" spans="1:13" x14ac:dyDescent="0.3">
      <c r="B13" s="133" t="s">
        <v>2382</v>
      </c>
      <c r="C13" s="157">
        <v>123460</v>
      </c>
      <c r="D13" s="133" t="s">
        <v>142</v>
      </c>
      <c r="E13" s="134" t="s">
        <v>2383</v>
      </c>
      <c r="F13" s="134" t="s">
        <v>2385</v>
      </c>
      <c r="G13" s="134"/>
      <c r="H13" s="330">
        <v>1.8</v>
      </c>
      <c r="I13" s="320"/>
      <c r="J13" s="134"/>
      <c r="K13" s="323">
        <v>50</v>
      </c>
      <c r="L13" s="314">
        <v>32</v>
      </c>
      <c r="M13" s="317"/>
    </row>
    <row r="14" spans="1:13" x14ac:dyDescent="0.3">
      <c r="B14" s="133" t="s">
        <v>2384</v>
      </c>
      <c r="C14" s="157">
        <v>52700</v>
      </c>
      <c r="D14" s="133" t="s">
        <v>142</v>
      </c>
      <c r="E14" s="134" t="s">
        <v>2383</v>
      </c>
      <c r="F14" s="134" t="s">
        <v>2385</v>
      </c>
      <c r="G14" s="134"/>
      <c r="H14" s="330">
        <v>2.7</v>
      </c>
      <c r="I14" s="320">
        <v>375</v>
      </c>
      <c r="J14" s="134"/>
      <c r="K14" s="323">
        <v>40</v>
      </c>
      <c r="L14" s="314">
        <v>32</v>
      </c>
      <c r="M14" s="317"/>
    </row>
    <row r="15" spans="1:13" x14ac:dyDescent="0.3">
      <c r="B15" s="133" t="s">
        <v>2387</v>
      </c>
      <c r="C15" s="157">
        <v>106620</v>
      </c>
      <c r="D15" s="133" t="s">
        <v>142</v>
      </c>
      <c r="E15" s="134" t="s">
        <v>2383</v>
      </c>
      <c r="F15" s="134" t="s">
        <v>2385</v>
      </c>
      <c r="G15" s="134"/>
      <c r="H15" s="330">
        <v>3</v>
      </c>
      <c r="I15" s="320"/>
      <c r="J15" s="134"/>
      <c r="K15" s="323">
        <v>50</v>
      </c>
      <c r="L15" s="314">
        <v>32</v>
      </c>
      <c r="M15" s="317"/>
    </row>
    <row r="16" spans="1:13" x14ac:dyDescent="0.3">
      <c r="B16" s="133" t="s">
        <v>2386</v>
      </c>
      <c r="C16" s="157">
        <v>38260</v>
      </c>
      <c r="D16" s="133" t="s">
        <v>142</v>
      </c>
      <c r="E16" s="134" t="s">
        <v>138</v>
      </c>
      <c r="F16" s="134" t="s">
        <v>139</v>
      </c>
      <c r="G16" s="134"/>
      <c r="H16" s="330">
        <v>2.7</v>
      </c>
      <c r="I16" s="320">
        <v>375</v>
      </c>
      <c r="J16" s="134"/>
      <c r="K16" s="323">
        <v>40</v>
      </c>
      <c r="L16" s="314">
        <v>32</v>
      </c>
      <c r="M16" s="317"/>
    </row>
    <row r="17" spans="2:13" x14ac:dyDescent="0.3">
      <c r="B17" s="133" t="s">
        <v>2388</v>
      </c>
      <c r="C17" s="157">
        <v>128000</v>
      </c>
      <c r="D17" s="133" t="s">
        <v>142</v>
      </c>
      <c r="E17" s="134" t="s">
        <v>2383</v>
      </c>
      <c r="F17" s="134" t="s">
        <v>139</v>
      </c>
      <c r="G17" s="134"/>
      <c r="H17" s="330"/>
      <c r="I17" s="320"/>
      <c r="J17" s="134"/>
      <c r="K17" s="323">
        <v>50</v>
      </c>
      <c r="L17" s="314">
        <v>32</v>
      </c>
      <c r="M17" s="317">
        <v>107</v>
      </c>
    </row>
    <row r="18" spans="2:13" x14ac:dyDescent="0.3">
      <c r="B18" s="133" t="s">
        <v>2389</v>
      </c>
      <c r="C18" s="157">
        <v>96480</v>
      </c>
      <c r="D18" s="133" t="s">
        <v>142</v>
      </c>
      <c r="E18" s="134" t="s">
        <v>138</v>
      </c>
      <c r="F18" s="134" t="s">
        <v>139</v>
      </c>
      <c r="G18" s="134"/>
      <c r="H18" s="330"/>
      <c r="I18" s="320"/>
      <c r="J18" s="134"/>
      <c r="K18" s="323">
        <v>50</v>
      </c>
      <c r="L18" s="314">
        <v>220</v>
      </c>
      <c r="M18" s="317"/>
    </row>
    <row r="19" spans="2:13" x14ac:dyDescent="0.3">
      <c r="B19" s="133" t="s">
        <v>2390</v>
      </c>
      <c r="C19" s="157">
        <v>33960</v>
      </c>
      <c r="D19" s="133" t="s">
        <v>143</v>
      </c>
      <c r="E19" s="134" t="s">
        <v>138</v>
      </c>
      <c r="F19" s="134" t="s">
        <v>139</v>
      </c>
      <c r="G19" s="134"/>
      <c r="H19" s="330">
        <v>2.5</v>
      </c>
      <c r="I19" s="320">
        <v>300</v>
      </c>
      <c r="J19" s="134"/>
      <c r="K19" s="323">
        <v>40</v>
      </c>
      <c r="L19" s="314">
        <v>32</v>
      </c>
      <c r="M19" s="317">
        <v>85</v>
      </c>
    </row>
    <row r="20" spans="2:13" x14ac:dyDescent="0.3">
      <c r="B20" s="133" t="s">
        <v>2391</v>
      </c>
      <c r="C20" s="157">
        <v>48000</v>
      </c>
      <c r="D20" s="133" t="s">
        <v>143</v>
      </c>
      <c r="E20" s="134" t="s">
        <v>138</v>
      </c>
      <c r="F20" s="7" t="s">
        <v>2392</v>
      </c>
      <c r="G20" s="134"/>
      <c r="H20" s="330">
        <v>3</v>
      </c>
      <c r="I20" s="320">
        <v>379</v>
      </c>
      <c r="J20" s="134"/>
      <c r="K20" s="323">
        <v>40</v>
      </c>
      <c r="L20" s="314">
        <v>32</v>
      </c>
      <c r="M20" s="317">
        <v>117</v>
      </c>
    </row>
    <row r="21" spans="2:13" x14ac:dyDescent="0.3">
      <c r="B21" s="133" t="s">
        <v>2393</v>
      </c>
      <c r="C21" s="157">
        <v>64600</v>
      </c>
      <c r="D21" s="133" t="s">
        <v>143</v>
      </c>
      <c r="E21" s="134" t="s">
        <v>2383</v>
      </c>
      <c r="F21" s="134" t="s">
        <v>140</v>
      </c>
      <c r="G21" s="134"/>
      <c r="H21" s="330">
        <v>2.9</v>
      </c>
      <c r="I21" s="320">
        <v>344</v>
      </c>
      <c r="J21" s="134"/>
      <c r="K21" s="323">
        <v>40</v>
      </c>
      <c r="L21" s="314">
        <v>32</v>
      </c>
      <c r="M21" s="317">
        <v>99</v>
      </c>
    </row>
    <row r="22" spans="2:13" x14ac:dyDescent="0.3">
      <c r="B22" s="133" t="s">
        <v>2394</v>
      </c>
      <c r="C22" s="157">
        <v>64000</v>
      </c>
      <c r="D22" s="133" t="s">
        <v>143</v>
      </c>
      <c r="E22" s="134" t="s">
        <v>138</v>
      </c>
      <c r="F22" s="134" t="s">
        <v>139</v>
      </c>
      <c r="G22" s="134"/>
      <c r="H22" s="330">
        <v>1.2</v>
      </c>
      <c r="I22" s="320">
        <v>350</v>
      </c>
      <c r="J22" s="134"/>
      <c r="K22" s="323">
        <v>40</v>
      </c>
      <c r="L22" s="314">
        <v>32</v>
      </c>
      <c r="M22" s="317"/>
    </row>
    <row r="23" spans="2:13" x14ac:dyDescent="0.3">
      <c r="B23" s="133" t="s">
        <v>2395</v>
      </c>
      <c r="C23" s="157">
        <v>108900</v>
      </c>
      <c r="D23" s="133" t="s">
        <v>144</v>
      </c>
      <c r="E23" s="134" t="s">
        <v>138</v>
      </c>
      <c r="F23" s="134" t="s">
        <v>139</v>
      </c>
      <c r="G23" s="134"/>
      <c r="H23" s="330">
        <v>1.3</v>
      </c>
      <c r="I23" s="320">
        <v>300</v>
      </c>
      <c r="J23" s="134"/>
      <c r="K23" s="323">
        <v>40</v>
      </c>
      <c r="L23" s="314">
        <v>32</v>
      </c>
      <c r="M23" s="317"/>
    </row>
    <row r="24" spans="2:13" x14ac:dyDescent="0.3">
      <c r="B24" s="133" t="s">
        <v>2396</v>
      </c>
      <c r="C24" s="157">
        <v>139000</v>
      </c>
      <c r="D24" s="133" t="s">
        <v>144</v>
      </c>
      <c r="E24" s="134" t="s">
        <v>2383</v>
      </c>
      <c r="F24" s="134" t="s">
        <v>140</v>
      </c>
      <c r="G24" s="134"/>
      <c r="H24" s="330">
        <v>2</v>
      </c>
      <c r="I24" s="320">
        <v>340</v>
      </c>
      <c r="J24" s="134"/>
      <c r="K24" s="323">
        <v>40</v>
      </c>
      <c r="L24" s="314">
        <v>32</v>
      </c>
      <c r="M24" s="317">
        <v>112</v>
      </c>
    </row>
    <row r="25" spans="2:13" x14ac:dyDescent="0.3">
      <c r="B25" s="133" t="s">
        <v>2397</v>
      </c>
      <c r="C25" s="157">
        <v>46000</v>
      </c>
      <c r="D25" s="133" t="s">
        <v>145</v>
      </c>
      <c r="E25" s="134" t="s">
        <v>2383</v>
      </c>
      <c r="F25" s="134" t="s">
        <v>140</v>
      </c>
      <c r="G25" s="134"/>
      <c r="H25" s="330">
        <v>3</v>
      </c>
      <c r="I25" s="320">
        <v>415</v>
      </c>
      <c r="J25" s="134"/>
      <c r="K25" s="323">
        <v>40</v>
      </c>
      <c r="L25" s="314">
        <v>32</v>
      </c>
      <c r="M25" s="317">
        <v>111</v>
      </c>
    </row>
    <row r="26" spans="2:13" x14ac:dyDescent="0.3">
      <c r="B26" s="133" t="s">
        <v>2398</v>
      </c>
      <c r="C26" s="157">
        <v>19390</v>
      </c>
      <c r="D26" s="133" t="s">
        <v>145</v>
      </c>
      <c r="E26" s="134" t="s">
        <v>138</v>
      </c>
      <c r="F26" s="134" t="s">
        <v>139</v>
      </c>
      <c r="G26" s="134"/>
      <c r="H26" s="330">
        <v>2.2000000000000002</v>
      </c>
      <c r="I26" s="320">
        <v>280</v>
      </c>
      <c r="J26" s="134"/>
      <c r="K26" s="323">
        <v>40</v>
      </c>
      <c r="L26" s="314">
        <v>32</v>
      </c>
      <c r="M26" s="317">
        <v>111</v>
      </c>
    </row>
    <row r="27" spans="2:13" x14ac:dyDescent="0.3">
      <c r="B27" s="133" t="s">
        <v>2399</v>
      </c>
      <c r="C27" s="157">
        <v>3350</v>
      </c>
      <c r="D27" s="133" t="s">
        <v>145</v>
      </c>
      <c r="E27" s="134" t="s">
        <v>2383</v>
      </c>
      <c r="F27" s="134" t="s">
        <v>140</v>
      </c>
      <c r="G27" s="134"/>
      <c r="H27" s="330">
        <v>2.2000000000000002</v>
      </c>
      <c r="I27" s="320">
        <v>370</v>
      </c>
      <c r="J27" s="134"/>
      <c r="K27" s="323">
        <v>40</v>
      </c>
      <c r="L27" s="314">
        <v>36</v>
      </c>
      <c r="M27" s="317">
        <v>112</v>
      </c>
    </row>
    <row r="28" spans="2:13" x14ac:dyDescent="0.3">
      <c r="B28" s="133" t="s">
        <v>2400</v>
      </c>
      <c r="C28" s="157">
        <v>104900</v>
      </c>
      <c r="D28" s="133" t="s">
        <v>145</v>
      </c>
      <c r="E28" s="134" t="s">
        <v>2383</v>
      </c>
      <c r="F28" s="134" t="s">
        <v>140</v>
      </c>
      <c r="G28" s="134"/>
      <c r="H28" s="330">
        <v>3</v>
      </c>
      <c r="I28" s="320">
        <v>530</v>
      </c>
      <c r="J28" s="134"/>
      <c r="K28" s="323">
        <v>50</v>
      </c>
      <c r="L28" s="314">
        <v>16</v>
      </c>
      <c r="M28" s="317">
        <v>108</v>
      </c>
    </row>
    <row r="29" spans="2:13" x14ac:dyDescent="0.3">
      <c r="B29" s="133" t="s">
        <v>2401</v>
      </c>
      <c r="C29" s="157">
        <v>13600</v>
      </c>
      <c r="D29" s="133" t="s">
        <v>145</v>
      </c>
      <c r="E29" s="134" t="s">
        <v>138</v>
      </c>
      <c r="F29" s="134" t="s">
        <v>139</v>
      </c>
      <c r="G29" s="134"/>
      <c r="H29" s="330">
        <v>2.2000000000000002</v>
      </c>
      <c r="I29" s="320">
        <v>270</v>
      </c>
      <c r="J29" s="134"/>
      <c r="K29" s="323">
        <v>40</v>
      </c>
      <c r="L29" s="314">
        <v>16</v>
      </c>
      <c r="M29" s="317">
        <v>112</v>
      </c>
    </row>
    <row r="30" spans="2:13" x14ac:dyDescent="0.3">
      <c r="B30" s="133" t="s">
        <v>2402</v>
      </c>
      <c r="C30" s="157">
        <v>19360</v>
      </c>
      <c r="D30" s="133" t="s">
        <v>145</v>
      </c>
      <c r="E30" s="134" t="s">
        <v>138</v>
      </c>
      <c r="F30" s="134" t="s">
        <v>139</v>
      </c>
      <c r="G30" s="134"/>
      <c r="H30" s="330">
        <v>2.2000000000000002</v>
      </c>
      <c r="I30" s="320"/>
      <c r="J30" s="134"/>
      <c r="K30" s="323">
        <v>40</v>
      </c>
      <c r="L30" s="314">
        <v>16</v>
      </c>
      <c r="M30" s="317">
        <v>120</v>
      </c>
    </row>
    <row r="31" spans="2:13" x14ac:dyDescent="0.3">
      <c r="B31" s="133" t="s">
        <v>2409</v>
      </c>
      <c r="C31" s="157">
        <v>12590</v>
      </c>
      <c r="D31" s="133" t="s">
        <v>146</v>
      </c>
      <c r="E31" s="134" t="s">
        <v>138</v>
      </c>
      <c r="F31" s="134" t="s">
        <v>139</v>
      </c>
      <c r="G31" s="134"/>
      <c r="H31" s="330">
        <v>1.8</v>
      </c>
      <c r="I31" s="320" t="s">
        <v>1311</v>
      </c>
      <c r="J31" s="134"/>
      <c r="K31" s="323"/>
      <c r="L31" s="314">
        <v>22</v>
      </c>
      <c r="M31" s="317">
        <v>122</v>
      </c>
    </row>
    <row r="32" spans="2:13" x14ac:dyDescent="0.3">
      <c r="B32" s="133" t="s">
        <v>2410</v>
      </c>
      <c r="C32" s="157">
        <v>63000</v>
      </c>
      <c r="D32" s="133" t="s">
        <v>146</v>
      </c>
      <c r="E32" s="134" t="s">
        <v>138</v>
      </c>
      <c r="F32" s="134" t="s">
        <v>139</v>
      </c>
      <c r="G32" s="134"/>
      <c r="H32" s="330" t="s">
        <v>1311</v>
      </c>
      <c r="I32" s="320" t="s">
        <v>1311</v>
      </c>
      <c r="J32" s="134"/>
      <c r="K32" s="323">
        <v>40</v>
      </c>
      <c r="L32" s="314">
        <v>32</v>
      </c>
      <c r="M32" s="317">
        <v>90</v>
      </c>
    </row>
    <row r="33" spans="2:13" x14ac:dyDescent="0.3">
      <c r="B33" s="133" t="s">
        <v>2411</v>
      </c>
      <c r="C33" s="157">
        <v>26310</v>
      </c>
      <c r="D33" s="133" t="s">
        <v>146</v>
      </c>
      <c r="E33" s="134" t="s">
        <v>138</v>
      </c>
      <c r="F33" s="134" t="s">
        <v>139</v>
      </c>
      <c r="G33" s="134"/>
      <c r="H33" s="330">
        <v>2.5</v>
      </c>
      <c r="I33" s="320" t="s">
        <v>1311</v>
      </c>
      <c r="J33" s="134"/>
      <c r="K33" s="323"/>
      <c r="L33" s="314">
        <v>32</v>
      </c>
      <c r="M33" s="317" t="s">
        <v>1311</v>
      </c>
    </row>
    <row r="34" spans="2:13" x14ac:dyDescent="0.3">
      <c r="B34" s="133" t="s">
        <v>2412</v>
      </c>
      <c r="C34" s="157">
        <v>9260</v>
      </c>
      <c r="D34" s="133" t="s">
        <v>146</v>
      </c>
      <c r="E34" s="134" t="s">
        <v>138</v>
      </c>
      <c r="F34" s="134" t="s">
        <v>139</v>
      </c>
      <c r="G34" s="134"/>
      <c r="H34" s="330">
        <v>2.4</v>
      </c>
      <c r="I34" s="320"/>
      <c r="J34" s="134"/>
      <c r="K34" s="323"/>
      <c r="L34" s="314"/>
      <c r="M34" s="317"/>
    </row>
    <row r="35" spans="2:13" x14ac:dyDescent="0.3">
      <c r="B35" s="133" t="s">
        <v>2413</v>
      </c>
      <c r="C35" s="157">
        <v>179600</v>
      </c>
      <c r="D35" s="133" t="s">
        <v>146</v>
      </c>
      <c r="E35" s="134" t="s">
        <v>2383</v>
      </c>
      <c r="F35" s="134" t="s">
        <v>140</v>
      </c>
      <c r="G35" s="134"/>
      <c r="H35" s="330">
        <v>3</v>
      </c>
      <c r="I35" s="320">
        <v>374</v>
      </c>
      <c r="J35" s="134"/>
      <c r="K35" s="323">
        <v>40</v>
      </c>
      <c r="L35" s="314">
        <v>39</v>
      </c>
      <c r="M35" s="317">
        <v>107</v>
      </c>
    </row>
    <row r="36" spans="2:13" x14ac:dyDescent="0.3">
      <c r="B36" s="133" t="s">
        <v>2414</v>
      </c>
      <c r="C36" s="157">
        <v>42210</v>
      </c>
      <c r="D36" s="133" t="s">
        <v>146</v>
      </c>
      <c r="E36" s="134" t="s">
        <v>138</v>
      </c>
      <c r="F36" s="134" t="s">
        <v>140</v>
      </c>
      <c r="G36" s="134"/>
      <c r="H36" s="330">
        <v>2.4</v>
      </c>
      <c r="I36" s="320">
        <v>163</v>
      </c>
      <c r="J36" s="134"/>
      <c r="K36" s="323"/>
      <c r="L36" s="314" t="s">
        <v>1311</v>
      </c>
      <c r="M36" s="317" t="s">
        <v>1311</v>
      </c>
    </row>
    <row r="37" spans="2:13" x14ac:dyDescent="0.3">
      <c r="B37" s="133" t="s">
        <v>2415</v>
      </c>
      <c r="C37" s="157">
        <v>39000</v>
      </c>
      <c r="D37" s="133" t="s">
        <v>146</v>
      </c>
      <c r="E37" s="134" t="s">
        <v>138</v>
      </c>
      <c r="F37" s="134" t="s">
        <v>140</v>
      </c>
      <c r="G37" s="134"/>
      <c r="H37" s="330">
        <v>1.8</v>
      </c>
      <c r="I37" s="320" t="s">
        <v>1311</v>
      </c>
      <c r="J37" s="134"/>
      <c r="K37" s="323"/>
      <c r="L37" s="314">
        <v>20</v>
      </c>
      <c r="M37" s="317">
        <v>115</v>
      </c>
    </row>
    <row r="38" spans="2:13" x14ac:dyDescent="0.3">
      <c r="B38" s="133" t="s">
        <v>2416</v>
      </c>
      <c r="C38" s="157">
        <v>56170</v>
      </c>
      <c r="D38" s="133" t="s">
        <v>146</v>
      </c>
      <c r="E38" s="134" t="s">
        <v>138</v>
      </c>
      <c r="F38" s="134" t="s">
        <v>140</v>
      </c>
      <c r="G38" s="134"/>
      <c r="H38" s="330">
        <v>1.8</v>
      </c>
      <c r="I38" s="320">
        <v>130</v>
      </c>
      <c r="J38" s="134"/>
      <c r="K38" s="323"/>
      <c r="L38" s="314"/>
      <c r="M38" s="317"/>
    </row>
    <row r="39" spans="2:13" x14ac:dyDescent="0.3">
      <c r="B39" s="133" t="s">
        <v>2417</v>
      </c>
      <c r="C39" s="157">
        <v>83000</v>
      </c>
      <c r="D39" s="133" t="s">
        <v>148</v>
      </c>
      <c r="E39" s="134" t="s">
        <v>138</v>
      </c>
      <c r="F39" s="134" t="s">
        <v>139</v>
      </c>
      <c r="G39" s="134"/>
      <c r="H39" s="330">
        <v>1.8</v>
      </c>
      <c r="I39" s="320"/>
      <c r="J39" s="134"/>
      <c r="K39" s="323">
        <v>50</v>
      </c>
      <c r="L39" s="314">
        <v>32</v>
      </c>
      <c r="M39" s="317">
        <v>112</v>
      </c>
    </row>
    <row r="40" spans="2:13" x14ac:dyDescent="0.3">
      <c r="B40" s="133" t="s">
        <v>2422</v>
      </c>
      <c r="C40" s="157">
        <v>242000</v>
      </c>
      <c r="D40" s="133" t="s">
        <v>148</v>
      </c>
      <c r="E40" s="134" t="s">
        <v>2383</v>
      </c>
      <c r="F40" s="134" t="s">
        <v>139</v>
      </c>
      <c r="G40" s="134"/>
      <c r="H40" s="330">
        <v>1.2</v>
      </c>
      <c r="I40" s="320"/>
      <c r="J40" s="134"/>
      <c r="K40" s="323">
        <v>50</v>
      </c>
      <c r="L40" s="314">
        <v>32</v>
      </c>
      <c r="M40" s="317">
        <v>120</v>
      </c>
    </row>
    <row r="41" spans="2:13" x14ac:dyDescent="0.3">
      <c r="B41" s="133" t="s">
        <v>2418</v>
      </c>
      <c r="C41" s="157">
        <v>319400</v>
      </c>
      <c r="D41" s="133" t="s">
        <v>148</v>
      </c>
      <c r="E41" s="134" t="s">
        <v>2383</v>
      </c>
      <c r="F41" s="134" t="s">
        <v>2423</v>
      </c>
      <c r="G41" s="134"/>
      <c r="H41" s="330">
        <v>10</v>
      </c>
      <c r="I41" s="320">
        <v>502</v>
      </c>
      <c r="J41" s="134"/>
      <c r="K41" s="323">
        <v>40</v>
      </c>
      <c r="L41" s="314"/>
      <c r="M41" s="317">
        <v>100</v>
      </c>
    </row>
    <row r="42" spans="2:13" x14ac:dyDescent="0.3">
      <c r="B42" s="133" t="s">
        <v>2424</v>
      </c>
      <c r="C42" s="157">
        <v>68300</v>
      </c>
      <c r="D42" s="133" t="s">
        <v>148</v>
      </c>
      <c r="E42" s="134" t="s">
        <v>138</v>
      </c>
      <c r="F42" s="134" t="s">
        <v>140</v>
      </c>
      <c r="G42" s="134"/>
      <c r="H42" s="330">
        <v>1.5</v>
      </c>
      <c r="I42" s="320"/>
      <c r="J42" s="134"/>
      <c r="K42" s="323">
        <v>40</v>
      </c>
      <c r="L42" s="314">
        <v>32</v>
      </c>
      <c r="M42" s="317">
        <v>97</v>
      </c>
    </row>
    <row r="43" spans="2:13" x14ac:dyDescent="0.3">
      <c r="B43" s="133" t="s">
        <v>2419</v>
      </c>
      <c r="C43" s="157">
        <v>54730</v>
      </c>
      <c r="D43" s="133" t="s">
        <v>148</v>
      </c>
      <c r="E43" s="134" t="s">
        <v>138</v>
      </c>
      <c r="F43" s="134" t="s">
        <v>139</v>
      </c>
      <c r="G43" s="134"/>
      <c r="H43" s="330">
        <v>1.2</v>
      </c>
      <c r="I43" s="320"/>
      <c r="J43" s="134"/>
      <c r="K43" s="323">
        <v>40</v>
      </c>
      <c r="L43" s="314">
        <v>32</v>
      </c>
      <c r="M43" s="317">
        <v>97</v>
      </c>
    </row>
    <row r="44" spans="2:13" x14ac:dyDescent="0.3">
      <c r="B44" s="133" t="s">
        <v>2420</v>
      </c>
      <c r="C44" s="157">
        <v>149600</v>
      </c>
      <c r="D44" s="133" t="s">
        <v>148</v>
      </c>
      <c r="E44" s="134" t="s">
        <v>2383</v>
      </c>
      <c r="F44" s="134" t="s">
        <v>140</v>
      </c>
      <c r="G44" s="134"/>
      <c r="H44" s="330">
        <v>1.5</v>
      </c>
      <c r="I44" s="320"/>
      <c r="J44" s="134"/>
      <c r="K44" s="323">
        <v>50</v>
      </c>
      <c r="L44" s="314"/>
      <c r="M44" s="317">
        <v>80</v>
      </c>
    </row>
    <row r="45" spans="2:13" x14ac:dyDescent="0.3">
      <c r="B45" s="133" t="s">
        <v>2421</v>
      </c>
      <c r="C45" s="157">
        <v>87000</v>
      </c>
      <c r="D45" s="133" t="s">
        <v>148</v>
      </c>
      <c r="E45" s="134" t="s">
        <v>138</v>
      </c>
      <c r="F45" s="134" t="s">
        <v>139</v>
      </c>
      <c r="G45" s="134"/>
      <c r="H45" s="330">
        <v>1.2</v>
      </c>
      <c r="I45" s="320"/>
      <c r="J45" s="134"/>
      <c r="K45" s="323">
        <v>40</v>
      </c>
      <c r="L45" s="314">
        <v>29</v>
      </c>
      <c r="M45" s="317">
        <v>118</v>
      </c>
    </row>
    <row r="46" spans="2:13" x14ac:dyDescent="0.3">
      <c r="B46" s="133" t="s">
        <v>2408</v>
      </c>
      <c r="C46" s="157">
        <v>215000</v>
      </c>
      <c r="D46" s="133" t="s">
        <v>150</v>
      </c>
      <c r="E46" s="134" t="s">
        <v>138</v>
      </c>
      <c r="F46" s="134" t="s">
        <v>139</v>
      </c>
      <c r="G46" s="134"/>
      <c r="H46" s="330">
        <v>3</v>
      </c>
      <c r="I46" s="320">
        <v>678</v>
      </c>
      <c r="J46" s="134"/>
      <c r="K46" s="323"/>
      <c r="L46" s="314">
        <v>50</v>
      </c>
      <c r="M46" s="317">
        <v>116</v>
      </c>
    </row>
    <row r="47" spans="2:13" x14ac:dyDescent="0.3">
      <c r="B47" s="133" t="s">
        <v>2403</v>
      </c>
      <c r="C47" s="157">
        <v>55970</v>
      </c>
      <c r="D47" s="133" t="s">
        <v>150</v>
      </c>
      <c r="E47" s="134" t="s">
        <v>138</v>
      </c>
      <c r="F47" s="134" t="s">
        <v>139</v>
      </c>
      <c r="G47" s="134"/>
      <c r="H47" s="330">
        <v>3</v>
      </c>
      <c r="I47" s="320">
        <v>195</v>
      </c>
      <c r="J47" s="134"/>
      <c r="K47" s="323"/>
      <c r="L47" s="314">
        <v>16</v>
      </c>
      <c r="M47" s="317">
        <v>118</v>
      </c>
    </row>
    <row r="48" spans="2:13" x14ac:dyDescent="0.3">
      <c r="B48" s="133" t="s">
        <v>2404</v>
      </c>
      <c r="C48" s="157">
        <v>264190</v>
      </c>
      <c r="D48" s="133" t="s">
        <v>150</v>
      </c>
      <c r="E48" s="134" t="s">
        <v>138</v>
      </c>
      <c r="F48" s="134" t="s">
        <v>139</v>
      </c>
      <c r="G48" s="134"/>
      <c r="H48" s="330">
        <v>3</v>
      </c>
      <c r="I48" s="320">
        <v>312</v>
      </c>
      <c r="J48" s="134"/>
      <c r="K48" s="323"/>
      <c r="L48" s="314">
        <v>150</v>
      </c>
      <c r="M48" s="317">
        <v>108</v>
      </c>
    </row>
    <row r="49" spans="2:13" x14ac:dyDescent="0.3">
      <c r="B49" s="133" t="s">
        <v>2405</v>
      </c>
      <c r="C49" s="157">
        <v>125480</v>
      </c>
      <c r="D49" s="133" t="s">
        <v>150</v>
      </c>
      <c r="E49" s="134" t="s">
        <v>138</v>
      </c>
      <c r="F49" s="134" t="s">
        <v>139</v>
      </c>
      <c r="G49" s="134"/>
      <c r="H49" s="330">
        <v>3</v>
      </c>
      <c r="I49" s="320">
        <v>255</v>
      </c>
      <c r="J49" s="134"/>
      <c r="K49" s="323"/>
      <c r="L49" s="314">
        <v>32</v>
      </c>
      <c r="M49" s="317">
        <v>112</v>
      </c>
    </row>
    <row r="50" spans="2:13" x14ac:dyDescent="0.3">
      <c r="B50" s="133" t="s">
        <v>2406</v>
      </c>
      <c r="C50" s="157">
        <v>68720</v>
      </c>
      <c r="D50" s="133" t="s">
        <v>150</v>
      </c>
      <c r="E50" s="134" t="s">
        <v>138</v>
      </c>
      <c r="F50" s="134" t="s">
        <v>139</v>
      </c>
      <c r="G50" s="134"/>
      <c r="H50" s="330">
        <v>3</v>
      </c>
      <c r="I50" s="320"/>
      <c r="J50" s="134"/>
      <c r="K50" s="323"/>
      <c r="L50" s="314">
        <v>32</v>
      </c>
      <c r="M50" s="317">
        <v>118</v>
      </c>
    </row>
    <row r="51" spans="2:13" x14ac:dyDescent="0.3">
      <c r="B51" s="133" t="s">
        <v>2407</v>
      </c>
      <c r="C51" s="157">
        <v>92540</v>
      </c>
      <c r="D51" s="133" t="s">
        <v>150</v>
      </c>
      <c r="E51" s="134" t="s">
        <v>138</v>
      </c>
      <c r="F51" s="134" t="s">
        <v>139</v>
      </c>
      <c r="G51" s="134"/>
      <c r="H51" s="330">
        <v>3</v>
      </c>
      <c r="I51" s="320">
        <v>244</v>
      </c>
      <c r="J51" s="134"/>
      <c r="K51" s="323"/>
      <c r="L51" s="314">
        <v>32</v>
      </c>
      <c r="M51" s="317">
        <v>105</v>
      </c>
    </row>
  </sheetData>
  <phoneticPr fontId="4" type="noConversion"/>
  <conditionalFormatting sqref="J1:J7 F1:G7 J10 G8:G10 F13:F14 F17:F19 F22:G22 G23:G24 G28 J50 F47:G1048576 J52:J1048576 F39:F45">
    <cfRule type="cellIs" dxfId="166" priority="82" operator="equal">
      <formula>"3.5mm"</formula>
    </cfRule>
  </conditionalFormatting>
  <conditionalFormatting sqref="E1:E7 E13:E14 E18:E20 E22 E47:E1048576 E39 E42:E43 E45">
    <cfRule type="cellIs" dxfId="165" priority="81" operator="equal">
      <formula>"스테레오"</formula>
    </cfRule>
  </conditionalFormatting>
  <conditionalFormatting sqref="J8">
    <cfRule type="cellIs" dxfId="164" priority="80" operator="equal">
      <formula>"3.5mm"</formula>
    </cfRule>
  </conditionalFormatting>
  <conditionalFormatting sqref="F8">
    <cfRule type="cellIs" dxfId="163" priority="79" operator="equal">
      <formula>"3.5mm"</formula>
    </cfRule>
  </conditionalFormatting>
  <conditionalFormatting sqref="E8">
    <cfRule type="cellIs" dxfId="162" priority="78" operator="equal">
      <formula>"스테레오"</formula>
    </cfRule>
  </conditionalFormatting>
  <conditionalFormatting sqref="F9">
    <cfRule type="cellIs" dxfId="161" priority="77" operator="equal">
      <formula>"3.5mm"</formula>
    </cfRule>
  </conditionalFormatting>
  <conditionalFormatting sqref="E9">
    <cfRule type="cellIs" dxfId="160" priority="76" operator="equal">
      <formula>"스테레오"</formula>
    </cfRule>
  </conditionalFormatting>
  <conditionalFormatting sqref="J9">
    <cfRule type="cellIs" dxfId="159" priority="75" operator="equal">
      <formula>"3.5mm"</formula>
    </cfRule>
  </conditionalFormatting>
  <conditionalFormatting sqref="F10">
    <cfRule type="cellIs" dxfId="158" priority="74" operator="equal">
      <formula>"3.5mm"</formula>
    </cfRule>
  </conditionalFormatting>
  <conditionalFormatting sqref="E10">
    <cfRule type="cellIs" dxfId="157" priority="73" operator="equal">
      <formula>"스테레오"</formula>
    </cfRule>
  </conditionalFormatting>
  <conditionalFormatting sqref="G11:G15 G17:G19">
    <cfRule type="cellIs" dxfId="156" priority="72" operator="equal">
      <formula>"3.5mm"</formula>
    </cfRule>
  </conditionalFormatting>
  <conditionalFormatting sqref="J11:J15 J17:J18 J22:J24 J28">
    <cfRule type="cellIs" dxfId="155" priority="71" operator="equal">
      <formula>"3.5mm"</formula>
    </cfRule>
  </conditionalFormatting>
  <conditionalFormatting sqref="F11">
    <cfRule type="cellIs" dxfId="154" priority="70" operator="equal">
      <formula>"3.5mm"</formula>
    </cfRule>
  </conditionalFormatting>
  <conditionalFormatting sqref="E11">
    <cfRule type="cellIs" dxfId="153" priority="69" operator="equal">
      <formula>"스테레오"</formula>
    </cfRule>
  </conditionalFormatting>
  <conditionalFormatting sqref="F12:F14 F17:F19">
    <cfRule type="cellIs" dxfId="152" priority="68" operator="equal">
      <formula>"3.5mm"</formula>
    </cfRule>
  </conditionalFormatting>
  <conditionalFormatting sqref="E12:E14 E18:E20">
    <cfRule type="cellIs" dxfId="151" priority="67" operator="equal">
      <formula>"스테레오"</formula>
    </cfRule>
  </conditionalFormatting>
  <conditionalFormatting sqref="F16:G16 J16">
    <cfRule type="cellIs" dxfId="150" priority="66" operator="equal">
      <formula>"3.5mm"</formula>
    </cfRule>
  </conditionalFormatting>
  <conditionalFormatting sqref="E16">
    <cfRule type="cellIs" dxfId="149" priority="65" operator="equal">
      <formula>"스테레오"</formula>
    </cfRule>
  </conditionalFormatting>
  <conditionalFormatting sqref="E15">
    <cfRule type="cellIs" dxfId="148" priority="60" operator="equal">
      <formula>"스테레오"</formula>
    </cfRule>
  </conditionalFormatting>
  <conditionalFormatting sqref="F15">
    <cfRule type="cellIs" dxfId="147" priority="63" operator="equal">
      <formula>"3.5mm"</formula>
    </cfRule>
  </conditionalFormatting>
  <conditionalFormatting sqref="E15">
    <cfRule type="cellIs" dxfId="146" priority="62" operator="equal">
      <formula>"스테레오"</formula>
    </cfRule>
  </conditionalFormatting>
  <conditionalFormatting sqref="F15">
    <cfRule type="cellIs" dxfId="145" priority="61" operator="equal">
      <formula>"3.5mm"</formula>
    </cfRule>
  </conditionalFormatting>
  <conditionalFormatting sqref="E17">
    <cfRule type="cellIs" dxfId="144" priority="58" operator="equal">
      <formula>"스테레오"</formula>
    </cfRule>
  </conditionalFormatting>
  <conditionalFormatting sqref="E17">
    <cfRule type="cellIs" dxfId="143" priority="59" operator="equal">
      <formula>"스테레오"</formula>
    </cfRule>
  </conditionalFormatting>
  <conditionalFormatting sqref="J19">
    <cfRule type="cellIs" dxfId="142" priority="57" operator="equal">
      <formula>"3.5mm"</formula>
    </cfRule>
  </conditionalFormatting>
  <conditionalFormatting sqref="F20:G20 J20">
    <cfRule type="cellIs" dxfId="141" priority="56" operator="equal">
      <formula>"3.5mm"</formula>
    </cfRule>
  </conditionalFormatting>
  <conditionalFormatting sqref="F21:G21 J21">
    <cfRule type="cellIs" dxfId="140" priority="55" operator="equal">
      <formula>"3.5mm"</formula>
    </cfRule>
  </conditionalFormatting>
  <conditionalFormatting sqref="E21">
    <cfRule type="cellIs" dxfId="139" priority="52" operator="equal">
      <formula>"스테레오"</formula>
    </cfRule>
  </conditionalFormatting>
  <conditionalFormatting sqref="E21">
    <cfRule type="cellIs" dxfId="138" priority="53" operator="equal">
      <formula>"스테레오"</formula>
    </cfRule>
  </conditionalFormatting>
  <conditionalFormatting sqref="F23">
    <cfRule type="cellIs" dxfId="137" priority="50" operator="equal">
      <formula>"3.5mm"</formula>
    </cfRule>
  </conditionalFormatting>
  <conditionalFormatting sqref="E23">
    <cfRule type="cellIs" dxfId="136" priority="49" operator="equal">
      <formula>"스테레오"</formula>
    </cfRule>
  </conditionalFormatting>
  <conditionalFormatting sqref="F24">
    <cfRule type="cellIs" dxfId="135" priority="48" operator="equal">
      <formula>"3.5mm"</formula>
    </cfRule>
  </conditionalFormatting>
  <conditionalFormatting sqref="E24:E25 E27:E28">
    <cfRule type="cellIs" dxfId="134" priority="46" operator="equal">
      <formula>"스테레오"</formula>
    </cfRule>
  </conditionalFormatting>
  <conditionalFormatting sqref="E24:E25 E27:E28">
    <cfRule type="cellIs" dxfId="133" priority="47" operator="equal">
      <formula>"스테레오"</formula>
    </cfRule>
  </conditionalFormatting>
  <conditionalFormatting sqref="J26 F26:G26">
    <cfRule type="cellIs" dxfId="132" priority="41" operator="equal">
      <formula>"3.5mm"</formula>
    </cfRule>
  </conditionalFormatting>
  <conditionalFormatting sqref="J29 F29:G29">
    <cfRule type="cellIs" dxfId="131" priority="43" operator="equal">
      <formula>"3.5mm"</formula>
    </cfRule>
  </conditionalFormatting>
  <conditionalFormatting sqref="E29">
    <cfRule type="cellIs" dxfId="130" priority="42" operator="equal">
      <formula>"스테레오"</formula>
    </cfRule>
  </conditionalFormatting>
  <conditionalFormatting sqref="E26">
    <cfRule type="cellIs" dxfId="129" priority="40" operator="equal">
      <formula>"스테레오"</formula>
    </cfRule>
  </conditionalFormatting>
  <conditionalFormatting sqref="J25 F25:G25">
    <cfRule type="cellIs" dxfId="128" priority="39" operator="equal">
      <formula>"3.5mm"</formula>
    </cfRule>
  </conditionalFormatting>
  <conditionalFormatting sqref="J27 F27:G27">
    <cfRule type="cellIs" dxfId="127" priority="38" operator="equal">
      <formula>"3.5mm"</formula>
    </cfRule>
  </conditionalFormatting>
  <conditionalFormatting sqref="F28">
    <cfRule type="cellIs" dxfId="126" priority="37" operator="equal">
      <formula>"3.5mm"</formula>
    </cfRule>
  </conditionalFormatting>
  <conditionalFormatting sqref="J30 F30:G30 J34 G34:G35">
    <cfRule type="cellIs" dxfId="125" priority="36" operator="equal">
      <formula>"3.5mm"</formula>
    </cfRule>
  </conditionalFormatting>
  <conditionalFormatting sqref="E30">
    <cfRule type="cellIs" dxfId="124" priority="35" operator="equal">
      <formula>"스테레오"</formula>
    </cfRule>
  </conditionalFormatting>
  <conditionalFormatting sqref="F46:G46 J46">
    <cfRule type="cellIs" dxfId="123" priority="34" operator="equal">
      <formula>"3.5mm"</formula>
    </cfRule>
  </conditionalFormatting>
  <conditionalFormatting sqref="E46">
    <cfRule type="cellIs" dxfId="122" priority="33" operator="equal">
      <formula>"스테레오"</formula>
    </cfRule>
  </conditionalFormatting>
  <conditionalFormatting sqref="J47">
    <cfRule type="cellIs" dxfId="121" priority="32" operator="equal">
      <formula>"3.5mm"</formula>
    </cfRule>
  </conditionalFormatting>
  <conditionalFormatting sqref="J48">
    <cfRule type="cellIs" dxfId="120" priority="31" operator="equal">
      <formula>"3.5mm"</formula>
    </cfRule>
  </conditionalFormatting>
  <conditionalFormatting sqref="J49">
    <cfRule type="cellIs" dxfId="119" priority="30" operator="equal">
      <formula>"3.5mm"</formula>
    </cfRule>
  </conditionalFormatting>
  <conditionalFormatting sqref="J51">
    <cfRule type="cellIs" dxfId="118" priority="29" operator="equal">
      <formula>"3.5mm"</formula>
    </cfRule>
  </conditionalFormatting>
  <conditionalFormatting sqref="F34">
    <cfRule type="cellIs" dxfId="117" priority="28" operator="equal">
      <formula>"3.5mm"</formula>
    </cfRule>
  </conditionalFormatting>
  <conditionalFormatting sqref="J31 F31:G31">
    <cfRule type="cellIs" dxfId="116" priority="26" operator="equal">
      <formula>"3.5mm"</formula>
    </cfRule>
  </conditionalFormatting>
  <conditionalFormatting sqref="E31">
    <cfRule type="cellIs" dxfId="115" priority="25" operator="equal">
      <formula>"스테레오"</formula>
    </cfRule>
  </conditionalFormatting>
  <conditionalFormatting sqref="J38:J45 F38:G45">
    <cfRule type="cellIs" dxfId="114" priority="24" operator="equal">
      <formula>"3.5mm"</formula>
    </cfRule>
  </conditionalFormatting>
  <conditionalFormatting sqref="E38:E39 E42:E43 E45">
    <cfRule type="cellIs" dxfId="113" priority="23" operator="equal">
      <formula>"스테레오"</formula>
    </cfRule>
  </conditionalFormatting>
  <conditionalFormatting sqref="J37 F37:G37">
    <cfRule type="cellIs" dxfId="112" priority="22" operator="equal">
      <formula>"3.5mm"</formula>
    </cfRule>
  </conditionalFormatting>
  <conditionalFormatting sqref="E37">
    <cfRule type="cellIs" dxfId="111" priority="21" operator="equal">
      <formula>"스테레오"</formula>
    </cfRule>
  </conditionalFormatting>
  <conditionalFormatting sqref="J36 F36:G36">
    <cfRule type="cellIs" dxfId="110" priority="20" operator="equal">
      <formula>"3.5mm"</formula>
    </cfRule>
  </conditionalFormatting>
  <conditionalFormatting sqref="E36">
    <cfRule type="cellIs" dxfId="109" priority="19" operator="equal">
      <formula>"스테레오"</formula>
    </cfRule>
  </conditionalFormatting>
  <conditionalFormatting sqref="J33 F33:G33">
    <cfRule type="cellIs" dxfId="108" priority="18" operator="equal">
      <formula>"3.5mm"</formula>
    </cfRule>
  </conditionalFormatting>
  <conditionalFormatting sqref="E33">
    <cfRule type="cellIs" dxfId="107" priority="17" operator="equal">
      <formula>"스테레오"</formula>
    </cfRule>
  </conditionalFormatting>
  <conditionalFormatting sqref="J32 F32:G32">
    <cfRule type="cellIs" dxfId="106" priority="16" operator="equal">
      <formula>"3.5mm"</formula>
    </cfRule>
  </conditionalFormatting>
  <conditionalFormatting sqref="E32">
    <cfRule type="cellIs" dxfId="105" priority="15" operator="equal">
      <formula>"스테레오"</formula>
    </cfRule>
  </conditionalFormatting>
  <conditionalFormatting sqref="E35">
    <cfRule type="cellIs" dxfId="104" priority="11" operator="equal">
      <formula>"스테레오"</formula>
    </cfRule>
  </conditionalFormatting>
  <conditionalFormatting sqref="E35">
    <cfRule type="cellIs" dxfId="103" priority="12" operator="equal">
      <formula>"스테레오"</formula>
    </cfRule>
  </conditionalFormatting>
  <conditionalFormatting sqref="E34">
    <cfRule type="cellIs" dxfId="102" priority="10" operator="equal">
      <formula>"스테레오"</formula>
    </cfRule>
  </conditionalFormatting>
  <conditionalFormatting sqref="J35">
    <cfRule type="cellIs" dxfId="101" priority="9" operator="equal">
      <formula>"3.5mm"</formula>
    </cfRule>
  </conditionalFormatting>
  <conditionalFormatting sqref="F35">
    <cfRule type="cellIs" dxfId="100" priority="8" operator="equal">
      <formula>"3.5mm"</formula>
    </cfRule>
  </conditionalFormatting>
  <conditionalFormatting sqref="E40">
    <cfRule type="cellIs" dxfId="99" priority="6" operator="equal">
      <formula>"스테레오"</formula>
    </cfRule>
  </conditionalFormatting>
  <conditionalFormatting sqref="E40">
    <cfRule type="cellIs" dxfId="98" priority="7" operator="equal">
      <formula>"스테레오"</formula>
    </cfRule>
  </conditionalFormatting>
  <conditionalFormatting sqref="E41">
    <cfRule type="cellIs" dxfId="97" priority="4" operator="equal">
      <formula>"스테레오"</formula>
    </cfRule>
  </conditionalFormatting>
  <conditionalFormatting sqref="E41">
    <cfRule type="cellIs" dxfId="96" priority="5" operator="equal">
      <formula>"스테레오"</formula>
    </cfRule>
  </conditionalFormatting>
  <conditionalFormatting sqref="E44">
    <cfRule type="cellIs" dxfId="95" priority="2" operator="equal">
      <formula>"스테레오"</formula>
    </cfRule>
  </conditionalFormatting>
  <conditionalFormatting sqref="E44">
    <cfRule type="cellIs" dxfId="94" priority="3" operator="equal">
      <formula>"스테레오"</formula>
    </cfRule>
  </conditionalFormatting>
  <conditionalFormatting sqref="I1:I1048576">
    <cfRule type="colorScale" priority="1">
      <colorScale>
        <cfvo type="min"/>
        <cfvo type="max"/>
        <color theme="6" tint="0.79998168889431442"/>
        <color theme="9" tint="0.79998168889431442"/>
      </colorScale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7" tint="0.59999389629810485"/>
  </sheetPr>
  <dimension ref="A1:Z156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" sqref="B1"/>
    </sheetView>
  </sheetViews>
  <sheetFormatPr defaultColWidth="9" defaultRowHeight="13.2" x14ac:dyDescent="0.3"/>
  <cols>
    <col min="1" max="1" width="3.3984375" style="124" bestFit="1" customWidth="1"/>
    <col min="2" max="2" width="48.09765625" style="124" bestFit="1" customWidth="1"/>
    <col min="3" max="3" width="9.59765625" style="124" bestFit="1" customWidth="1"/>
    <col min="4" max="5" width="8.59765625" style="124" bestFit="1" customWidth="1"/>
    <col min="6" max="6" width="4.5" style="124" bestFit="1" customWidth="1"/>
    <col min="7" max="7" width="9.69921875" style="124" bestFit="1" customWidth="1"/>
    <col min="8" max="8" width="6.296875" style="338" bestFit="1" customWidth="1"/>
    <col min="9" max="9" width="7.09765625" style="341" bestFit="1" customWidth="1"/>
    <col min="10" max="10" width="5.69921875" style="124" bestFit="1" customWidth="1"/>
    <col min="11" max="11" width="8.59765625" style="124" bestFit="1" customWidth="1"/>
    <col min="12" max="12" width="6.09765625" style="344" bestFit="1" customWidth="1"/>
    <col min="13" max="13" width="12.59765625" style="124" bestFit="1" customWidth="1"/>
    <col min="14" max="14" width="0.3984375" style="124" customWidth="1"/>
    <col min="15" max="15" width="5.8984375" style="162" bestFit="1" customWidth="1"/>
    <col min="16" max="16" width="3.8984375" style="162" bestFit="1" customWidth="1"/>
    <col min="17" max="17" width="5.3984375" style="162" bestFit="1" customWidth="1"/>
    <col min="18" max="18" width="2.796875" style="162" bestFit="1" customWidth="1"/>
    <col min="19" max="19" width="3.5" style="162" bestFit="1" customWidth="1"/>
    <col min="20" max="20" width="0.3984375" style="162" customWidth="1"/>
    <col min="21" max="21" width="7.09765625" style="354" bestFit="1" customWidth="1"/>
    <col min="22" max="22" width="7.09765625" style="354" customWidth="1"/>
    <col min="23" max="23" width="7.09765625" style="355" customWidth="1"/>
    <col min="24" max="24" width="8.296875" style="124" bestFit="1" customWidth="1"/>
    <col min="25" max="25" width="10.09765625" style="124" bestFit="1" customWidth="1"/>
    <col min="26" max="26" width="8.19921875" style="124" bestFit="1" customWidth="1"/>
    <col min="27" max="16384" width="9" style="124"/>
  </cols>
  <sheetData>
    <row r="1" spans="1:26" ht="24" customHeight="1" x14ac:dyDescent="0.3">
      <c r="A1" s="124">
        <v>13</v>
      </c>
      <c r="U1" s="353" t="s">
        <v>2635</v>
      </c>
    </row>
    <row r="2" spans="1:26" x14ac:dyDescent="0.3">
      <c r="B2" s="140" t="s">
        <v>0</v>
      </c>
      <c r="C2" s="140" t="s">
        <v>1</v>
      </c>
      <c r="D2" s="140" t="s">
        <v>2</v>
      </c>
      <c r="E2" s="128" t="s">
        <v>3</v>
      </c>
      <c r="F2" s="128" t="s">
        <v>2577</v>
      </c>
      <c r="G2" s="128" t="s">
        <v>4</v>
      </c>
      <c r="H2" s="339" t="s">
        <v>5</v>
      </c>
      <c r="I2" s="342" t="s">
        <v>6</v>
      </c>
      <c r="J2" s="128" t="s">
        <v>7</v>
      </c>
      <c r="K2" s="128" t="s">
        <v>8</v>
      </c>
      <c r="L2" s="345" t="s">
        <v>9</v>
      </c>
      <c r="M2" s="128" t="s">
        <v>10</v>
      </c>
      <c r="N2" s="128"/>
      <c r="O2" s="161" t="s">
        <v>11</v>
      </c>
      <c r="P2" s="161" t="s">
        <v>12</v>
      </c>
      <c r="Q2" s="161" t="s">
        <v>13</v>
      </c>
      <c r="R2" s="161" t="s">
        <v>2608</v>
      </c>
      <c r="S2" s="161" t="s">
        <v>14</v>
      </c>
      <c r="T2" s="161"/>
      <c r="U2" s="347" t="s">
        <v>15</v>
      </c>
      <c r="V2" s="347" t="s">
        <v>2587</v>
      </c>
      <c r="W2" s="349" t="s">
        <v>2588</v>
      </c>
      <c r="X2" s="351" t="s">
        <v>2815</v>
      </c>
      <c r="Y2" s="351" t="s">
        <v>2816</v>
      </c>
      <c r="Z2" s="351" t="s">
        <v>2817</v>
      </c>
    </row>
    <row r="3" spans="1:26" x14ac:dyDescent="0.3">
      <c r="B3" s="133" t="s">
        <v>2470</v>
      </c>
      <c r="C3" s="140"/>
      <c r="D3" s="140"/>
      <c r="E3" s="128"/>
      <c r="F3" s="128"/>
      <c r="G3" s="128"/>
      <c r="H3" s="339"/>
      <c r="I3" s="342"/>
      <c r="J3" s="128"/>
      <c r="K3" s="128"/>
      <c r="L3" s="345"/>
      <c r="M3" s="128"/>
      <c r="N3" s="128"/>
      <c r="O3" s="161"/>
      <c r="P3" s="161"/>
      <c r="Q3" s="161"/>
      <c r="R3" s="161"/>
      <c r="S3" s="161"/>
      <c r="T3" s="161"/>
      <c r="U3" s="347"/>
      <c r="V3" s="347"/>
      <c r="W3" s="349"/>
      <c r="X3" s="351"/>
      <c r="Y3" s="351"/>
      <c r="Z3" s="351"/>
    </row>
    <row r="4" spans="1:26" x14ac:dyDescent="0.3">
      <c r="B4" s="140" t="s">
        <v>1203</v>
      </c>
      <c r="C4" s="140"/>
      <c r="D4" s="140"/>
      <c r="E4" s="128"/>
      <c r="F4" s="128"/>
      <c r="G4" s="128"/>
      <c r="H4" s="339"/>
      <c r="I4" s="342"/>
      <c r="J4" s="128"/>
      <c r="K4" s="128"/>
      <c r="L4" s="345"/>
      <c r="M4" s="128"/>
      <c r="N4" s="128"/>
      <c r="O4" s="161"/>
      <c r="P4" s="161"/>
      <c r="Q4" s="161"/>
      <c r="R4" s="161"/>
      <c r="S4" s="161"/>
      <c r="T4" s="161"/>
      <c r="U4" s="347"/>
      <c r="V4" s="347"/>
      <c r="W4" s="349"/>
      <c r="X4" s="351"/>
      <c r="Y4" s="351"/>
      <c r="Z4" s="351"/>
    </row>
    <row r="5" spans="1:26" x14ac:dyDescent="0.3">
      <c r="B5" s="351" t="s">
        <v>16</v>
      </c>
      <c r="D5" s="356"/>
      <c r="E5" s="129"/>
      <c r="F5" s="129"/>
      <c r="G5" s="129"/>
      <c r="H5" s="340"/>
      <c r="I5" s="343"/>
      <c r="J5" s="129"/>
      <c r="K5" s="129"/>
      <c r="L5" s="346"/>
      <c r="M5" s="129"/>
      <c r="N5" s="129"/>
      <c r="O5" s="149"/>
      <c r="P5" s="149"/>
      <c r="Q5" s="149"/>
      <c r="R5" s="149"/>
      <c r="S5" s="149"/>
      <c r="T5" s="149"/>
      <c r="U5" s="348"/>
      <c r="V5" s="348"/>
      <c r="W5" s="350"/>
      <c r="X5" s="134"/>
      <c r="Y5" s="134"/>
      <c r="Z5" s="134"/>
    </row>
    <row r="6" spans="1:26" x14ac:dyDescent="0.3">
      <c r="B6" s="124" t="s">
        <v>2578</v>
      </c>
      <c r="C6" s="131">
        <v>126470</v>
      </c>
      <c r="D6" s="124" t="s">
        <v>2579</v>
      </c>
      <c r="E6" s="129" t="s">
        <v>2580</v>
      </c>
      <c r="F6" s="129" t="s">
        <v>2581</v>
      </c>
      <c r="G6" s="129" t="s">
        <v>2582</v>
      </c>
      <c r="H6" s="340">
        <v>60</v>
      </c>
      <c r="I6" s="343">
        <v>5</v>
      </c>
      <c r="J6" s="129" t="s">
        <v>2583</v>
      </c>
      <c r="K6" s="129" t="s">
        <v>2584</v>
      </c>
      <c r="L6" s="346">
        <v>250</v>
      </c>
      <c r="M6" s="129" t="s">
        <v>2585</v>
      </c>
      <c r="N6" s="129"/>
      <c r="O6" s="149">
        <v>1</v>
      </c>
      <c r="P6" s="149">
        <v>1</v>
      </c>
      <c r="Q6" s="149"/>
      <c r="R6" s="149"/>
      <c r="S6" s="149"/>
      <c r="T6" s="149"/>
      <c r="U6" s="348">
        <v>45</v>
      </c>
      <c r="V6" s="348">
        <v>0.5</v>
      </c>
      <c r="W6" s="350">
        <v>4.5999999999999996</v>
      </c>
      <c r="X6" s="134"/>
      <c r="Y6" s="134"/>
      <c r="Z6" s="134"/>
    </row>
    <row r="7" spans="1:26" x14ac:dyDescent="0.3">
      <c r="B7" s="124" t="s">
        <v>2652</v>
      </c>
      <c r="C7" s="131">
        <v>149000</v>
      </c>
      <c r="D7" s="124" t="s">
        <v>2631</v>
      </c>
      <c r="E7" s="129" t="s">
        <v>2612</v>
      </c>
      <c r="F7" s="129" t="s">
        <v>2581</v>
      </c>
      <c r="G7" s="129" t="s">
        <v>2633</v>
      </c>
      <c r="H7" s="340">
        <v>60</v>
      </c>
      <c r="I7" s="343">
        <v>7</v>
      </c>
      <c r="J7" s="129" t="s">
        <v>2599</v>
      </c>
      <c r="K7" s="129" t="s">
        <v>2653</v>
      </c>
      <c r="L7" s="346">
        <v>250</v>
      </c>
      <c r="M7" s="129" t="s">
        <v>2654</v>
      </c>
      <c r="N7" s="129"/>
      <c r="O7" s="149">
        <v>1</v>
      </c>
      <c r="P7" s="149"/>
      <c r="Q7" s="149">
        <v>1</v>
      </c>
      <c r="R7" s="149"/>
      <c r="S7" s="149"/>
      <c r="T7" s="149"/>
      <c r="U7" s="348">
        <v>18</v>
      </c>
      <c r="V7" s="348">
        <v>0.5</v>
      </c>
      <c r="W7" s="350">
        <v>3.69</v>
      </c>
      <c r="X7" s="134"/>
      <c r="Y7" s="134"/>
      <c r="Z7" s="134" t="s">
        <v>2650</v>
      </c>
    </row>
    <row r="8" spans="1:26" x14ac:dyDescent="0.3">
      <c r="B8" s="124" t="s">
        <v>23</v>
      </c>
      <c r="C8" s="131">
        <v>138400</v>
      </c>
      <c r="D8" s="124" t="s">
        <v>24</v>
      </c>
      <c r="E8" s="129" t="s">
        <v>18</v>
      </c>
      <c r="F8" s="129" t="s">
        <v>2581</v>
      </c>
      <c r="G8" s="129" t="s">
        <v>25</v>
      </c>
      <c r="H8" s="340">
        <v>60</v>
      </c>
      <c r="I8" s="343">
        <v>5</v>
      </c>
      <c r="J8" s="129" t="s">
        <v>20</v>
      </c>
      <c r="K8" s="129" t="s">
        <v>26</v>
      </c>
      <c r="L8" s="346">
        <v>250</v>
      </c>
      <c r="M8" s="129" t="s">
        <v>27</v>
      </c>
      <c r="N8" s="129"/>
      <c r="O8" s="149">
        <v>1</v>
      </c>
      <c r="P8" s="149">
        <v>1</v>
      </c>
      <c r="Q8" s="149"/>
      <c r="R8" s="149"/>
      <c r="S8" s="149"/>
      <c r="T8" s="149"/>
      <c r="U8" s="348" t="s">
        <v>1311</v>
      </c>
      <c r="V8" s="348"/>
      <c r="W8" s="350">
        <v>2.6</v>
      </c>
      <c r="X8" s="134"/>
      <c r="Y8" s="134"/>
      <c r="Z8" s="134"/>
    </row>
    <row r="9" spans="1:26" x14ac:dyDescent="0.3">
      <c r="B9" s="124" t="s">
        <v>28</v>
      </c>
      <c r="C9" s="131">
        <v>160110</v>
      </c>
      <c r="D9" s="124" t="s">
        <v>24</v>
      </c>
      <c r="E9" s="129" t="s">
        <v>18</v>
      </c>
      <c r="F9" s="129" t="s">
        <v>2581</v>
      </c>
      <c r="G9" s="129" t="s">
        <v>29</v>
      </c>
      <c r="H9" s="340">
        <v>60</v>
      </c>
      <c r="I9" s="343">
        <v>5</v>
      </c>
      <c r="J9" s="129" t="s">
        <v>20</v>
      </c>
      <c r="K9" s="129" t="s">
        <v>26</v>
      </c>
      <c r="L9" s="346">
        <v>250</v>
      </c>
      <c r="M9" s="129"/>
      <c r="N9" s="129"/>
      <c r="O9" s="149">
        <v>1</v>
      </c>
      <c r="P9" s="149"/>
      <c r="Q9" s="149">
        <v>1</v>
      </c>
      <c r="R9" s="149"/>
      <c r="S9" s="149"/>
      <c r="T9" s="149"/>
      <c r="U9" s="348">
        <v>24</v>
      </c>
      <c r="V9" s="348">
        <v>0.3</v>
      </c>
      <c r="W9" s="350">
        <v>2.7</v>
      </c>
      <c r="X9" s="134"/>
      <c r="Y9" s="134"/>
      <c r="Z9" s="134" t="s">
        <v>2650</v>
      </c>
    </row>
    <row r="10" spans="1:26" x14ac:dyDescent="0.3">
      <c r="B10" s="124" t="s">
        <v>2746</v>
      </c>
      <c r="C10" s="131">
        <v>150400</v>
      </c>
      <c r="D10" s="124" t="s">
        <v>24</v>
      </c>
      <c r="E10" s="129" t="s">
        <v>18</v>
      </c>
      <c r="F10" s="129" t="s">
        <v>2581</v>
      </c>
      <c r="G10" s="129" t="s">
        <v>2633</v>
      </c>
      <c r="H10" s="340">
        <v>60</v>
      </c>
      <c r="I10" s="343">
        <v>5</v>
      </c>
      <c r="J10" s="129" t="s">
        <v>2660</v>
      </c>
      <c r="K10" s="129" t="s">
        <v>2747</v>
      </c>
      <c r="L10" s="346">
        <v>250</v>
      </c>
      <c r="M10" s="129"/>
      <c r="N10" s="129"/>
      <c r="O10" s="149">
        <v>1</v>
      </c>
      <c r="P10" s="149">
        <v>1</v>
      </c>
      <c r="Q10" s="149">
        <v>1</v>
      </c>
      <c r="R10" s="149"/>
      <c r="S10" s="149"/>
      <c r="T10" s="149"/>
      <c r="U10" s="348">
        <v>24</v>
      </c>
      <c r="V10" s="348">
        <v>0.3</v>
      </c>
      <c r="W10" s="350">
        <v>2.9</v>
      </c>
      <c r="X10" s="134"/>
      <c r="Y10" s="134"/>
      <c r="Z10" s="134" t="s">
        <v>2650</v>
      </c>
    </row>
    <row r="11" spans="1:26" x14ac:dyDescent="0.3">
      <c r="B11" s="124" t="s">
        <v>32</v>
      </c>
      <c r="C11" s="131">
        <v>145200</v>
      </c>
      <c r="D11" s="124" t="s">
        <v>30</v>
      </c>
      <c r="E11" s="129" t="s">
        <v>18</v>
      </c>
      <c r="F11" s="129" t="s">
        <v>2581</v>
      </c>
      <c r="G11" s="129" t="s">
        <v>33</v>
      </c>
      <c r="H11" s="340">
        <v>60</v>
      </c>
      <c r="I11" s="343">
        <v>4</v>
      </c>
      <c r="J11" s="129" t="s">
        <v>20</v>
      </c>
      <c r="K11" s="129" t="s">
        <v>31</v>
      </c>
      <c r="L11" s="346">
        <v>250</v>
      </c>
      <c r="M11" s="129"/>
      <c r="N11" s="129"/>
      <c r="O11" s="149">
        <v>1</v>
      </c>
      <c r="P11" s="149"/>
      <c r="Q11" s="149">
        <v>1</v>
      </c>
      <c r="R11" s="149"/>
      <c r="S11" s="149"/>
      <c r="T11" s="149"/>
      <c r="U11" s="348">
        <v>21</v>
      </c>
      <c r="V11" s="348">
        <v>0.3</v>
      </c>
      <c r="W11" s="350">
        <v>3.55</v>
      </c>
      <c r="X11" s="134"/>
      <c r="Y11" s="134"/>
      <c r="Z11" s="134" t="s">
        <v>2650</v>
      </c>
    </row>
    <row r="12" spans="1:26" x14ac:dyDescent="0.3">
      <c r="B12" s="124" t="s">
        <v>2749</v>
      </c>
      <c r="C12" s="131">
        <v>139000</v>
      </c>
      <c r="D12" s="124" t="s">
        <v>30</v>
      </c>
      <c r="E12" s="129" t="s">
        <v>18</v>
      </c>
      <c r="F12" s="129" t="s">
        <v>2581</v>
      </c>
      <c r="G12" s="129" t="s">
        <v>2750</v>
      </c>
      <c r="H12" s="340">
        <v>60</v>
      </c>
      <c r="I12" s="343">
        <v>5</v>
      </c>
      <c r="J12" s="129" t="s">
        <v>2660</v>
      </c>
      <c r="K12" s="129" t="s">
        <v>2751</v>
      </c>
      <c r="L12" s="346">
        <v>200</v>
      </c>
      <c r="M12" s="129" t="s">
        <v>2596</v>
      </c>
      <c r="N12" s="129"/>
      <c r="O12" s="149">
        <v>1</v>
      </c>
      <c r="P12" s="149"/>
      <c r="Q12" s="149">
        <v>1</v>
      </c>
      <c r="R12" s="149"/>
      <c r="S12" s="149"/>
      <c r="T12" s="149"/>
      <c r="U12" s="348">
        <v>25</v>
      </c>
      <c r="V12" s="348">
        <v>0.3</v>
      </c>
      <c r="W12" s="350">
        <v>2.8</v>
      </c>
      <c r="X12" s="134"/>
      <c r="Y12" s="134"/>
      <c r="Z12" s="134" t="s">
        <v>2650</v>
      </c>
    </row>
    <row r="13" spans="1:26" x14ac:dyDescent="0.3">
      <c r="B13" s="124" t="s">
        <v>34</v>
      </c>
      <c r="C13" s="131">
        <v>117000</v>
      </c>
      <c r="D13" s="124" t="s">
        <v>35</v>
      </c>
      <c r="E13" s="129" t="s">
        <v>18</v>
      </c>
      <c r="F13" s="129" t="s">
        <v>2581</v>
      </c>
      <c r="G13" s="129" t="s">
        <v>36</v>
      </c>
      <c r="H13" s="340">
        <v>60</v>
      </c>
      <c r="I13" s="343">
        <v>5</v>
      </c>
      <c r="J13" s="129" t="s">
        <v>20</v>
      </c>
      <c r="K13" s="129" t="s">
        <v>37</v>
      </c>
      <c r="L13" s="346">
        <v>250</v>
      </c>
      <c r="M13" s="129"/>
      <c r="N13" s="129"/>
      <c r="O13" s="149">
        <v>1</v>
      </c>
      <c r="P13" s="149">
        <v>1</v>
      </c>
      <c r="Q13" s="149"/>
      <c r="R13" s="149"/>
      <c r="S13" s="149"/>
      <c r="T13" s="149"/>
      <c r="U13" s="348">
        <v>22</v>
      </c>
      <c r="V13" s="348">
        <v>0.2</v>
      </c>
      <c r="W13" s="350"/>
      <c r="X13" s="134"/>
      <c r="Y13" s="134"/>
      <c r="Z13" s="134" t="s">
        <v>2650</v>
      </c>
    </row>
    <row r="14" spans="1:26" x14ac:dyDescent="0.3">
      <c r="B14" s="124" t="s">
        <v>2692</v>
      </c>
      <c r="C14" s="131">
        <v>108000</v>
      </c>
      <c r="D14" s="124" t="s">
        <v>35</v>
      </c>
      <c r="E14" s="129" t="s">
        <v>18</v>
      </c>
      <c r="F14" s="129" t="s">
        <v>2581</v>
      </c>
      <c r="G14" s="129" t="s">
        <v>2697</v>
      </c>
      <c r="H14" s="340">
        <v>60</v>
      </c>
      <c r="I14" s="343">
        <v>5</v>
      </c>
      <c r="J14" s="129" t="s">
        <v>2698</v>
      </c>
      <c r="K14" s="129" t="s">
        <v>2699</v>
      </c>
      <c r="L14" s="346">
        <v>250</v>
      </c>
      <c r="M14" s="129"/>
      <c r="N14" s="129"/>
      <c r="O14" s="149">
        <v>1</v>
      </c>
      <c r="P14" s="149"/>
      <c r="Q14" s="149">
        <v>1</v>
      </c>
      <c r="R14" s="149"/>
      <c r="S14" s="149"/>
      <c r="T14" s="149"/>
      <c r="U14" s="348">
        <v>25</v>
      </c>
      <c r="V14" s="348">
        <v>0.5</v>
      </c>
      <c r="W14" s="350">
        <v>2.5</v>
      </c>
      <c r="X14" s="134"/>
      <c r="Y14" s="134"/>
      <c r="Z14" s="134" t="s">
        <v>2650</v>
      </c>
    </row>
    <row r="15" spans="1:26" x14ac:dyDescent="0.3">
      <c r="B15" s="124" t="s">
        <v>40</v>
      </c>
      <c r="C15" s="131">
        <v>135470</v>
      </c>
      <c r="D15" s="124" t="s">
        <v>35</v>
      </c>
      <c r="E15" s="129" t="s">
        <v>18</v>
      </c>
      <c r="F15" s="129" t="s">
        <v>2581</v>
      </c>
      <c r="G15" s="129" t="s">
        <v>29</v>
      </c>
      <c r="H15" s="340">
        <v>60</v>
      </c>
      <c r="I15" s="343">
        <v>5</v>
      </c>
      <c r="J15" s="129" t="s">
        <v>20</v>
      </c>
      <c r="K15" s="129" t="s">
        <v>37</v>
      </c>
      <c r="L15" s="346">
        <v>250</v>
      </c>
      <c r="M15" s="129"/>
      <c r="N15" s="129"/>
      <c r="O15" s="149">
        <v>1</v>
      </c>
      <c r="P15" s="149">
        <v>1</v>
      </c>
      <c r="Q15" s="149"/>
      <c r="R15" s="149"/>
      <c r="S15" s="149"/>
      <c r="T15" s="149"/>
      <c r="U15" s="348">
        <v>22</v>
      </c>
      <c r="V15" s="348">
        <v>0.3</v>
      </c>
      <c r="W15" s="350">
        <v>3.45</v>
      </c>
      <c r="X15" s="134"/>
      <c r="Y15" s="134"/>
      <c r="Z15" s="134" t="s">
        <v>2650</v>
      </c>
    </row>
    <row r="16" spans="1:26" x14ac:dyDescent="0.3">
      <c r="B16" s="124" t="s">
        <v>38</v>
      </c>
      <c r="C16" s="131">
        <v>129000</v>
      </c>
      <c r="D16" s="124" t="s">
        <v>35</v>
      </c>
      <c r="E16" s="129" t="s">
        <v>18</v>
      </c>
      <c r="F16" s="129" t="s">
        <v>2581</v>
      </c>
      <c r="G16" s="129" t="s">
        <v>36</v>
      </c>
      <c r="H16" s="340">
        <v>60</v>
      </c>
      <c r="I16" s="343">
        <v>6</v>
      </c>
      <c r="J16" s="129" t="s">
        <v>20</v>
      </c>
      <c r="K16" s="129" t="s">
        <v>39</v>
      </c>
      <c r="L16" s="346">
        <v>250</v>
      </c>
      <c r="M16" s="129"/>
      <c r="N16" s="129"/>
      <c r="O16" s="149">
        <v>1</v>
      </c>
      <c r="P16" s="149">
        <v>1</v>
      </c>
      <c r="Q16" s="149"/>
      <c r="R16" s="149"/>
      <c r="S16" s="149"/>
      <c r="T16" s="149"/>
      <c r="U16" s="348">
        <v>25</v>
      </c>
      <c r="V16" s="348">
        <v>0.5</v>
      </c>
      <c r="W16" s="350">
        <v>3.16</v>
      </c>
      <c r="X16" s="134"/>
      <c r="Y16" s="134"/>
      <c r="Z16" s="134" t="s">
        <v>2650</v>
      </c>
    </row>
    <row r="17" spans="2:26" x14ac:dyDescent="0.3">
      <c r="B17" s="124" t="s">
        <v>2693</v>
      </c>
      <c r="C17" s="131">
        <v>148000</v>
      </c>
      <c r="D17" s="124" t="s">
        <v>35</v>
      </c>
      <c r="E17" s="129" t="s">
        <v>18</v>
      </c>
      <c r="F17" s="129" t="s">
        <v>2581</v>
      </c>
      <c r="G17" s="129" t="s">
        <v>2700</v>
      </c>
      <c r="H17" s="340">
        <v>60</v>
      </c>
      <c r="I17" s="343">
        <v>5</v>
      </c>
      <c r="J17" s="129" t="s">
        <v>2599</v>
      </c>
      <c r="K17" s="129" t="s">
        <v>2689</v>
      </c>
      <c r="L17" s="346">
        <v>250</v>
      </c>
      <c r="M17" s="129"/>
      <c r="N17" s="129"/>
      <c r="O17" s="149">
        <v>1</v>
      </c>
      <c r="P17" s="149"/>
      <c r="Q17" s="149">
        <v>1</v>
      </c>
      <c r="R17" s="149"/>
      <c r="S17" s="149"/>
      <c r="T17" s="149"/>
      <c r="U17" s="348">
        <v>22</v>
      </c>
      <c r="V17" s="348">
        <v>0.5</v>
      </c>
      <c r="W17" s="350">
        <v>2.65</v>
      </c>
      <c r="X17" s="134"/>
      <c r="Y17" s="134"/>
      <c r="Z17" s="134" t="s">
        <v>2650</v>
      </c>
    </row>
    <row r="18" spans="2:26" x14ac:dyDescent="0.3">
      <c r="B18" s="124" t="s">
        <v>2691</v>
      </c>
      <c r="C18" s="131">
        <v>102900</v>
      </c>
      <c r="D18" s="124" t="s">
        <v>35</v>
      </c>
      <c r="E18" s="129" t="s">
        <v>18</v>
      </c>
      <c r="F18" s="129" t="s">
        <v>2581</v>
      </c>
      <c r="G18" s="129" t="s">
        <v>2694</v>
      </c>
      <c r="H18" s="340">
        <v>60</v>
      </c>
      <c r="I18" s="343">
        <v>5</v>
      </c>
      <c r="J18" s="129" t="s">
        <v>2695</v>
      </c>
      <c r="K18" s="129" t="s">
        <v>2696</v>
      </c>
      <c r="L18" s="346">
        <v>250</v>
      </c>
      <c r="M18" s="129"/>
      <c r="N18" s="129"/>
      <c r="O18" s="149">
        <v>1</v>
      </c>
      <c r="P18" s="149">
        <v>1</v>
      </c>
      <c r="Q18" s="149"/>
      <c r="R18" s="149"/>
      <c r="S18" s="149"/>
      <c r="T18" s="149"/>
      <c r="U18" s="348">
        <v>18</v>
      </c>
      <c r="V18" s="348">
        <v>0.3</v>
      </c>
      <c r="W18" s="350">
        <v>2.5</v>
      </c>
      <c r="X18" s="134"/>
      <c r="Y18" s="134"/>
      <c r="Z18" s="134" t="s">
        <v>2650</v>
      </c>
    </row>
    <row r="19" spans="2:26" x14ac:dyDescent="0.3">
      <c r="B19" s="124" t="s">
        <v>919</v>
      </c>
      <c r="C19" s="131"/>
      <c r="E19" s="129"/>
      <c r="F19" s="129"/>
      <c r="G19" s="129"/>
      <c r="H19" s="340" t="s">
        <v>1311</v>
      </c>
      <c r="I19" s="343" t="s">
        <v>1311</v>
      </c>
      <c r="J19" s="129"/>
      <c r="K19" s="129"/>
      <c r="L19" s="346" t="s">
        <v>1311</v>
      </c>
      <c r="M19" s="129"/>
      <c r="N19" s="129"/>
      <c r="O19" s="149"/>
      <c r="P19" s="149"/>
      <c r="Q19" s="149"/>
      <c r="R19" s="149"/>
      <c r="S19" s="149"/>
      <c r="T19" s="149"/>
      <c r="U19" s="348" t="s">
        <v>1311</v>
      </c>
      <c r="V19" s="348"/>
      <c r="W19" s="350"/>
      <c r="X19" s="134"/>
      <c r="Y19" s="134"/>
      <c r="Z19" s="134"/>
    </row>
    <row r="20" spans="2:26" x14ac:dyDescent="0.3">
      <c r="B20" s="351" t="s">
        <v>41</v>
      </c>
      <c r="C20" s="131"/>
      <c r="E20" s="129"/>
      <c r="F20" s="129"/>
      <c r="G20" s="129"/>
      <c r="H20" s="340" t="s">
        <v>1311</v>
      </c>
      <c r="I20" s="343" t="s">
        <v>1311</v>
      </c>
      <c r="J20" s="129"/>
      <c r="K20" s="129"/>
      <c r="L20" s="346" t="s">
        <v>1311</v>
      </c>
      <c r="M20" s="129"/>
      <c r="N20" s="129"/>
      <c r="O20" s="149"/>
      <c r="P20" s="149"/>
      <c r="Q20" s="149"/>
      <c r="R20" s="149"/>
      <c r="S20" s="149"/>
      <c r="T20" s="149"/>
      <c r="U20" s="348" t="s">
        <v>1311</v>
      </c>
      <c r="V20" s="348"/>
      <c r="W20" s="350"/>
      <c r="X20" s="134"/>
      <c r="Y20" s="134"/>
      <c r="Z20" s="134"/>
    </row>
    <row r="21" spans="2:26" x14ac:dyDescent="0.3">
      <c r="B21" s="148" t="s">
        <v>45</v>
      </c>
      <c r="C21" s="131">
        <v>134550</v>
      </c>
      <c r="D21" s="124" t="s">
        <v>46</v>
      </c>
      <c r="E21" s="129" t="s">
        <v>18</v>
      </c>
      <c r="F21" s="129" t="s">
        <v>2586</v>
      </c>
      <c r="G21" s="129" t="s">
        <v>29</v>
      </c>
      <c r="H21" s="340">
        <v>60</v>
      </c>
      <c r="I21" s="343">
        <v>5</v>
      </c>
      <c r="J21" s="129" t="s">
        <v>20</v>
      </c>
      <c r="K21" s="129" t="s">
        <v>37</v>
      </c>
      <c r="L21" s="346">
        <v>250</v>
      </c>
      <c r="M21" s="129"/>
      <c r="N21" s="129"/>
      <c r="O21" s="149">
        <v>1</v>
      </c>
      <c r="P21" s="149">
        <v>1</v>
      </c>
      <c r="Q21" s="149">
        <v>1</v>
      </c>
      <c r="R21" s="149"/>
      <c r="S21" s="149"/>
      <c r="T21" s="149"/>
      <c r="U21" s="348">
        <v>35</v>
      </c>
      <c r="V21" s="348">
        <v>0.5</v>
      </c>
      <c r="W21" s="350">
        <v>4</v>
      </c>
      <c r="X21" s="134"/>
      <c r="Y21" s="134"/>
      <c r="Z21" s="134" t="s">
        <v>2650</v>
      </c>
    </row>
    <row r="22" spans="2:26" x14ac:dyDescent="0.3">
      <c r="B22" s="148" t="s">
        <v>47</v>
      </c>
      <c r="C22" s="131">
        <v>198900</v>
      </c>
      <c r="D22" s="124" t="s">
        <v>17</v>
      </c>
      <c r="E22" s="129" t="s">
        <v>18</v>
      </c>
      <c r="F22" s="129" t="s">
        <v>2586</v>
      </c>
      <c r="G22" s="129" t="s">
        <v>19</v>
      </c>
      <c r="H22" s="340">
        <v>60</v>
      </c>
      <c r="I22" s="343">
        <v>8</v>
      </c>
      <c r="J22" s="129" t="s">
        <v>20</v>
      </c>
      <c r="K22" s="129" t="s">
        <v>48</v>
      </c>
      <c r="L22" s="346">
        <v>250</v>
      </c>
      <c r="M22" s="129"/>
      <c r="N22" s="129"/>
      <c r="O22" s="149">
        <v>1</v>
      </c>
      <c r="P22" s="149">
        <v>1</v>
      </c>
      <c r="Q22" s="149"/>
      <c r="R22" s="149"/>
      <c r="S22" s="149">
        <v>1</v>
      </c>
      <c r="T22" s="149"/>
      <c r="U22" s="348">
        <v>20</v>
      </c>
      <c r="V22" s="348">
        <v>0.3</v>
      </c>
      <c r="W22" s="350"/>
      <c r="X22" s="134"/>
      <c r="Y22" s="134"/>
      <c r="Z22" s="134" t="s">
        <v>2650</v>
      </c>
    </row>
    <row r="23" spans="2:26" x14ac:dyDescent="0.3">
      <c r="B23" s="124" t="s">
        <v>2655</v>
      </c>
      <c r="C23" s="131">
        <v>176000</v>
      </c>
      <c r="D23" s="124" t="s">
        <v>17</v>
      </c>
      <c r="E23" s="129" t="s">
        <v>18</v>
      </c>
      <c r="F23" s="129" t="s">
        <v>2586</v>
      </c>
      <c r="G23" s="129" t="s">
        <v>19</v>
      </c>
      <c r="H23" s="340">
        <v>60</v>
      </c>
      <c r="I23" s="343">
        <v>6</v>
      </c>
      <c r="J23" s="129" t="s">
        <v>20</v>
      </c>
      <c r="K23" s="129" t="s">
        <v>21</v>
      </c>
      <c r="L23" s="346">
        <v>250</v>
      </c>
      <c r="M23" s="129"/>
      <c r="N23" s="129"/>
      <c r="O23" s="149">
        <v>1</v>
      </c>
      <c r="P23" s="149"/>
      <c r="Q23" s="149">
        <v>1</v>
      </c>
      <c r="R23" s="149"/>
      <c r="S23" s="149"/>
      <c r="T23" s="149"/>
      <c r="U23" s="348">
        <v>23</v>
      </c>
      <c r="V23" s="348">
        <v>0.3</v>
      </c>
      <c r="W23" s="350"/>
      <c r="X23" s="134"/>
      <c r="Y23" s="134"/>
      <c r="Z23" s="134" t="s">
        <v>2650</v>
      </c>
    </row>
    <row r="24" spans="2:26" x14ac:dyDescent="0.3">
      <c r="B24" s="124" t="s">
        <v>51</v>
      </c>
      <c r="C24" s="131">
        <v>395100</v>
      </c>
      <c r="D24" s="124" t="s">
        <v>2611</v>
      </c>
      <c r="E24" s="129" t="s">
        <v>18</v>
      </c>
      <c r="F24" s="129" t="s">
        <v>2586</v>
      </c>
      <c r="G24" s="129" t="s">
        <v>19</v>
      </c>
      <c r="H24" s="340">
        <v>60</v>
      </c>
      <c r="I24" s="343">
        <v>5</v>
      </c>
      <c r="J24" s="129" t="s">
        <v>20</v>
      </c>
      <c r="K24" s="129" t="s">
        <v>26</v>
      </c>
      <c r="L24" s="346">
        <v>250</v>
      </c>
      <c r="M24" s="129"/>
      <c r="N24" s="129"/>
      <c r="O24" s="149">
        <v>1</v>
      </c>
      <c r="P24" s="149"/>
      <c r="Q24" s="149">
        <v>1</v>
      </c>
      <c r="R24" s="149"/>
      <c r="S24" s="149"/>
      <c r="T24" s="149"/>
      <c r="U24" s="348">
        <v>25</v>
      </c>
      <c r="V24" s="348">
        <v>0.3</v>
      </c>
      <c r="W24" s="350">
        <v>4.4000000000000004</v>
      </c>
      <c r="X24" s="134"/>
      <c r="Y24" s="134"/>
      <c r="Z24" s="134" t="s">
        <v>2650</v>
      </c>
    </row>
    <row r="25" spans="2:26" x14ac:dyDescent="0.3">
      <c r="B25" s="124" t="s">
        <v>49</v>
      </c>
      <c r="C25" s="131">
        <v>148760</v>
      </c>
      <c r="D25" s="124" t="s">
        <v>24</v>
      </c>
      <c r="E25" s="129" t="s">
        <v>18</v>
      </c>
      <c r="F25" s="129" t="s">
        <v>2586</v>
      </c>
      <c r="G25" s="129" t="s">
        <v>25</v>
      </c>
      <c r="H25" s="340">
        <v>60</v>
      </c>
      <c r="I25" s="343">
        <v>5</v>
      </c>
      <c r="J25" s="129" t="s">
        <v>20</v>
      </c>
      <c r="K25" s="129" t="s">
        <v>26</v>
      </c>
      <c r="L25" s="346">
        <v>250</v>
      </c>
      <c r="M25" s="129"/>
      <c r="N25" s="129"/>
      <c r="O25" s="149">
        <v>1</v>
      </c>
      <c r="P25" s="149">
        <v>1</v>
      </c>
      <c r="Q25" s="149"/>
      <c r="R25" s="149"/>
      <c r="S25" s="149"/>
      <c r="T25" s="149"/>
      <c r="U25" s="348">
        <v>20</v>
      </c>
      <c r="V25" s="348">
        <v>0.3</v>
      </c>
      <c r="W25" s="350">
        <v>2.2000000000000002</v>
      </c>
      <c r="X25" s="134"/>
      <c r="Y25" s="134"/>
      <c r="Z25" s="134" t="s">
        <v>2650</v>
      </c>
    </row>
    <row r="26" spans="2:26" x14ac:dyDescent="0.3">
      <c r="B26" s="124" t="s">
        <v>2748</v>
      </c>
      <c r="C26" s="131">
        <v>152900</v>
      </c>
      <c r="D26" s="124" t="s">
        <v>24</v>
      </c>
      <c r="E26" s="129" t="s">
        <v>2612</v>
      </c>
      <c r="F26" s="129" t="s">
        <v>2586</v>
      </c>
      <c r="G26" s="129" t="s">
        <v>2646</v>
      </c>
      <c r="H26" s="340">
        <v>60</v>
      </c>
      <c r="I26" s="343">
        <v>5</v>
      </c>
      <c r="J26" s="129" t="s">
        <v>2660</v>
      </c>
      <c r="K26" s="129" t="s">
        <v>2662</v>
      </c>
      <c r="L26" s="346">
        <v>250</v>
      </c>
      <c r="M26" s="129"/>
      <c r="N26" s="129"/>
      <c r="O26" s="149">
        <v>1</v>
      </c>
      <c r="P26" s="149"/>
      <c r="Q26" s="149">
        <v>1</v>
      </c>
      <c r="R26" s="149"/>
      <c r="S26" s="149"/>
      <c r="T26" s="149"/>
      <c r="U26" s="348">
        <v>25</v>
      </c>
      <c r="V26" s="348">
        <v>0.3</v>
      </c>
      <c r="W26" s="350">
        <v>3</v>
      </c>
      <c r="X26" s="134"/>
      <c r="Y26" s="134"/>
      <c r="Z26" s="134" t="s">
        <v>2650</v>
      </c>
    </row>
    <row r="27" spans="2:26" x14ac:dyDescent="0.3">
      <c r="B27" s="124" t="s">
        <v>50</v>
      </c>
      <c r="C27" s="131">
        <v>165000</v>
      </c>
      <c r="D27" s="124" t="s">
        <v>24</v>
      </c>
      <c r="E27" s="129" t="s">
        <v>18</v>
      </c>
      <c r="F27" s="129" t="s">
        <v>2586</v>
      </c>
      <c r="G27" s="129" t="s">
        <v>29</v>
      </c>
      <c r="H27" s="340">
        <v>60</v>
      </c>
      <c r="I27" s="343">
        <v>5</v>
      </c>
      <c r="J27" s="129" t="s">
        <v>20</v>
      </c>
      <c r="K27" s="129" t="s">
        <v>26</v>
      </c>
      <c r="L27" s="346">
        <v>250</v>
      </c>
      <c r="M27" s="129"/>
      <c r="N27" s="129"/>
      <c r="O27" s="149">
        <v>1</v>
      </c>
      <c r="P27" s="149"/>
      <c r="Q27" s="149">
        <v>1</v>
      </c>
      <c r="R27" s="149"/>
      <c r="S27" s="149"/>
      <c r="T27" s="149"/>
      <c r="U27" s="348">
        <v>25</v>
      </c>
      <c r="V27" s="348">
        <v>0.3</v>
      </c>
      <c r="W27" s="350">
        <v>3.1</v>
      </c>
      <c r="X27" s="134"/>
      <c r="Y27" s="134"/>
      <c r="Z27" s="134" t="s">
        <v>2650</v>
      </c>
    </row>
    <row r="28" spans="2:26" x14ac:dyDescent="0.3">
      <c r="B28" s="124" t="s">
        <v>53</v>
      </c>
      <c r="C28" s="131">
        <v>162000</v>
      </c>
      <c r="D28" s="124" t="s">
        <v>30</v>
      </c>
      <c r="E28" s="129" t="s">
        <v>18</v>
      </c>
      <c r="F28" s="129" t="s">
        <v>2586</v>
      </c>
      <c r="G28" s="129" t="s">
        <v>25</v>
      </c>
      <c r="H28" s="340">
        <v>60</v>
      </c>
      <c r="I28" s="343">
        <v>5</v>
      </c>
      <c r="J28" s="129" t="s">
        <v>20</v>
      </c>
      <c r="K28" s="129" t="s">
        <v>31</v>
      </c>
      <c r="L28" s="346">
        <v>250</v>
      </c>
      <c r="M28" s="129"/>
      <c r="N28" s="129"/>
      <c r="O28" s="149">
        <v>1</v>
      </c>
      <c r="P28" s="149"/>
      <c r="Q28" s="149">
        <v>1</v>
      </c>
      <c r="R28" s="149"/>
      <c r="S28" s="149"/>
      <c r="T28" s="149"/>
      <c r="U28" s="348">
        <v>30</v>
      </c>
      <c r="V28" s="348">
        <v>0.3</v>
      </c>
      <c r="W28" s="350">
        <v>3.5</v>
      </c>
      <c r="X28" s="134"/>
      <c r="Y28" s="134"/>
      <c r="Z28" s="134" t="s">
        <v>2650</v>
      </c>
    </row>
    <row r="29" spans="2:26" x14ac:dyDescent="0.3">
      <c r="B29" s="124" t="s">
        <v>55</v>
      </c>
      <c r="C29" s="131">
        <v>154580</v>
      </c>
      <c r="D29" s="124" t="s">
        <v>35</v>
      </c>
      <c r="E29" s="129" t="s">
        <v>18</v>
      </c>
      <c r="F29" s="129" t="s">
        <v>2586</v>
      </c>
      <c r="G29" s="129" t="s">
        <v>29</v>
      </c>
      <c r="H29" s="340">
        <v>60</v>
      </c>
      <c r="I29" s="343">
        <v>5</v>
      </c>
      <c r="J29" s="129" t="s">
        <v>20</v>
      </c>
      <c r="K29" s="129" t="s">
        <v>39</v>
      </c>
      <c r="L29" s="346">
        <v>250</v>
      </c>
      <c r="M29" s="129" t="s">
        <v>27</v>
      </c>
      <c r="N29" s="129"/>
      <c r="O29" s="149">
        <v>1</v>
      </c>
      <c r="P29" s="149"/>
      <c r="Q29" s="149">
        <v>2</v>
      </c>
      <c r="R29" s="149"/>
      <c r="S29" s="149"/>
      <c r="T29" s="149"/>
      <c r="U29" s="348">
        <v>30</v>
      </c>
      <c r="V29" s="348">
        <v>0.5</v>
      </c>
      <c r="W29" s="350">
        <v>3.75</v>
      </c>
      <c r="X29" s="134"/>
      <c r="Y29" s="134"/>
      <c r="Z29" s="134" t="s">
        <v>2650</v>
      </c>
    </row>
    <row r="30" spans="2:26" x14ac:dyDescent="0.3">
      <c r="B30" s="124" t="s">
        <v>2701</v>
      </c>
      <c r="C30" s="131">
        <v>167000</v>
      </c>
      <c r="D30" s="124" t="s">
        <v>35</v>
      </c>
      <c r="E30" s="129" t="s">
        <v>18</v>
      </c>
      <c r="F30" s="129" t="s">
        <v>2586</v>
      </c>
      <c r="G30" s="129" t="s">
        <v>29</v>
      </c>
      <c r="H30" s="340">
        <v>60</v>
      </c>
      <c r="I30" s="343">
        <v>5</v>
      </c>
      <c r="J30" s="129" t="s">
        <v>20</v>
      </c>
      <c r="K30" s="129" t="s">
        <v>2702</v>
      </c>
      <c r="L30" s="346">
        <v>250</v>
      </c>
      <c r="M30" s="129"/>
      <c r="N30" s="129"/>
      <c r="O30" s="149">
        <v>1</v>
      </c>
      <c r="P30" s="149"/>
      <c r="Q30" s="149">
        <v>1</v>
      </c>
      <c r="R30" s="149"/>
      <c r="S30" s="149"/>
      <c r="T30" s="149"/>
      <c r="U30" s="348">
        <v>28</v>
      </c>
      <c r="V30" s="348">
        <v>0.5</v>
      </c>
      <c r="W30" s="350">
        <v>4.8899999999999997</v>
      </c>
      <c r="X30" s="134"/>
      <c r="Y30" s="134"/>
      <c r="Z30" s="134" t="s">
        <v>2650</v>
      </c>
    </row>
    <row r="31" spans="2:26" x14ac:dyDescent="0.3">
      <c r="B31" s="124" t="s">
        <v>54</v>
      </c>
      <c r="C31" s="131">
        <v>138000</v>
      </c>
      <c r="D31" s="124" t="s">
        <v>35</v>
      </c>
      <c r="E31" s="129" t="s">
        <v>18</v>
      </c>
      <c r="F31" s="129" t="s">
        <v>2586</v>
      </c>
      <c r="G31" s="129" t="s">
        <v>29</v>
      </c>
      <c r="H31" s="340">
        <v>60</v>
      </c>
      <c r="I31" s="343">
        <v>5</v>
      </c>
      <c r="J31" s="129" t="s">
        <v>20</v>
      </c>
      <c r="K31" s="129" t="s">
        <v>26</v>
      </c>
      <c r="L31" s="346">
        <v>250</v>
      </c>
      <c r="M31" s="129" t="s">
        <v>27</v>
      </c>
      <c r="N31" s="129"/>
      <c r="O31" s="149">
        <v>1</v>
      </c>
      <c r="P31" s="149">
        <v>1</v>
      </c>
      <c r="Q31" s="149">
        <v>1</v>
      </c>
      <c r="R31" s="149"/>
      <c r="S31" s="149"/>
      <c r="T31" s="149"/>
      <c r="U31" s="348">
        <v>23</v>
      </c>
      <c r="V31" s="348">
        <v>0.3</v>
      </c>
      <c r="W31" s="350"/>
      <c r="X31" s="134"/>
      <c r="Y31" s="134"/>
      <c r="Z31" s="134" t="s">
        <v>2650</v>
      </c>
    </row>
    <row r="32" spans="2:26" x14ac:dyDescent="0.3">
      <c r="B32" s="124" t="s">
        <v>919</v>
      </c>
      <c r="C32" s="131"/>
      <c r="E32" s="129"/>
      <c r="F32" s="129"/>
      <c r="G32" s="129"/>
      <c r="H32" s="340" t="s">
        <v>1311</v>
      </c>
      <c r="I32" s="343" t="s">
        <v>1311</v>
      </c>
      <c r="J32" s="129"/>
      <c r="K32" s="129"/>
      <c r="L32" s="346" t="s">
        <v>1311</v>
      </c>
      <c r="M32" s="129"/>
      <c r="N32" s="129"/>
      <c r="O32" s="149"/>
      <c r="P32" s="149"/>
      <c r="Q32" s="149"/>
      <c r="R32" s="149"/>
      <c r="S32" s="149"/>
      <c r="T32" s="149"/>
      <c r="U32" s="348" t="s">
        <v>1311</v>
      </c>
      <c r="V32" s="348"/>
      <c r="W32" s="350"/>
      <c r="X32" s="134"/>
      <c r="Y32" s="134"/>
      <c r="Z32" s="134"/>
    </row>
    <row r="33" spans="2:26" x14ac:dyDescent="0.3">
      <c r="B33" s="351" t="s">
        <v>56</v>
      </c>
      <c r="C33" s="131"/>
      <c r="E33" s="129"/>
      <c r="F33" s="129"/>
      <c r="G33" s="129"/>
      <c r="H33" s="340" t="s">
        <v>1311</v>
      </c>
      <c r="I33" s="343" t="s">
        <v>1311</v>
      </c>
      <c r="J33" s="129"/>
      <c r="K33" s="129"/>
      <c r="L33" s="346" t="s">
        <v>1311</v>
      </c>
      <c r="M33" s="129"/>
      <c r="N33" s="129"/>
      <c r="O33" s="149"/>
      <c r="P33" s="149"/>
      <c r="Q33" s="149"/>
      <c r="R33" s="149"/>
      <c r="S33" s="149"/>
      <c r="T33" s="149"/>
      <c r="U33" s="348" t="s">
        <v>1311</v>
      </c>
      <c r="V33" s="348"/>
      <c r="W33" s="350"/>
      <c r="X33" s="134"/>
      <c r="Y33" s="134"/>
      <c r="Z33" s="134"/>
    </row>
    <row r="34" spans="2:26" x14ac:dyDescent="0.3">
      <c r="B34" s="124" t="s">
        <v>2595</v>
      </c>
      <c r="C34" s="131">
        <v>166000</v>
      </c>
      <c r="D34" s="124" t="s">
        <v>46</v>
      </c>
      <c r="E34" s="129" t="s">
        <v>18</v>
      </c>
      <c r="F34" s="129" t="s">
        <v>2586</v>
      </c>
      <c r="G34" s="129" t="s">
        <v>57</v>
      </c>
      <c r="H34" s="340">
        <v>60</v>
      </c>
      <c r="I34" s="343">
        <v>4</v>
      </c>
      <c r="J34" s="129" t="s">
        <v>58</v>
      </c>
      <c r="K34" s="129" t="s">
        <v>37</v>
      </c>
      <c r="L34" s="346">
        <v>250</v>
      </c>
      <c r="M34" s="129" t="s">
        <v>2585</v>
      </c>
      <c r="N34" s="129"/>
      <c r="O34" s="149">
        <v>1</v>
      </c>
      <c r="P34" s="149"/>
      <c r="Q34" s="149">
        <v>2</v>
      </c>
      <c r="R34" s="149"/>
      <c r="S34" s="149"/>
      <c r="T34" s="149"/>
      <c r="U34" s="348">
        <v>40</v>
      </c>
      <c r="V34" s="348">
        <v>0.5</v>
      </c>
      <c r="W34" s="350">
        <v>3.2</v>
      </c>
      <c r="X34" s="134"/>
      <c r="Y34" s="134"/>
      <c r="Z34" s="134"/>
    </row>
    <row r="35" spans="2:26" x14ac:dyDescent="0.3">
      <c r="B35" s="124" t="s">
        <v>59</v>
      </c>
      <c r="C35" s="131">
        <v>129960</v>
      </c>
      <c r="D35" s="124" t="s">
        <v>46</v>
      </c>
      <c r="E35" s="129" t="s">
        <v>43</v>
      </c>
      <c r="F35" s="129" t="s">
        <v>2586</v>
      </c>
      <c r="G35" s="129" t="s">
        <v>25</v>
      </c>
      <c r="H35" s="340">
        <v>60</v>
      </c>
      <c r="I35" s="343">
        <v>2</v>
      </c>
      <c r="J35" s="129" t="s">
        <v>20</v>
      </c>
      <c r="K35" s="129" t="s">
        <v>60</v>
      </c>
      <c r="L35" s="346">
        <v>250</v>
      </c>
      <c r="M35" s="129" t="s">
        <v>2596</v>
      </c>
      <c r="N35" s="129"/>
      <c r="O35" s="149">
        <v>1</v>
      </c>
      <c r="P35" s="149">
        <v>1</v>
      </c>
      <c r="Q35" s="149"/>
      <c r="R35" s="149"/>
      <c r="S35" s="149"/>
      <c r="T35" s="149"/>
      <c r="U35" s="348">
        <v>22</v>
      </c>
      <c r="V35" s="348">
        <v>0.3</v>
      </c>
      <c r="W35" s="350"/>
      <c r="X35" s="134"/>
      <c r="Y35" s="134"/>
      <c r="Z35" s="134" t="s">
        <v>2650</v>
      </c>
    </row>
    <row r="36" spans="2:26" x14ac:dyDescent="0.3">
      <c r="B36" s="124" t="s">
        <v>2598</v>
      </c>
      <c r="C36" s="131">
        <v>141000</v>
      </c>
      <c r="D36" s="124" t="s">
        <v>46</v>
      </c>
      <c r="E36" s="129" t="s">
        <v>18</v>
      </c>
      <c r="F36" s="129" t="s">
        <v>2581</v>
      </c>
      <c r="G36" s="129" t="s">
        <v>2601</v>
      </c>
      <c r="H36" s="340">
        <v>60</v>
      </c>
      <c r="I36" s="343">
        <v>2</v>
      </c>
      <c r="J36" s="129" t="s">
        <v>2599</v>
      </c>
      <c r="K36" s="129" t="s">
        <v>2600</v>
      </c>
      <c r="L36" s="346">
        <v>250</v>
      </c>
      <c r="M36" s="129" t="s">
        <v>2597</v>
      </c>
      <c r="N36" s="129"/>
      <c r="O36" s="149">
        <v>1</v>
      </c>
      <c r="P36" s="149">
        <v>1</v>
      </c>
      <c r="Q36" s="149">
        <v>1</v>
      </c>
      <c r="R36" s="149"/>
      <c r="S36" s="149"/>
      <c r="T36" s="149"/>
      <c r="U36" s="348">
        <v>23</v>
      </c>
      <c r="V36" s="348">
        <v>0.3</v>
      </c>
      <c r="W36" s="350">
        <v>4.3</v>
      </c>
      <c r="X36" s="134"/>
      <c r="Y36" s="134"/>
      <c r="Z36" s="134" t="s">
        <v>2650</v>
      </c>
    </row>
    <row r="37" spans="2:26" x14ac:dyDescent="0.3">
      <c r="B37" s="124" t="s">
        <v>2592</v>
      </c>
      <c r="C37" s="131">
        <v>148760</v>
      </c>
      <c r="D37" s="124" t="s">
        <v>46</v>
      </c>
      <c r="E37" s="129" t="s">
        <v>18</v>
      </c>
      <c r="F37" s="129" t="s">
        <v>2593</v>
      </c>
      <c r="G37" s="129" t="s">
        <v>57</v>
      </c>
      <c r="H37" s="340">
        <v>60</v>
      </c>
      <c r="I37" s="343">
        <v>4</v>
      </c>
      <c r="J37" s="129" t="s">
        <v>58</v>
      </c>
      <c r="K37" s="129" t="s">
        <v>37</v>
      </c>
      <c r="L37" s="346">
        <v>250</v>
      </c>
      <c r="M37" s="129" t="s">
        <v>2594</v>
      </c>
      <c r="N37" s="129"/>
      <c r="O37" s="149">
        <v>1</v>
      </c>
      <c r="P37" s="149"/>
      <c r="Q37" s="149">
        <v>2</v>
      </c>
      <c r="R37" s="149"/>
      <c r="S37" s="149"/>
      <c r="T37" s="149"/>
      <c r="U37" s="348">
        <v>23</v>
      </c>
      <c r="V37" s="348">
        <v>0.5</v>
      </c>
      <c r="W37" s="350">
        <v>4</v>
      </c>
      <c r="X37" s="134"/>
      <c r="Y37" s="134"/>
      <c r="Z37" s="134" t="s">
        <v>2650</v>
      </c>
    </row>
    <row r="38" spans="2:26" x14ac:dyDescent="0.3">
      <c r="B38" s="124" t="s">
        <v>61</v>
      </c>
      <c r="C38" s="131">
        <v>351300</v>
      </c>
      <c r="D38" s="124" t="s">
        <v>46</v>
      </c>
      <c r="E38" s="129" t="s">
        <v>18</v>
      </c>
      <c r="F38" s="129" t="s">
        <v>2591</v>
      </c>
      <c r="G38" s="129" t="s">
        <v>25</v>
      </c>
      <c r="H38" s="340">
        <v>144</v>
      </c>
      <c r="I38" s="343">
        <v>1</v>
      </c>
      <c r="J38" s="129" t="s">
        <v>20</v>
      </c>
      <c r="K38" s="129" t="s">
        <v>60</v>
      </c>
      <c r="L38" s="346">
        <v>350</v>
      </c>
      <c r="M38" s="129"/>
      <c r="N38" s="129"/>
      <c r="O38" s="149">
        <v>1</v>
      </c>
      <c r="P38" s="149">
        <v>1</v>
      </c>
      <c r="Q38" s="149">
        <v>1</v>
      </c>
      <c r="R38" s="149"/>
      <c r="S38" s="149"/>
      <c r="T38" s="149"/>
      <c r="U38" s="348">
        <v>27</v>
      </c>
      <c r="V38" s="348">
        <v>0.5</v>
      </c>
      <c r="W38" s="350">
        <v>6</v>
      </c>
      <c r="X38" s="134"/>
      <c r="Y38" s="134"/>
      <c r="Z38" s="134" t="s">
        <v>2650</v>
      </c>
    </row>
    <row r="39" spans="2:26" x14ac:dyDescent="0.3">
      <c r="B39" s="124" t="s">
        <v>64</v>
      </c>
      <c r="C39" s="131">
        <v>187400</v>
      </c>
      <c r="D39" s="124" t="s">
        <v>17</v>
      </c>
      <c r="E39" s="129" t="s">
        <v>18</v>
      </c>
      <c r="F39" s="129" t="s">
        <v>2591</v>
      </c>
      <c r="G39" s="129" t="s">
        <v>19</v>
      </c>
      <c r="H39" s="340">
        <v>60</v>
      </c>
      <c r="I39" s="343">
        <v>6</v>
      </c>
      <c r="J39" s="129" t="s">
        <v>20</v>
      </c>
      <c r="K39" s="129" t="s">
        <v>21</v>
      </c>
      <c r="L39" s="346">
        <v>250</v>
      </c>
      <c r="M39" s="129"/>
      <c r="N39" s="129"/>
      <c r="O39" s="149">
        <v>1</v>
      </c>
      <c r="P39" s="149"/>
      <c r="Q39" s="149">
        <v>1</v>
      </c>
      <c r="R39" s="149"/>
      <c r="S39" s="149"/>
      <c r="T39" s="149"/>
      <c r="U39" s="348">
        <v>18</v>
      </c>
      <c r="V39" s="348">
        <v>0.5</v>
      </c>
      <c r="W39" s="350">
        <v>6.83</v>
      </c>
      <c r="X39" s="134"/>
      <c r="Y39" s="134"/>
      <c r="Z39" s="134" t="s">
        <v>2650</v>
      </c>
    </row>
    <row r="40" spans="2:26" x14ac:dyDescent="0.3">
      <c r="B40" s="124" t="s">
        <v>65</v>
      </c>
      <c r="C40" s="131">
        <v>256990</v>
      </c>
      <c r="D40" s="124" t="s">
        <v>17</v>
      </c>
      <c r="E40" s="129" t="s">
        <v>62</v>
      </c>
      <c r="F40" s="129" t="s">
        <v>2591</v>
      </c>
      <c r="G40" s="129" t="s">
        <v>19</v>
      </c>
      <c r="H40" s="340">
        <v>60</v>
      </c>
      <c r="I40" s="343">
        <v>8</v>
      </c>
      <c r="J40" s="129" t="s">
        <v>20</v>
      </c>
      <c r="K40" s="129" t="s">
        <v>48</v>
      </c>
      <c r="L40" s="346">
        <v>300</v>
      </c>
      <c r="M40" s="129" t="s">
        <v>22</v>
      </c>
      <c r="N40" s="129"/>
      <c r="O40" s="149">
        <v>1</v>
      </c>
      <c r="P40" s="149">
        <v>1</v>
      </c>
      <c r="Q40" s="149"/>
      <c r="R40" s="149"/>
      <c r="S40" s="149">
        <v>1</v>
      </c>
      <c r="T40" s="149"/>
      <c r="U40" s="348" t="s">
        <v>1311</v>
      </c>
      <c r="V40" s="348"/>
      <c r="W40" s="350">
        <v>3.97</v>
      </c>
      <c r="X40" s="134"/>
      <c r="Y40" s="134"/>
      <c r="Z40" s="134" t="s">
        <v>2650</v>
      </c>
    </row>
    <row r="41" spans="2:26" x14ac:dyDescent="0.3">
      <c r="B41" s="124" t="s">
        <v>66</v>
      </c>
      <c r="C41" s="131">
        <v>246800</v>
      </c>
      <c r="D41" s="124" t="s">
        <v>17</v>
      </c>
      <c r="E41" s="129" t="s">
        <v>18</v>
      </c>
      <c r="F41" s="129" t="s">
        <v>2591</v>
      </c>
      <c r="G41" s="129" t="s">
        <v>19</v>
      </c>
      <c r="H41" s="340">
        <v>60</v>
      </c>
      <c r="I41" s="343">
        <v>8</v>
      </c>
      <c r="J41" s="129" t="s">
        <v>20</v>
      </c>
      <c r="K41" s="129" t="s">
        <v>48</v>
      </c>
      <c r="L41" s="346">
        <v>250</v>
      </c>
      <c r="M41" s="129" t="s">
        <v>67</v>
      </c>
      <c r="N41" s="129"/>
      <c r="O41" s="149"/>
      <c r="P41" s="149"/>
      <c r="Q41" s="149">
        <v>2</v>
      </c>
      <c r="R41" s="149"/>
      <c r="S41" s="149">
        <v>1</v>
      </c>
      <c r="T41" s="149"/>
      <c r="U41" s="348">
        <v>16</v>
      </c>
      <c r="V41" s="348">
        <v>0.5</v>
      </c>
      <c r="W41" s="350"/>
      <c r="X41" s="134"/>
      <c r="Y41" s="134"/>
      <c r="Z41" s="134" t="s">
        <v>2650</v>
      </c>
    </row>
    <row r="42" spans="2:26" x14ac:dyDescent="0.3">
      <c r="B42" s="124" t="s">
        <v>68</v>
      </c>
      <c r="C42" s="131">
        <v>294000</v>
      </c>
      <c r="D42" s="124" t="s">
        <v>17</v>
      </c>
      <c r="E42" s="129" t="s">
        <v>62</v>
      </c>
      <c r="F42" s="129" t="s">
        <v>2591</v>
      </c>
      <c r="G42" s="129" t="s">
        <v>19</v>
      </c>
      <c r="H42" s="340">
        <v>60</v>
      </c>
      <c r="I42" s="343">
        <v>8</v>
      </c>
      <c r="J42" s="129" t="s">
        <v>20</v>
      </c>
      <c r="K42" s="129" t="s">
        <v>48</v>
      </c>
      <c r="L42" s="346">
        <v>300</v>
      </c>
      <c r="M42" s="129" t="s">
        <v>69</v>
      </c>
      <c r="N42" s="129"/>
      <c r="O42" s="149"/>
      <c r="P42" s="149"/>
      <c r="Q42" s="149">
        <v>2</v>
      </c>
      <c r="R42" s="149"/>
      <c r="S42" s="149">
        <v>1</v>
      </c>
      <c r="T42" s="149"/>
      <c r="U42" s="348">
        <v>23</v>
      </c>
      <c r="V42" s="348">
        <v>0.5</v>
      </c>
      <c r="W42" s="350"/>
      <c r="X42" s="134"/>
      <c r="Y42" s="134"/>
      <c r="Z42" s="134" t="s">
        <v>2650</v>
      </c>
    </row>
    <row r="43" spans="2:26" x14ac:dyDescent="0.3">
      <c r="B43" s="124" t="s">
        <v>71</v>
      </c>
      <c r="C43" s="131">
        <v>153000</v>
      </c>
      <c r="D43" s="124" t="s">
        <v>24</v>
      </c>
      <c r="E43" s="129" t="s">
        <v>18</v>
      </c>
      <c r="F43" s="129" t="s">
        <v>2591</v>
      </c>
      <c r="G43" s="129" t="s">
        <v>29</v>
      </c>
      <c r="H43" s="340">
        <v>60</v>
      </c>
      <c r="I43" s="343">
        <v>5</v>
      </c>
      <c r="J43" s="129" t="s">
        <v>20</v>
      </c>
      <c r="K43" s="129" t="s">
        <v>31</v>
      </c>
      <c r="L43" s="346">
        <v>250</v>
      </c>
      <c r="M43" s="129"/>
      <c r="N43" s="129"/>
      <c r="O43" s="149">
        <v>1</v>
      </c>
      <c r="P43" s="149"/>
      <c r="Q43" s="149">
        <v>1</v>
      </c>
      <c r="R43" s="149"/>
      <c r="S43" s="149"/>
      <c r="T43" s="149"/>
      <c r="U43" s="348">
        <v>26</v>
      </c>
      <c r="V43" s="348">
        <v>0.3</v>
      </c>
      <c r="W43" s="350">
        <v>2.8</v>
      </c>
      <c r="X43" s="134"/>
      <c r="Y43" s="134"/>
      <c r="Z43" s="134" t="s">
        <v>2650</v>
      </c>
    </row>
    <row r="44" spans="2:26" x14ac:dyDescent="0.3">
      <c r="B44" s="124" t="s">
        <v>72</v>
      </c>
      <c r="C44" s="131">
        <v>137900</v>
      </c>
      <c r="D44" s="124" t="s">
        <v>24</v>
      </c>
      <c r="E44" s="129" t="s">
        <v>18</v>
      </c>
      <c r="F44" s="129" t="s">
        <v>2591</v>
      </c>
      <c r="G44" s="129" t="s">
        <v>25</v>
      </c>
      <c r="H44" s="340">
        <v>60</v>
      </c>
      <c r="I44" s="343">
        <v>2</v>
      </c>
      <c r="J44" s="129" t="s">
        <v>20</v>
      </c>
      <c r="K44" s="129" t="s">
        <v>26</v>
      </c>
      <c r="L44" s="346" t="s">
        <v>1311</v>
      </c>
      <c r="M44" s="129"/>
      <c r="N44" s="129"/>
      <c r="O44" s="149">
        <v>1</v>
      </c>
      <c r="P44" s="149">
        <v>1</v>
      </c>
      <c r="Q44" s="149">
        <v>1</v>
      </c>
      <c r="R44" s="149"/>
      <c r="S44" s="149"/>
      <c r="T44" s="149"/>
      <c r="U44" s="348">
        <v>28</v>
      </c>
      <c r="V44" s="348">
        <v>0.3</v>
      </c>
      <c r="W44" s="350">
        <v>2.8</v>
      </c>
      <c r="X44" s="134"/>
      <c r="Y44" s="134"/>
      <c r="Z44" s="134" t="s">
        <v>2650</v>
      </c>
    </row>
    <row r="45" spans="2:26" x14ac:dyDescent="0.3">
      <c r="B45" s="124" t="s">
        <v>2759</v>
      </c>
      <c r="C45" s="131">
        <v>193800</v>
      </c>
      <c r="D45" s="124" t="s">
        <v>24</v>
      </c>
      <c r="E45" s="129" t="s">
        <v>18</v>
      </c>
      <c r="F45" s="129" t="s">
        <v>2591</v>
      </c>
      <c r="G45" s="129" t="s">
        <v>2633</v>
      </c>
      <c r="H45" s="340"/>
      <c r="I45" s="343">
        <v>5</v>
      </c>
      <c r="J45" s="129" t="s">
        <v>2660</v>
      </c>
      <c r="K45" s="129" t="s">
        <v>2760</v>
      </c>
      <c r="L45" s="346">
        <v>250</v>
      </c>
      <c r="M45" s="129"/>
      <c r="N45" s="129"/>
      <c r="O45" s="149">
        <v>1</v>
      </c>
      <c r="P45" s="149"/>
      <c r="Q45" s="149">
        <v>2</v>
      </c>
      <c r="R45" s="149"/>
      <c r="S45" s="149"/>
      <c r="T45" s="149"/>
      <c r="U45" s="348">
        <v>28</v>
      </c>
      <c r="V45" s="348">
        <v>0.4</v>
      </c>
      <c r="W45" s="350">
        <v>3.6</v>
      </c>
      <c r="X45" s="134"/>
      <c r="Y45" s="134"/>
      <c r="Z45" s="134" t="s">
        <v>2650</v>
      </c>
    </row>
    <row r="46" spans="2:26" x14ac:dyDescent="0.3">
      <c r="B46" s="124" t="s">
        <v>74</v>
      </c>
      <c r="C46" s="131">
        <v>192700</v>
      </c>
      <c r="D46" s="124" t="s">
        <v>24</v>
      </c>
      <c r="E46" s="129" t="s">
        <v>43</v>
      </c>
      <c r="F46" s="129" t="s">
        <v>2591</v>
      </c>
      <c r="G46" s="129" t="s">
        <v>29</v>
      </c>
      <c r="H46" s="340">
        <v>60</v>
      </c>
      <c r="I46" s="343">
        <v>5</v>
      </c>
      <c r="J46" s="129" t="s">
        <v>20</v>
      </c>
      <c r="K46" s="129" t="s">
        <v>26</v>
      </c>
      <c r="L46" s="346">
        <v>250</v>
      </c>
      <c r="M46" s="129"/>
      <c r="N46" s="129"/>
      <c r="O46" s="149">
        <v>1</v>
      </c>
      <c r="P46" s="149"/>
      <c r="Q46" s="149">
        <v>2</v>
      </c>
      <c r="R46" s="149"/>
      <c r="S46" s="149"/>
      <c r="T46" s="149"/>
      <c r="U46" s="348">
        <v>22</v>
      </c>
      <c r="V46" s="348">
        <v>0.3</v>
      </c>
      <c r="W46" s="350">
        <v>3.5</v>
      </c>
      <c r="X46" s="134"/>
      <c r="Y46" s="134"/>
      <c r="Z46" s="134" t="s">
        <v>2650</v>
      </c>
    </row>
    <row r="47" spans="2:26" x14ac:dyDescent="0.3">
      <c r="B47" s="124" t="s">
        <v>73</v>
      </c>
      <c r="C47" s="131">
        <v>190300</v>
      </c>
      <c r="D47" s="124" t="s">
        <v>24</v>
      </c>
      <c r="E47" s="129" t="s">
        <v>18</v>
      </c>
      <c r="F47" s="129" t="s">
        <v>2591</v>
      </c>
      <c r="G47" s="129" t="s">
        <v>19</v>
      </c>
      <c r="H47" s="340">
        <v>60</v>
      </c>
      <c r="I47" s="343">
        <v>5</v>
      </c>
      <c r="J47" s="129" t="s">
        <v>20</v>
      </c>
      <c r="K47" s="129" t="s">
        <v>26</v>
      </c>
      <c r="L47" s="346">
        <v>250</v>
      </c>
      <c r="M47" s="129"/>
      <c r="N47" s="129"/>
      <c r="O47" s="149">
        <v>1</v>
      </c>
      <c r="P47" s="149"/>
      <c r="Q47" s="149">
        <v>2</v>
      </c>
      <c r="R47" s="149"/>
      <c r="S47" s="149"/>
      <c r="T47" s="149"/>
      <c r="U47" s="348">
        <v>28</v>
      </c>
      <c r="V47" s="348">
        <v>1</v>
      </c>
      <c r="W47" s="350">
        <v>3.8</v>
      </c>
      <c r="X47" s="134"/>
      <c r="Y47" s="134"/>
      <c r="Z47" s="134" t="s">
        <v>2650</v>
      </c>
    </row>
    <row r="48" spans="2:26" x14ac:dyDescent="0.3">
      <c r="B48" s="124" t="s">
        <v>70</v>
      </c>
      <c r="C48" s="131">
        <v>199000</v>
      </c>
      <c r="D48" s="124" t="s">
        <v>24</v>
      </c>
      <c r="E48" s="129" t="s">
        <v>43</v>
      </c>
      <c r="F48" s="129" t="s">
        <v>2591</v>
      </c>
      <c r="G48" s="129" t="s">
        <v>29</v>
      </c>
      <c r="H48" s="340">
        <v>60</v>
      </c>
      <c r="I48" s="343">
        <v>5</v>
      </c>
      <c r="J48" s="129" t="s">
        <v>20</v>
      </c>
      <c r="K48" s="129" t="s">
        <v>26</v>
      </c>
      <c r="L48" s="346">
        <v>250</v>
      </c>
      <c r="M48" s="129"/>
      <c r="N48" s="129"/>
      <c r="O48" s="149">
        <v>1</v>
      </c>
      <c r="P48" s="149">
        <v>1</v>
      </c>
      <c r="Q48" s="149"/>
      <c r="R48" s="149"/>
      <c r="S48" s="149"/>
      <c r="T48" s="149"/>
      <c r="U48" s="348">
        <v>25</v>
      </c>
      <c r="V48" s="348">
        <v>0.3</v>
      </c>
      <c r="W48" s="350">
        <v>5.0999999999999996</v>
      </c>
      <c r="X48" s="134"/>
      <c r="Y48" s="134"/>
      <c r="Z48" s="134" t="s">
        <v>2650</v>
      </c>
    </row>
    <row r="49" spans="2:26" x14ac:dyDescent="0.3">
      <c r="B49" s="124" t="s">
        <v>2752</v>
      </c>
      <c r="C49" s="131">
        <v>174500</v>
      </c>
      <c r="D49" s="124" t="s">
        <v>24</v>
      </c>
      <c r="E49" s="129" t="s">
        <v>43</v>
      </c>
      <c r="F49" s="129" t="s">
        <v>2591</v>
      </c>
      <c r="G49" s="129" t="s">
        <v>2719</v>
      </c>
      <c r="H49" s="340">
        <v>60</v>
      </c>
      <c r="I49" s="343"/>
      <c r="J49" s="129"/>
      <c r="K49" s="129" t="s">
        <v>2615</v>
      </c>
      <c r="L49" s="346">
        <v>250</v>
      </c>
      <c r="M49" s="129"/>
      <c r="N49" s="129"/>
      <c r="O49" s="149">
        <v>1</v>
      </c>
      <c r="P49" s="149"/>
      <c r="Q49" s="149">
        <v>1</v>
      </c>
      <c r="R49" s="149"/>
      <c r="S49" s="149"/>
      <c r="T49" s="149"/>
      <c r="U49" s="348"/>
      <c r="V49" s="348">
        <v>1</v>
      </c>
      <c r="W49" s="350">
        <v>3.6</v>
      </c>
      <c r="X49" s="134"/>
      <c r="Y49" s="134"/>
      <c r="Z49" s="134" t="s">
        <v>2650</v>
      </c>
    </row>
    <row r="50" spans="2:26" x14ac:dyDescent="0.3">
      <c r="B50" s="124" t="s">
        <v>2753</v>
      </c>
      <c r="C50" s="131">
        <v>189000</v>
      </c>
      <c r="D50" s="124" t="s">
        <v>24</v>
      </c>
      <c r="E50" s="129" t="s">
        <v>43</v>
      </c>
      <c r="F50" s="129" t="s">
        <v>2591</v>
      </c>
      <c r="G50" s="129" t="s">
        <v>2613</v>
      </c>
      <c r="H50" s="340">
        <v>60</v>
      </c>
      <c r="I50" s="343">
        <v>5</v>
      </c>
      <c r="J50" s="129" t="s">
        <v>2583</v>
      </c>
      <c r="K50" s="129" t="s">
        <v>2758</v>
      </c>
      <c r="L50" s="346">
        <v>250</v>
      </c>
      <c r="M50" s="129"/>
      <c r="N50" s="129"/>
      <c r="O50" s="149"/>
      <c r="P50" s="149"/>
      <c r="Q50" s="149">
        <v>1</v>
      </c>
      <c r="R50" s="149"/>
      <c r="S50" s="149"/>
      <c r="T50" s="149"/>
      <c r="U50" s="348">
        <v>28</v>
      </c>
      <c r="V50" s="348">
        <v>0.4</v>
      </c>
      <c r="W50" s="350">
        <v>3.4</v>
      </c>
      <c r="X50" s="134"/>
      <c r="Y50" s="134"/>
      <c r="Z50" s="134"/>
    </row>
    <row r="51" spans="2:26" x14ac:dyDescent="0.3">
      <c r="B51" s="124" t="s">
        <v>2754</v>
      </c>
      <c r="C51" s="131">
        <v>185000</v>
      </c>
      <c r="D51" s="124" t="s">
        <v>24</v>
      </c>
      <c r="E51" s="129" t="s">
        <v>43</v>
      </c>
      <c r="F51" s="129" t="s">
        <v>2591</v>
      </c>
      <c r="G51" s="129" t="s">
        <v>2755</v>
      </c>
      <c r="H51" s="340">
        <v>60</v>
      </c>
      <c r="I51" s="343">
        <v>5</v>
      </c>
      <c r="J51" s="129" t="s">
        <v>2756</v>
      </c>
      <c r="K51" s="129" t="s">
        <v>2757</v>
      </c>
      <c r="L51" s="346">
        <v>250</v>
      </c>
      <c r="M51" s="129"/>
      <c r="N51" s="129"/>
      <c r="O51" s="149">
        <v>1</v>
      </c>
      <c r="P51" s="149">
        <v>1</v>
      </c>
      <c r="Q51" s="149">
        <v>1</v>
      </c>
      <c r="R51" s="149"/>
      <c r="S51" s="149"/>
      <c r="T51" s="149"/>
      <c r="U51" s="348">
        <v>26</v>
      </c>
      <c r="V51" s="348">
        <v>0.3</v>
      </c>
      <c r="W51" s="350">
        <v>3.2</v>
      </c>
      <c r="X51" s="134"/>
      <c r="Y51" s="134"/>
      <c r="Z51" s="134" t="s">
        <v>2650</v>
      </c>
    </row>
    <row r="52" spans="2:26" x14ac:dyDescent="0.3">
      <c r="B52" s="124" t="s">
        <v>75</v>
      </c>
      <c r="C52" s="131">
        <v>133100</v>
      </c>
      <c r="D52" s="124" t="s">
        <v>30</v>
      </c>
      <c r="E52" s="129" t="s">
        <v>18</v>
      </c>
      <c r="F52" s="129" t="s">
        <v>2581</v>
      </c>
      <c r="G52" s="129" t="s">
        <v>25</v>
      </c>
      <c r="H52" s="340">
        <v>60</v>
      </c>
      <c r="I52" s="343">
        <v>5</v>
      </c>
      <c r="J52" s="129" t="s">
        <v>20</v>
      </c>
      <c r="K52" s="129" t="s">
        <v>31</v>
      </c>
      <c r="L52" s="346">
        <v>300</v>
      </c>
      <c r="M52" s="129"/>
      <c r="N52" s="129"/>
      <c r="O52" s="149">
        <v>1</v>
      </c>
      <c r="P52" s="149"/>
      <c r="Q52" s="149">
        <v>1</v>
      </c>
      <c r="R52" s="149"/>
      <c r="S52" s="149"/>
      <c r="T52" s="149"/>
      <c r="U52" s="348">
        <v>20</v>
      </c>
      <c r="V52" s="348">
        <v>0.3</v>
      </c>
      <c r="W52" s="350">
        <v>3.55</v>
      </c>
      <c r="X52" s="134"/>
      <c r="Y52" s="134"/>
      <c r="Z52" s="134" t="s">
        <v>749</v>
      </c>
    </row>
    <row r="53" spans="2:26" x14ac:dyDescent="0.3">
      <c r="B53" s="124" t="s">
        <v>77</v>
      </c>
      <c r="C53" s="131">
        <v>182000</v>
      </c>
      <c r="D53" s="124" t="s">
        <v>30</v>
      </c>
      <c r="E53" s="129" t="s">
        <v>18</v>
      </c>
      <c r="F53" s="129" t="s">
        <v>2581</v>
      </c>
      <c r="G53" s="129" t="s">
        <v>33</v>
      </c>
      <c r="H53" s="340">
        <v>60</v>
      </c>
      <c r="I53" s="343">
        <v>5</v>
      </c>
      <c r="J53" s="129" t="s">
        <v>20</v>
      </c>
      <c r="K53" s="129" t="s">
        <v>31</v>
      </c>
      <c r="L53" s="346">
        <v>250</v>
      </c>
      <c r="M53" s="129"/>
      <c r="N53" s="129"/>
      <c r="O53" s="149">
        <v>1</v>
      </c>
      <c r="P53" s="149"/>
      <c r="Q53" s="149">
        <v>2</v>
      </c>
      <c r="R53" s="149"/>
      <c r="S53" s="149"/>
      <c r="T53" s="149"/>
      <c r="U53" s="348">
        <v>35</v>
      </c>
      <c r="V53" s="348">
        <v>0.5</v>
      </c>
      <c r="W53" s="350">
        <v>3.9</v>
      </c>
      <c r="X53" s="134"/>
      <c r="Y53" s="134"/>
      <c r="Z53" s="134" t="s">
        <v>749</v>
      </c>
    </row>
    <row r="54" spans="2:26" x14ac:dyDescent="0.3">
      <c r="B54" s="124" t="s">
        <v>2764</v>
      </c>
      <c r="C54" s="131">
        <v>156200</v>
      </c>
      <c r="D54" s="124" t="s">
        <v>30</v>
      </c>
      <c r="E54" s="129" t="s">
        <v>18</v>
      </c>
      <c r="F54" s="129" t="s">
        <v>2581</v>
      </c>
      <c r="G54" s="129" t="s">
        <v>2766</v>
      </c>
      <c r="H54" s="340">
        <v>60</v>
      </c>
      <c r="I54" s="343">
        <v>4</v>
      </c>
      <c r="J54" s="129" t="s">
        <v>2767</v>
      </c>
      <c r="K54" s="129" t="s">
        <v>2768</v>
      </c>
      <c r="L54" s="346">
        <v>250</v>
      </c>
      <c r="M54" s="129" t="s">
        <v>2769</v>
      </c>
      <c r="N54" s="129"/>
      <c r="O54" s="149">
        <v>1</v>
      </c>
      <c r="P54" s="149"/>
      <c r="Q54" s="149">
        <v>1</v>
      </c>
      <c r="R54" s="149"/>
      <c r="S54" s="149"/>
      <c r="T54" s="149"/>
      <c r="U54" s="348">
        <v>25</v>
      </c>
      <c r="V54" s="348">
        <v>0.3</v>
      </c>
      <c r="W54" s="350">
        <v>3.3</v>
      </c>
      <c r="X54" s="134"/>
      <c r="Y54" s="134"/>
      <c r="Z54" s="134" t="s">
        <v>749</v>
      </c>
    </row>
    <row r="55" spans="2:26" x14ac:dyDescent="0.3">
      <c r="B55" s="124" t="s">
        <v>2763</v>
      </c>
      <c r="C55" s="131">
        <v>182000</v>
      </c>
      <c r="D55" s="124" t="s">
        <v>30</v>
      </c>
      <c r="E55" s="129" t="s">
        <v>18</v>
      </c>
      <c r="F55" s="129" t="s">
        <v>2581</v>
      </c>
      <c r="G55" s="129" t="s">
        <v>2770</v>
      </c>
      <c r="H55" s="340">
        <v>60</v>
      </c>
      <c r="I55" s="343">
        <v>4</v>
      </c>
      <c r="J55" s="129" t="s">
        <v>2583</v>
      </c>
      <c r="K55" s="129" t="s">
        <v>2771</v>
      </c>
      <c r="L55" s="346">
        <v>250</v>
      </c>
      <c r="M55" s="129" t="s">
        <v>2772</v>
      </c>
      <c r="N55" s="129"/>
      <c r="O55" s="149">
        <v>1</v>
      </c>
      <c r="P55" s="149"/>
      <c r="Q55" s="149">
        <v>1</v>
      </c>
      <c r="R55" s="149"/>
      <c r="S55" s="149"/>
      <c r="T55" s="149"/>
      <c r="U55" s="348">
        <v>25</v>
      </c>
      <c r="V55" s="348">
        <v>0.3</v>
      </c>
      <c r="W55" s="350">
        <v>3.3</v>
      </c>
      <c r="X55" s="134"/>
      <c r="Y55" s="134" t="s">
        <v>2773</v>
      </c>
      <c r="Z55" s="134" t="s">
        <v>749</v>
      </c>
    </row>
    <row r="56" spans="2:26" x14ac:dyDescent="0.3">
      <c r="B56" s="124" t="s">
        <v>2762</v>
      </c>
      <c r="C56" s="131">
        <v>151900</v>
      </c>
      <c r="D56" s="124" t="s">
        <v>30</v>
      </c>
      <c r="E56" s="129" t="s">
        <v>18</v>
      </c>
      <c r="F56" s="129" t="s">
        <v>2581</v>
      </c>
      <c r="G56" s="129" t="s">
        <v>25</v>
      </c>
      <c r="H56" s="340">
        <v>60</v>
      </c>
      <c r="I56" s="343">
        <v>2</v>
      </c>
      <c r="J56" s="129" t="s">
        <v>20</v>
      </c>
      <c r="K56" s="129" t="s">
        <v>31</v>
      </c>
      <c r="L56" s="346">
        <v>250</v>
      </c>
      <c r="M56" s="129"/>
      <c r="N56" s="129"/>
      <c r="O56" s="149">
        <v>1</v>
      </c>
      <c r="P56" s="149"/>
      <c r="Q56" s="149">
        <v>1</v>
      </c>
      <c r="R56" s="149"/>
      <c r="S56" s="149"/>
      <c r="T56" s="149"/>
      <c r="U56" s="348">
        <v>16</v>
      </c>
      <c r="V56" s="348">
        <v>0.3</v>
      </c>
      <c r="W56" s="350"/>
      <c r="X56" s="134"/>
      <c r="Y56" s="134"/>
      <c r="Z56" s="134" t="s">
        <v>749</v>
      </c>
    </row>
    <row r="57" spans="2:26" x14ac:dyDescent="0.3">
      <c r="B57" s="124" t="s">
        <v>2761</v>
      </c>
      <c r="C57" s="131">
        <v>162000</v>
      </c>
      <c r="D57" s="124" t="s">
        <v>30</v>
      </c>
      <c r="E57" s="129" t="s">
        <v>2765</v>
      </c>
      <c r="F57" s="129" t="s">
        <v>2581</v>
      </c>
      <c r="G57" s="129" t="s">
        <v>2774</v>
      </c>
      <c r="H57" s="340">
        <v>60</v>
      </c>
      <c r="I57" s="343">
        <v>8</v>
      </c>
      <c r="J57" s="129" t="s">
        <v>2775</v>
      </c>
      <c r="K57" s="129" t="s">
        <v>2776</v>
      </c>
      <c r="L57" s="346">
        <v>250</v>
      </c>
      <c r="M57" s="129"/>
      <c r="N57" s="129"/>
      <c r="O57" s="149"/>
      <c r="P57" s="149"/>
      <c r="Q57" s="149">
        <v>2</v>
      </c>
      <c r="R57" s="149"/>
      <c r="S57" s="149"/>
      <c r="T57" s="149"/>
      <c r="U57" s="348">
        <v>35</v>
      </c>
      <c r="V57" s="348">
        <v>0.5</v>
      </c>
      <c r="W57" s="350">
        <v>3.88</v>
      </c>
      <c r="X57" s="134"/>
      <c r="Y57" s="134"/>
      <c r="Z57" s="134"/>
    </row>
    <row r="58" spans="2:26" x14ac:dyDescent="0.3">
      <c r="B58" s="124" t="s">
        <v>78</v>
      </c>
      <c r="C58" s="131">
        <v>187600</v>
      </c>
      <c r="D58" s="124" t="s">
        <v>30</v>
      </c>
      <c r="E58" s="129" t="s">
        <v>18</v>
      </c>
      <c r="F58" s="129" t="s">
        <v>2581</v>
      </c>
      <c r="G58" s="129" t="s">
        <v>33</v>
      </c>
      <c r="H58" s="340">
        <v>60</v>
      </c>
      <c r="I58" s="343">
        <v>5</v>
      </c>
      <c r="J58" s="129" t="s">
        <v>20</v>
      </c>
      <c r="K58" s="129" t="s">
        <v>31</v>
      </c>
      <c r="L58" s="346">
        <v>250</v>
      </c>
      <c r="M58" s="129"/>
      <c r="N58" s="129"/>
      <c r="O58" s="149">
        <v>1</v>
      </c>
      <c r="P58" s="149"/>
      <c r="Q58" s="149">
        <v>2</v>
      </c>
      <c r="R58" s="149"/>
      <c r="S58" s="149"/>
      <c r="T58" s="149"/>
      <c r="U58" s="348">
        <v>35</v>
      </c>
      <c r="V58" s="348">
        <v>0.5</v>
      </c>
      <c r="W58" s="350">
        <v>4.26</v>
      </c>
      <c r="X58" s="134"/>
      <c r="Y58" s="134"/>
      <c r="Z58" s="134" t="s">
        <v>749</v>
      </c>
    </row>
    <row r="59" spans="2:26" x14ac:dyDescent="0.3">
      <c r="B59" s="124" t="s">
        <v>76</v>
      </c>
      <c r="C59" s="131">
        <v>179000</v>
      </c>
      <c r="D59" s="124" t="s">
        <v>30</v>
      </c>
      <c r="E59" s="129" t="s">
        <v>18</v>
      </c>
      <c r="F59" s="129" t="s">
        <v>2581</v>
      </c>
      <c r="G59" s="129" t="s">
        <v>33</v>
      </c>
      <c r="H59" s="340">
        <v>60</v>
      </c>
      <c r="I59" s="343">
        <v>4</v>
      </c>
      <c r="J59" s="129" t="s">
        <v>20</v>
      </c>
      <c r="K59" s="129" t="s">
        <v>31</v>
      </c>
      <c r="L59" s="346">
        <v>250</v>
      </c>
      <c r="M59" s="129"/>
      <c r="N59" s="129"/>
      <c r="O59" s="149">
        <v>1</v>
      </c>
      <c r="P59" s="149"/>
      <c r="Q59" s="149">
        <v>1</v>
      </c>
      <c r="R59" s="149"/>
      <c r="S59" s="149"/>
      <c r="T59" s="149"/>
      <c r="U59" s="348">
        <v>25</v>
      </c>
      <c r="V59" s="348">
        <v>0.3</v>
      </c>
      <c r="W59" s="350">
        <v>4.0199999999999996</v>
      </c>
      <c r="X59" s="134"/>
      <c r="Y59" s="134"/>
      <c r="Z59" s="134" t="s">
        <v>749</v>
      </c>
    </row>
    <row r="60" spans="2:26" x14ac:dyDescent="0.3">
      <c r="B60" s="124" t="s">
        <v>81</v>
      </c>
      <c r="C60" s="131">
        <v>189000</v>
      </c>
      <c r="D60" s="124" t="s">
        <v>35</v>
      </c>
      <c r="E60" s="129" t="s">
        <v>18</v>
      </c>
      <c r="F60" s="129" t="s">
        <v>2586</v>
      </c>
      <c r="G60" s="129" t="s">
        <v>29</v>
      </c>
      <c r="H60" s="340">
        <v>60</v>
      </c>
      <c r="I60" s="343">
        <v>5</v>
      </c>
      <c r="J60" s="129" t="s">
        <v>20</v>
      </c>
      <c r="K60" s="129" t="s">
        <v>39</v>
      </c>
      <c r="L60" s="346">
        <v>250</v>
      </c>
      <c r="M60" s="129"/>
      <c r="N60" s="129"/>
      <c r="O60" s="149">
        <v>1</v>
      </c>
      <c r="P60" s="149"/>
      <c r="Q60" s="149">
        <v>2</v>
      </c>
      <c r="R60" s="149"/>
      <c r="S60" s="149">
        <v>1</v>
      </c>
      <c r="T60" s="149"/>
      <c r="U60" s="348">
        <v>22</v>
      </c>
      <c r="V60" s="348">
        <v>0.3</v>
      </c>
      <c r="W60" s="350"/>
      <c r="X60" s="134"/>
      <c r="Y60" s="134"/>
      <c r="Z60" s="134" t="s">
        <v>2650</v>
      </c>
    </row>
    <row r="61" spans="2:26" x14ac:dyDescent="0.3">
      <c r="B61" s="124" t="s">
        <v>2703</v>
      </c>
      <c r="C61" s="131">
        <v>185000</v>
      </c>
      <c r="D61" s="124" t="s">
        <v>35</v>
      </c>
      <c r="E61" s="129" t="s">
        <v>18</v>
      </c>
      <c r="F61" s="129" t="s">
        <v>2586</v>
      </c>
      <c r="G61" s="129" t="s">
        <v>2700</v>
      </c>
      <c r="H61" s="340">
        <v>60</v>
      </c>
      <c r="I61" s="343">
        <v>5</v>
      </c>
      <c r="J61" s="129" t="s">
        <v>2660</v>
      </c>
      <c r="K61" s="129" t="s">
        <v>2708</v>
      </c>
      <c r="L61" s="346">
        <v>250</v>
      </c>
      <c r="M61" s="129"/>
      <c r="N61" s="129"/>
      <c r="O61" s="149">
        <v>1</v>
      </c>
      <c r="P61" s="149"/>
      <c r="Q61" s="149">
        <v>2</v>
      </c>
      <c r="R61" s="149"/>
      <c r="S61" s="149"/>
      <c r="T61" s="149"/>
      <c r="U61" s="348">
        <v>22</v>
      </c>
      <c r="V61" s="348">
        <v>0.5</v>
      </c>
      <c r="W61" s="350">
        <v>5</v>
      </c>
      <c r="X61" s="134"/>
      <c r="Y61" s="134"/>
      <c r="Z61" s="134" t="s">
        <v>2650</v>
      </c>
    </row>
    <row r="62" spans="2:26" x14ac:dyDescent="0.3">
      <c r="B62" s="124" t="s">
        <v>2704</v>
      </c>
      <c r="C62" s="131">
        <v>148000</v>
      </c>
      <c r="D62" s="124" t="s">
        <v>35</v>
      </c>
      <c r="E62" s="129" t="s">
        <v>18</v>
      </c>
      <c r="F62" s="129" t="s">
        <v>2586</v>
      </c>
      <c r="G62" s="129" t="s">
        <v>2709</v>
      </c>
      <c r="H62" s="340">
        <v>60</v>
      </c>
      <c r="I62" s="343">
        <v>5</v>
      </c>
      <c r="J62" s="129" t="s">
        <v>2710</v>
      </c>
      <c r="K62" s="129" t="s">
        <v>2711</v>
      </c>
      <c r="L62" s="346">
        <v>250</v>
      </c>
      <c r="M62" s="129"/>
      <c r="N62" s="129"/>
      <c r="O62" s="149">
        <v>1</v>
      </c>
      <c r="P62" s="149">
        <v>1</v>
      </c>
      <c r="Q62" s="149">
        <v>1</v>
      </c>
      <c r="R62" s="149"/>
      <c r="S62" s="149"/>
      <c r="T62" s="149"/>
      <c r="U62" s="348">
        <v>27</v>
      </c>
      <c r="V62" s="348">
        <v>0.5</v>
      </c>
      <c r="W62" s="350"/>
      <c r="X62" s="134"/>
      <c r="Y62" s="134"/>
      <c r="Z62" s="134" t="s">
        <v>2650</v>
      </c>
    </row>
    <row r="63" spans="2:26" x14ac:dyDescent="0.3">
      <c r="B63" s="124" t="s">
        <v>2705</v>
      </c>
      <c r="C63" s="131">
        <v>177000</v>
      </c>
      <c r="D63" s="124" t="s">
        <v>35</v>
      </c>
      <c r="E63" s="129" t="s">
        <v>18</v>
      </c>
      <c r="F63" s="129" t="s">
        <v>2586</v>
      </c>
      <c r="G63" s="129" t="s">
        <v>2712</v>
      </c>
      <c r="H63" s="340">
        <v>60</v>
      </c>
      <c r="I63" s="343">
        <v>6</v>
      </c>
      <c r="J63" s="129" t="s">
        <v>2660</v>
      </c>
      <c r="K63" s="129" t="s">
        <v>2629</v>
      </c>
      <c r="L63" s="346">
        <v>250</v>
      </c>
      <c r="M63" s="129"/>
      <c r="N63" s="129"/>
      <c r="O63" s="149">
        <v>1</v>
      </c>
      <c r="P63" s="149">
        <v>1</v>
      </c>
      <c r="Q63" s="149">
        <v>1</v>
      </c>
      <c r="R63" s="149"/>
      <c r="S63" s="149"/>
      <c r="T63" s="149"/>
      <c r="U63" s="348">
        <v>20</v>
      </c>
      <c r="V63" s="348">
        <v>0.5</v>
      </c>
      <c r="W63" s="350"/>
      <c r="X63" s="134"/>
      <c r="Y63" s="134"/>
      <c r="Z63" s="134" t="s">
        <v>2650</v>
      </c>
    </row>
    <row r="64" spans="2:26" x14ac:dyDescent="0.3">
      <c r="B64" s="124" t="s">
        <v>2706</v>
      </c>
      <c r="C64" s="131">
        <v>129000</v>
      </c>
      <c r="D64" s="124" t="s">
        <v>35</v>
      </c>
      <c r="E64" s="129" t="s">
        <v>18</v>
      </c>
      <c r="F64" s="129" t="s">
        <v>2586</v>
      </c>
      <c r="G64" s="129" t="s">
        <v>2601</v>
      </c>
      <c r="H64" s="340">
        <v>60</v>
      </c>
      <c r="I64" s="343">
        <v>5</v>
      </c>
      <c r="J64" s="129" t="s">
        <v>2599</v>
      </c>
      <c r="K64" s="129" t="s">
        <v>2615</v>
      </c>
      <c r="L64" s="346">
        <v>250</v>
      </c>
      <c r="M64" s="129"/>
      <c r="N64" s="129"/>
      <c r="O64" s="149">
        <v>1</v>
      </c>
      <c r="P64" s="149"/>
      <c r="Q64" s="149">
        <v>1</v>
      </c>
      <c r="R64" s="149"/>
      <c r="S64" s="149"/>
      <c r="T64" s="149"/>
      <c r="U64" s="348">
        <v>20</v>
      </c>
      <c r="V64" s="348">
        <v>0.3</v>
      </c>
      <c r="W64" s="350">
        <v>3</v>
      </c>
      <c r="X64" s="134"/>
      <c r="Y64" s="134"/>
      <c r="Z64" s="134"/>
    </row>
    <row r="65" spans="2:26" x14ac:dyDescent="0.3">
      <c r="B65" s="124" t="s">
        <v>2707</v>
      </c>
      <c r="C65" s="131">
        <v>139000</v>
      </c>
      <c r="D65" s="124" t="s">
        <v>35</v>
      </c>
      <c r="E65" s="129" t="s">
        <v>18</v>
      </c>
      <c r="F65" s="129" t="s">
        <v>2586</v>
      </c>
      <c r="G65" s="129" t="s">
        <v>2713</v>
      </c>
      <c r="H65" s="340">
        <v>60</v>
      </c>
      <c r="I65" s="343">
        <v>5</v>
      </c>
      <c r="J65" s="129" t="s">
        <v>2714</v>
      </c>
      <c r="K65" s="129" t="s">
        <v>37</v>
      </c>
      <c r="L65" s="346">
        <v>250</v>
      </c>
      <c r="M65" s="129"/>
      <c r="N65" s="129"/>
      <c r="O65" s="149">
        <v>1</v>
      </c>
      <c r="P65" s="149"/>
      <c r="Q65" s="149">
        <v>2</v>
      </c>
      <c r="R65" s="149"/>
      <c r="S65" s="149"/>
      <c r="T65" s="149"/>
      <c r="U65" s="348">
        <v>24</v>
      </c>
      <c r="V65" s="348">
        <v>0.5</v>
      </c>
      <c r="W65" s="350">
        <v>3.5</v>
      </c>
      <c r="X65" s="134"/>
      <c r="Y65" s="134"/>
      <c r="Z65" s="134" t="s">
        <v>2650</v>
      </c>
    </row>
    <row r="66" spans="2:26" x14ac:dyDescent="0.3">
      <c r="B66" s="124" t="s">
        <v>80</v>
      </c>
      <c r="C66" s="131">
        <v>142130</v>
      </c>
      <c r="D66" s="124" t="s">
        <v>35</v>
      </c>
      <c r="E66" s="129" t="s">
        <v>18</v>
      </c>
      <c r="F66" s="129" t="s">
        <v>2586</v>
      </c>
      <c r="G66" s="129" t="s">
        <v>36</v>
      </c>
      <c r="H66" s="340">
        <v>60</v>
      </c>
      <c r="I66" s="343">
        <v>5</v>
      </c>
      <c r="J66" s="129" t="s">
        <v>20</v>
      </c>
      <c r="K66" s="129" t="s">
        <v>26</v>
      </c>
      <c r="L66" s="346">
        <v>250</v>
      </c>
      <c r="M66" s="129" t="s">
        <v>27</v>
      </c>
      <c r="N66" s="129"/>
      <c r="O66" s="149">
        <v>1</v>
      </c>
      <c r="P66" s="149">
        <v>1</v>
      </c>
      <c r="Q66" s="149">
        <v>1</v>
      </c>
      <c r="R66" s="149"/>
      <c r="S66" s="149"/>
      <c r="T66" s="149"/>
      <c r="U66" s="348">
        <v>25</v>
      </c>
      <c r="V66" s="348">
        <v>0.3</v>
      </c>
      <c r="W66" s="350">
        <v>4</v>
      </c>
      <c r="X66" s="134"/>
      <c r="Y66" s="134"/>
      <c r="Z66" s="134" t="s">
        <v>2650</v>
      </c>
    </row>
    <row r="67" spans="2:26" x14ac:dyDescent="0.3">
      <c r="B67" s="124" t="s">
        <v>919</v>
      </c>
      <c r="C67" s="131"/>
      <c r="E67" s="129"/>
      <c r="F67" s="129"/>
      <c r="G67" s="129"/>
      <c r="H67" s="340" t="s">
        <v>1311</v>
      </c>
      <c r="I67" s="343" t="s">
        <v>1311</v>
      </c>
      <c r="J67" s="129"/>
      <c r="K67" s="129"/>
      <c r="L67" s="346" t="s">
        <v>1311</v>
      </c>
      <c r="M67" s="129"/>
      <c r="N67" s="129"/>
      <c r="O67" s="149"/>
      <c r="P67" s="149"/>
      <c r="Q67" s="149"/>
      <c r="R67" s="149"/>
      <c r="S67" s="149"/>
      <c r="T67" s="149"/>
      <c r="U67" s="348" t="s">
        <v>1311</v>
      </c>
      <c r="V67" s="348"/>
      <c r="W67" s="350"/>
      <c r="X67" s="134"/>
      <c r="Y67" s="134"/>
      <c r="Z67" s="134"/>
    </row>
    <row r="68" spans="2:26" x14ac:dyDescent="0.3">
      <c r="B68" s="351" t="s">
        <v>82</v>
      </c>
      <c r="C68" s="131"/>
      <c r="E68" s="129"/>
      <c r="F68" s="129"/>
      <c r="G68" s="129"/>
      <c r="H68" s="340" t="s">
        <v>1311</v>
      </c>
      <c r="I68" s="343" t="s">
        <v>1311</v>
      </c>
      <c r="J68" s="129"/>
      <c r="K68" s="129"/>
      <c r="L68" s="346" t="s">
        <v>1311</v>
      </c>
      <c r="M68" s="129"/>
      <c r="N68" s="129"/>
      <c r="O68" s="149"/>
      <c r="P68" s="149"/>
      <c r="Q68" s="149"/>
      <c r="R68" s="149"/>
      <c r="S68" s="149"/>
      <c r="T68" s="149"/>
      <c r="U68" s="348" t="s">
        <v>1311</v>
      </c>
      <c r="V68" s="348"/>
      <c r="W68" s="350"/>
      <c r="X68" s="134"/>
      <c r="Y68" s="134"/>
      <c r="Z68" s="134"/>
    </row>
    <row r="69" spans="2:26" x14ac:dyDescent="0.3">
      <c r="B69" s="124" t="s">
        <v>2648</v>
      </c>
      <c r="C69" s="131">
        <v>349000</v>
      </c>
      <c r="D69" s="124" t="s">
        <v>2643</v>
      </c>
      <c r="E69" s="129" t="s">
        <v>2645</v>
      </c>
      <c r="F69" s="129" t="s">
        <v>2586</v>
      </c>
      <c r="G69" s="129" t="s">
        <v>2646</v>
      </c>
      <c r="H69" s="340">
        <v>60</v>
      </c>
      <c r="I69" s="343">
        <v>8</v>
      </c>
      <c r="J69" s="129" t="s">
        <v>2599</v>
      </c>
      <c r="K69" s="129" t="s">
        <v>2641</v>
      </c>
      <c r="L69" s="346">
        <v>350</v>
      </c>
      <c r="M69" s="129" t="s">
        <v>2647</v>
      </c>
      <c r="N69" s="129"/>
      <c r="O69" s="149"/>
      <c r="P69" s="149"/>
      <c r="Q69" s="149">
        <v>2</v>
      </c>
      <c r="R69" s="149">
        <v>1</v>
      </c>
      <c r="S69" s="149">
        <v>1</v>
      </c>
      <c r="T69" s="149"/>
      <c r="U69" s="348">
        <v>35</v>
      </c>
      <c r="V69" s="348">
        <v>0.5</v>
      </c>
      <c r="W69" s="350">
        <v>4.4000000000000004</v>
      </c>
      <c r="X69" s="134"/>
      <c r="Y69" s="134"/>
      <c r="Z69" s="134"/>
    </row>
    <row r="70" spans="2:26" x14ac:dyDescent="0.3">
      <c r="B70" s="124" t="s">
        <v>2649</v>
      </c>
      <c r="C70" s="131">
        <v>566000</v>
      </c>
      <c r="D70" s="124" t="s">
        <v>2644</v>
      </c>
      <c r="E70" s="129" t="s">
        <v>2645</v>
      </c>
      <c r="F70" s="129" t="s">
        <v>2586</v>
      </c>
      <c r="G70" s="129" t="s">
        <v>2633</v>
      </c>
      <c r="H70" s="340">
        <v>60</v>
      </c>
      <c r="I70" s="343">
        <v>6</v>
      </c>
      <c r="J70" s="129" t="s">
        <v>2599</v>
      </c>
      <c r="K70" s="129" t="s">
        <v>2609</v>
      </c>
      <c r="L70" s="346">
        <v>300</v>
      </c>
      <c r="M70" s="129"/>
      <c r="N70" s="129"/>
      <c r="O70" s="149"/>
      <c r="P70" s="149"/>
      <c r="Q70" s="149">
        <v>2</v>
      </c>
      <c r="R70" s="149">
        <v>1</v>
      </c>
      <c r="S70" s="149">
        <v>1</v>
      </c>
      <c r="T70" s="149"/>
      <c r="U70" s="348">
        <v>45</v>
      </c>
      <c r="V70" s="348">
        <v>0.3</v>
      </c>
      <c r="W70" s="350">
        <v>4.04</v>
      </c>
      <c r="X70" s="134"/>
      <c r="Y70" s="134"/>
      <c r="Z70" s="134" t="s">
        <v>2650</v>
      </c>
    </row>
    <row r="71" spans="2:26" x14ac:dyDescent="0.3">
      <c r="B71" s="124" t="s">
        <v>2690</v>
      </c>
      <c r="C71" s="131">
        <v>195000</v>
      </c>
      <c r="D71" s="124" t="s">
        <v>35</v>
      </c>
      <c r="E71" s="129" t="s">
        <v>43</v>
      </c>
      <c r="F71" s="129" t="s">
        <v>2586</v>
      </c>
      <c r="G71" s="129" t="s">
        <v>29</v>
      </c>
      <c r="H71" s="340">
        <v>60</v>
      </c>
      <c r="I71" s="343">
        <v>5</v>
      </c>
      <c r="J71" s="129" t="s">
        <v>20</v>
      </c>
      <c r="K71" s="129" t="s">
        <v>39</v>
      </c>
      <c r="L71" s="346">
        <v>250</v>
      </c>
      <c r="M71" s="129"/>
      <c r="N71" s="129"/>
      <c r="O71" s="149">
        <v>1</v>
      </c>
      <c r="P71" s="149"/>
      <c r="Q71" s="149">
        <v>2</v>
      </c>
      <c r="R71" s="149"/>
      <c r="S71" s="149"/>
      <c r="T71" s="149"/>
      <c r="U71" s="348">
        <v>30</v>
      </c>
      <c r="V71" s="348">
        <v>0.5</v>
      </c>
      <c r="W71" s="350">
        <v>4.5</v>
      </c>
      <c r="X71" s="134"/>
      <c r="Y71" s="134"/>
      <c r="Z71" s="134" t="s">
        <v>2650</v>
      </c>
    </row>
    <row r="72" spans="2:26" x14ac:dyDescent="0.3">
      <c r="B72" s="124" t="s">
        <v>919</v>
      </c>
      <c r="C72" s="131"/>
      <c r="E72" s="129"/>
      <c r="F72" s="129"/>
      <c r="G72" s="129"/>
      <c r="H72" s="340" t="s">
        <v>1311</v>
      </c>
      <c r="I72" s="343" t="s">
        <v>1311</v>
      </c>
      <c r="J72" s="129"/>
      <c r="K72" s="129"/>
      <c r="L72" s="346" t="s">
        <v>1311</v>
      </c>
      <c r="M72" s="129"/>
      <c r="N72" s="129"/>
      <c r="O72" s="149"/>
      <c r="P72" s="149"/>
      <c r="Q72" s="149"/>
      <c r="R72" s="149"/>
      <c r="S72" s="149"/>
      <c r="T72" s="149"/>
      <c r="U72" s="348" t="s">
        <v>1311</v>
      </c>
      <c r="V72" s="348"/>
      <c r="W72" s="350"/>
      <c r="X72" s="134"/>
      <c r="Y72" s="134"/>
      <c r="Z72" s="134"/>
    </row>
    <row r="73" spans="2:26" x14ac:dyDescent="0.3">
      <c r="B73" s="351" t="s">
        <v>85</v>
      </c>
      <c r="C73" s="131"/>
      <c r="E73" s="129"/>
      <c r="F73" s="129"/>
      <c r="G73" s="129"/>
      <c r="H73" s="340" t="s">
        <v>1311</v>
      </c>
      <c r="I73" s="343" t="s">
        <v>1311</v>
      </c>
      <c r="J73" s="129"/>
      <c r="K73" s="129"/>
      <c r="L73" s="346" t="s">
        <v>1311</v>
      </c>
      <c r="M73" s="129"/>
      <c r="N73" s="129"/>
      <c r="O73" s="149"/>
      <c r="P73" s="149"/>
      <c r="Q73" s="149"/>
      <c r="R73" s="149"/>
      <c r="S73" s="149"/>
      <c r="T73" s="149"/>
      <c r="U73" s="348" t="s">
        <v>1311</v>
      </c>
      <c r="V73" s="348"/>
      <c r="W73" s="350"/>
      <c r="X73" s="134"/>
      <c r="Y73" s="134"/>
      <c r="Z73" s="134"/>
    </row>
    <row r="74" spans="2:26" x14ac:dyDescent="0.3">
      <c r="B74" s="124" t="s">
        <v>2602</v>
      </c>
      <c r="C74" s="131">
        <v>235850</v>
      </c>
      <c r="D74" s="124" t="s">
        <v>46</v>
      </c>
      <c r="E74" s="129" t="s">
        <v>18</v>
      </c>
      <c r="F74" s="129" t="s">
        <v>2581</v>
      </c>
      <c r="G74" s="129" t="s">
        <v>57</v>
      </c>
      <c r="H74" s="340">
        <v>60</v>
      </c>
      <c r="I74" s="343">
        <v>4</v>
      </c>
      <c r="J74" s="129" t="s">
        <v>58</v>
      </c>
      <c r="K74" s="129" t="s">
        <v>37</v>
      </c>
      <c r="L74" s="346">
        <v>300</v>
      </c>
      <c r="M74" s="129" t="s">
        <v>2603</v>
      </c>
      <c r="N74" s="129"/>
      <c r="O74" s="149">
        <v>1</v>
      </c>
      <c r="P74" s="149"/>
      <c r="Q74" s="149">
        <v>2</v>
      </c>
      <c r="R74" s="149"/>
      <c r="S74" s="149"/>
      <c r="T74" s="149"/>
      <c r="U74" s="348">
        <v>45</v>
      </c>
      <c r="V74" s="348">
        <v>0.5</v>
      </c>
      <c r="W74" s="350">
        <v>4.3</v>
      </c>
      <c r="X74" s="134"/>
      <c r="Y74" s="134"/>
      <c r="Z74" s="134" t="s">
        <v>2650</v>
      </c>
    </row>
    <row r="75" spans="2:26" x14ac:dyDescent="0.3">
      <c r="B75" s="124" t="s">
        <v>89</v>
      </c>
      <c r="C75" s="131">
        <v>194390</v>
      </c>
      <c r="D75" s="124" t="s">
        <v>46</v>
      </c>
      <c r="E75" s="129" t="s">
        <v>43</v>
      </c>
      <c r="F75" s="129" t="s">
        <v>2581</v>
      </c>
      <c r="G75" s="129" t="s">
        <v>57</v>
      </c>
      <c r="H75" s="340">
        <v>60</v>
      </c>
      <c r="I75" s="343">
        <v>4</v>
      </c>
      <c r="J75" s="129" t="s">
        <v>58</v>
      </c>
      <c r="K75" s="129" t="s">
        <v>37</v>
      </c>
      <c r="L75" s="346">
        <v>300</v>
      </c>
      <c r="M75" s="129"/>
      <c r="N75" s="129"/>
      <c r="O75" s="149">
        <v>1</v>
      </c>
      <c r="P75" s="149">
        <v>1</v>
      </c>
      <c r="Q75" s="149">
        <v>1</v>
      </c>
      <c r="R75" s="149"/>
      <c r="S75" s="149"/>
      <c r="T75" s="149"/>
      <c r="U75" s="348">
        <v>27</v>
      </c>
      <c r="V75" s="348">
        <v>0.3</v>
      </c>
      <c r="W75" s="350">
        <v>4.5</v>
      </c>
      <c r="X75" s="134"/>
      <c r="Y75" s="134"/>
      <c r="Z75" s="134" t="s">
        <v>2650</v>
      </c>
    </row>
    <row r="76" spans="2:26" x14ac:dyDescent="0.3">
      <c r="B76" s="124" t="s">
        <v>90</v>
      </c>
      <c r="C76" s="131">
        <v>384760</v>
      </c>
      <c r="D76" s="124" t="s">
        <v>46</v>
      </c>
      <c r="E76" s="129" t="s">
        <v>86</v>
      </c>
      <c r="F76" s="129" t="s">
        <v>2581</v>
      </c>
      <c r="G76" s="129" t="s">
        <v>91</v>
      </c>
      <c r="H76" s="340">
        <v>60</v>
      </c>
      <c r="I76" s="343">
        <v>4</v>
      </c>
      <c r="J76" s="129" t="s">
        <v>20</v>
      </c>
      <c r="K76" s="129" t="s">
        <v>37</v>
      </c>
      <c r="L76" s="346">
        <v>350</v>
      </c>
      <c r="M76" s="129" t="s">
        <v>2605</v>
      </c>
      <c r="N76" s="129"/>
      <c r="O76" s="149">
        <v>1</v>
      </c>
      <c r="P76" s="149">
        <v>1</v>
      </c>
      <c r="Q76" s="149">
        <v>1</v>
      </c>
      <c r="R76" s="149"/>
      <c r="S76" s="149">
        <v>1</v>
      </c>
      <c r="T76" s="149"/>
      <c r="U76" s="348">
        <v>32</v>
      </c>
      <c r="V76" s="348">
        <v>0.5</v>
      </c>
      <c r="W76" s="350"/>
      <c r="X76" s="134"/>
      <c r="Y76" s="134"/>
      <c r="Z76" s="134" t="s">
        <v>2650</v>
      </c>
    </row>
    <row r="77" spans="2:26" x14ac:dyDescent="0.3">
      <c r="B77" s="124" t="s">
        <v>2606</v>
      </c>
      <c r="C77" s="131">
        <v>269760</v>
      </c>
      <c r="D77" s="124" t="s">
        <v>46</v>
      </c>
      <c r="E77" s="129" t="s">
        <v>18</v>
      </c>
      <c r="F77" s="129" t="s">
        <v>2581</v>
      </c>
      <c r="G77" s="129" t="s">
        <v>57</v>
      </c>
      <c r="H77" s="340">
        <v>60</v>
      </c>
      <c r="I77" s="343">
        <v>4</v>
      </c>
      <c r="J77" s="129" t="s">
        <v>58</v>
      </c>
      <c r="K77" s="129" t="s">
        <v>37</v>
      </c>
      <c r="L77" s="346">
        <v>300</v>
      </c>
      <c r="M77" s="129" t="s">
        <v>2607</v>
      </c>
      <c r="N77" s="129"/>
      <c r="O77" s="149">
        <v>1</v>
      </c>
      <c r="P77" s="149"/>
      <c r="Q77" s="149">
        <v>2</v>
      </c>
      <c r="R77" s="149"/>
      <c r="S77" s="149"/>
      <c r="T77" s="149"/>
      <c r="U77" s="348">
        <v>25</v>
      </c>
      <c r="V77" s="348">
        <v>0.5</v>
      </c>
      <c r="W77" s="350">
        <v>4.28</v>
      </c>
      <c r="X77" s="134"/>
      <c r="Y77" s="134"/>
      <c r="Z77" s="134"/>
    </row>
    <row r="78" spans="2:26" x14ac:dyDescent="0.3">
      <c r="B78" s="124" t="s">
        <v>2604</v>
      </c>
      <c r="C78" s="131">
        <v>508330</v>
      </c>
      <c r="D78" s="124" t="s">
        <v>46</v>
      </c>
      <c r="E78" s="129" t="s">
        <v>18</v>
      </c>
      <c r="F78" s="129" t="s">
        <v>2581</v>
      </c>
      <c r="G78" s="129" t="s">
        <v>25</v>
      </c>
      <c r="H78" s="340">
        <v>144</v>
      </c>
      <c r="I78" s="343">
        <v>1</v>
      </c>
      <c r="J78" s="129" t="s">
        <v>20</v>
      </c>
      <c r="K78" s="129" t="s">
        <v>60</v>
      </c>
      <c r="L78" s="346">
        <v>300</v>
      </c>
      <c r="M78" s="129"/>
      <c r="N78" s="129"/>
      <c r="O78" s="149">
        <v>1</v>
      </c>
      <c r="P78" s="149">
        <v>1</v>
      </c>
      <c r="Q78" s="149">
        <v>2</v>
      </c>
      <c r="R78" s="149"/>
      <c r="S78" s="149">
        <v>1</v>
      </c>
      <c r="T78" s="149"/>
      <c r="U78" s="348">
        <v>27</v>
      </c>
      <c r="V78" s="348">
        <v>0.3</v>
      </c>
      <c r="W78" s="350"/>
      <c r="X78" s="134"/>
      <c r="Y78" s="134"/>
      <c r="Z78" s="134" t="s">
        <v>2650</v>
      </c>
    </row>
    <row r="79" spans="2:26" x14ac:dyDescent="0.3">
      <c r="B79" s="124" t="s">
        <v>92</v>
      </c>
      <c r="C79" s="131">
        <v>669800</v>
      </c>
      <c r="D79" s="124" t="s">
        <v>46</v>
      </c>
      <c r="E79" s="129" t="s">
        <v>86</v>
      </c>
      <c r="F79" s="129" t="s">
        <v>2586</v>
      </c>
      <c r="G79" s="129" t="s">
        <v>25</v>
      </c>
      <c r="H79" s="340">
        <v>144</v>
      </c>
      <c r="I79" s="343">
        <v>1</v>
      </c>
      <c r="J79" s="129" t="s">
        <v>20</v>
      </c>
      <c r="K79" s="129" t="s">
        <v>60</v>
      </c>
      <c r="L79" s="346">
        <v>350</v>
      </c>
      <c r="M79" s="129" t="s">
        <v>2603</v>
      </c>
      <c r="N79" s="129"/>
      <c r="O79" s="149">
        <v>1</v>
      </c>
      <c r="P79" s="149">
        <v>1</v>
      </c>
      <c r="Q79" s="149">
        <v>2</v>
      </c>
      <c r="R79" s="149"/>
      <c r="S79" s="149">
        <v>1</v>
      </c>
      <c r="T79" s="149"/>
      <c r="U79" s="348">
        <v>65</v>
      </c>
      <c r="V79" s="348">
        <v>0.5</v>
      </c>
      <c r="W79" s="350">
        <v>7.5</v>
      </c>
      <c r="X79" s="134" t="s">
        <v>2590</v>
      </c>
      <c r="Y79" s="134"/>
      <c r="Z79" s="134" t="s">
        <v>2650</v>
      </c>
    </row>
    <row r="80" spans="2:26" x14ac:dyDescent="0.3">
      <c r="B80" s="124" t="s">
        <v>2673</v>
      </c>
      <c r="C80" s="131">
        <v>278000</v>
      </c>
      <c r="D80" s="124" t="s">
        <v>17</v>
      </c>
      <c r="E80" s="129" t="s">
        <v>18</v>
      </c>
      <c r="F80" s="129" t="s">
        <v>2586</v>
      </c>
      <c r="G80" s="129" t="s">
        <v>2646</v>
      </c>
      <c r="H80" s="340">
        <v>60</v>
      </c>
      <c r="I80" s="343">
        <v>6</v>
      </c>
      <c r="J80" s="129" t="s">
        <v>2660</v>
      </c>
      <c r="K80" s="129" t="s">
        <v>2653</v>
      </c>
      <c r="L80" s="346">
        <v>250</v>
      </c>
      <c r="M80" s="129"/>
      <c r="N80" s="129"/>
      <c r="O80" s="149">
        <v>1</v>
      </c>
      <c r="P80" s="149"/>
      <c r="Q80" s="149">
        <v>1</v>
      </c>
      <c r="R80" s="149"/>
      <c r="S80" s="149"/>
      <c r="T80" s="149"/>
      <c r="U80" s="348">
        <v>20</v>
      </c>
      <c r="V80" s="348">
        <v>0.5</v>
      </c>
      <c r="W80" s="350">
        <v>8.75</v>
      </c>
      <c r="X80" s="134"/>
      <c r="Y80" s="134"/>
      <c r="Z80" s="134" t="s">
        <v>2650</v>
      </c>
    </row>
    <row r="81" spans="2:26" x14ac:dyDescent="0.3">
      <c r="B81" s="124" t="s">
        <v>2666</v>
      </c>
      <c r="C81" s="131">
        <v>628900</v>
      </c>
      <c r="D81" s="124" t="s">
        <v>17</v>
      </c>
      <c r="E81" s="129" t="s">
        <v>2657</v>
      </c>
      <c r="F81" s="129" t="s">
        <v>2586</v>
      </c>
      <c r="G81" s="129" t="s">
        <v>2646</v>
      </c>
      <c r="H81" s="340">
        <v>60</v>
      </c>
      <c r="I81" s="343">
        <v>8</v>
      </c>
      <c r="J81" s="129" t="s">
        <v>2660</v>
      </c>
      <c r="K81" s="129" t="s">
        <v>2661</v>
      </c>
      <c r="L81" s="346">
        <v>350</v>
      </c>
      <c r="M81" s="129" t="s">
        <v>2647</v>
      </c>
      <c r="N81" s="129"/>
      <c r="O81" s="149"/>
      <c r="P81" s="149"/>
      <c r="Q81" s="149">
        <v>2</v>
      </c>
      <c r="R81" s="149">
        <v>1</v>
      </c>
      <c r="S81" s="149">
        <v>1</v>
      </c>
      <c r="T81" s="149"/>
      <c r="U81" s="348">
        <v>36</v>
      </c>
      <c r="V81" s="348">
        <v>0.5</v>
      </c>
      <c r="W81" s="350">
        <v>4.91</v>
      </c>
      <c r="X81" s="134"/>
      <c r="Y81" s="134"/>
      <c r="Z81" s="134" t="s">
        <v>2650</v>
      </c>
    </row>
    <row r="82" spans="2:26" x14ac:dyDescent="0.3">
      <c r="B82" s="124" t="s">
        <v>2672</v>
      </c>
      <c r="C82" s="131">
        <v>1850000</v>
      </c>
      <c r="D82" s="124" t="s">
        <v>17</v>
      </c>
      <c r="E82" s="129" t="s">
        <v>2658</v>
      </c>
      <c r="F82" s="129" t="s">
        <v>2586</v>
      </c>
      <c r="G82" s="129" t="s">
        <v>2646</v>
      </c>
      <c r="H82" s="340">
        <v>60</v>
      </c>
      <c r="I82" s="343">
        <v>8</v>
      </c>
      <c r="J82" s="129" t="s">
        <v>2599</v>
      </c>
      <c r="K82" s="129" t="s">
        <v>2662</v>
      </c>
      <c r="L82" s="346">
        <v>350</v>
      </c>
      <c r="M82" s="129" t="s">
        <v>2630</v>
      </c>
      <c r="N82" s="129"/>
      <c r="O82" s="149"/>
      <c r="P82" s="149"/>
      <c r="R82" s="149">
        <v>1</v>
      </c>
      <c r="S82" s="149">
        <v>2</v>
      </c>
      <c r="T82" s="149"/>
      <c r="U82" s="348">
        <v>100</v>
      </c>
      <c r="V82" s="348">
        <v>1.2</v>
      </c>
      <c r="W82" s="350">
        <v>13.5</v>
      </c>
      <c r="X82" s="134"/>
      <c r="Y82" s="134"/>
      <c r="Z82" s="134" t="s">
        <v>2650</v>
      </c>
    </row>
    <row r="83" spans="2:26" x14ac:dyDescent="0.3">
      <c r="B83" s="124" t="s">
        <v>2656</v>
      </c>
      <c r="C83" s="131">
        <v>723930</v>
      </c>
      <c r="D83" s="124" t="s">
        <v>17</v>
      </c>
      <c r="E83" s="129" t="s">
        <v>2659</v>
      </c>
      <c r="F83" s="129" t="s">
        <v>2586</v>
      </c>
      <c r="G83" s="129" t="s">
        <v>2663</v>
      </c>
      <c r="H83" s="340">
        <v>60</v>
      </c>
      <c r="I83" s="343">
        <v>6</v>
      </c>
      <c r="J83" s="129" t="s">
        <v>2660</v>
      </c>
      <c r="K83" s="129" t="s">
        <v>2609</v>
      </c>
      <c r="L83" s="346">
        <v>300</v>
      </c>
      <c r="M83" s="129"/>
      <c r="N83" s="129"/>
      <c r="O83" s="149"/>
      <c r="P83" s="149"/>
      <c r="Q83" s="149">
        <v>2</v>
      </c>
      <c r="R83" s="149">
        <v>1</v>
      </c>
      <c r="S83" s="149">
        <v>1</v>
      </c>
      <c r="T83" s="149"/>
      <c r="U83" s="348">
        <v>45</v>
      </c>
      <c r="V83" s="348">
        <v>0.3</v>
      </c>
      <c r="W83" s="350">
        <v>9.52</v>
      </c>
      <c r="X83" s="134"/>
      <c r="Y83" s="134"/>
      <c r="Z83" s="134" t="s">
        <v>2650</v>
      </c>
    </row>
    <row r="84" spans="2:26" x14ac:dyDescent="0.3">
      <c r="B84" s="269" t="s">
        <v>2664</v>
      </c>
      <c r="C84" s="131">
        <v>308000</v>
      </c>
      <c r="D84" s="124" t="s">
        <v>2665</v>
      </c>
      <c r="E84" s="129" t="s">
        <v>2667</v>
      </c>
      <c r="F84" s="129" t="s">
        <v>2586</v>
      </c>
      <c r="G84" s="129" t="s">
        <v>2668</v>
      </c>
      <c r="H84" s="340">
        <v>60</v>
      </c>
      <c r="I84" s="343">
        <v>6</v>
      </c>
      <c r="J84" s="129" t="s">
        <v>2669</v>
      </c>
      <c r="K84" s="129" t="s">
        <v>2670</v>
      </c>
      <c r="L84" s="346">
        <v>300</v>
      </c>
      <c r="M84" s="129" t="s">
        <v>2671</v>
      </c>
      <c r="N84" s="129"/>
      <c r="O84" s="149">
        <v>1</v>
      </c>
      <c r="P84" s="149"/>
      <c r="Q84" s="149">
        <v>2</v>
      </c>
      <c r="R84" s="149"/>
      <c r="S84" s="149"/>
      <c r="T84" s="149"/>
      <c r="U84" s="348">
        <v>29</v>
      </c>
      <c r="V84" s="348">
        <v>0.3</v>
      </c>
      <c r="W84" s="350">
        <v>8.09</v>
      </c>
      <c r="X84" s="134"/>
      <c r="Y84" s="134" t="s">
        <v>2650</v>
      </c>
      <c r="Z84" s="134" t="s">
        <v>2650</v>
      </c>
    </row>
    <row r="85" spans="2:26" x14ac:dyDescent="0.3">
      <c r="B85" s="269" t="s">
        <v>2777</v>
      </c>
      <c r="C85" s="131">
        <v>192900</v>
      </c>
      <c r="D85" s="124" t="s">
        <v>24</v>
      </c>
      <c r="E85" s="129" t="s">
        <v>2785</v>
      </c>
      <c r="F85" s="129" t="s">
        <v>2581</v>
      </c>
      <c r="G85" s="129" t="s">
        <v>2787</v>
      </c>
      <c r="H85" s="340">
        <v>60</v>
      </c>
      <c r="I85" s="343">
        <v>5</v>
      </c>
      <c r="J85" s="129" t="s">
        <v>2788</v>
      </c>
      <c r="K85" s="129" t="s">
        <v>2789</v>
      </c>
      <c r="L85" s="346">
        <v>250</v>
      </c>
      <c r="M85" s="129"/>
      <c r="N85" s="129"/>
      <c r="O85" s="149">
        <v>1</v>
      </c>
      <c r="P85" s="149"/>
      <c r="Q85" s="149">
        <v>1</v>
      </c>
      <c r="R85" s="149"/>
      <c r="S85" s="149"/>
      <c r="T85" s="149"/>
      <c r="U85" s="348">
        <v>27</v>
      </c>
      <c r="V85" s="348">
        <v>0.3</v>
      </c>
      <c r="W85" s="350">
        <v>3.9</v>
      </c>
      <c r="X85" s="134"/>
      <c r="Y85" s="134"/>
      <c r="Z85" s="134" t="s">
        <v>749</v>
      </c>
    </row>
    <row r="86" spans="2:26" x14ac:dyDescent="0.3">
      <c r="B86" s="269" t="s">
        <v>2778</v>
      </c>
      <c r="C86" s="131">
        <v>254000</v>
      </c>
      <c r="D86" s="124" t="s">
        <v>24</v>
      </c>
      <c r="E86" s="129" t="s">
        <v>2786</v>
      </c>
      <c r="F86" s="129" t="s">
        <v>2581</v>
      </c>
      <c r="G86" s="129" t="s">
        <v>2790</v>
      </c>
      <c r="H86" s="340"/>
      <c r="I86" s="343">
        <v>5</v>
      </c>
      <c r="J86" s="129" t="s">
        <v>2599</v>
      </c>
      <c r="K86" s="129" t="s">
        <v>2789</v>
      </c>
      <c r="L86" s="346">
        <v>250</v>
      </c>
      <c r="M86" s="129"/>
      <c r="N86" s="129"/>
      <c r="O86" s="149">
        <v>1</v>
      </c>
      <c r="P86" s="149"/>
      <c r="Q86" s="149">
        <v>2</v>
      </c>
      <c r="R86" s="149"/>
      <c r="S86" s="149"/>
      <c r="T86" s="149"/>
      <c r="U86" s="348">
        <v>32</v>
      </c>
      <c r="V86" s="348">
        <v>0.4</v>
      </c>
      <c r="W86" s="350">
        <v>5</v>
      </c>
      <c r="X86" s="134"/>
      <c r="Y86" s="134"/>
      <c r="Z86" s="134" t="s">
        <v>749</v>
      </c>
    </row>
    <row r="87" spans="2:26" x14ac:dyDescent="0.3">
      <c r="B87" s="124" t="s">
        <v>96</v>
      </c>
      <c r="C87" s="131">
        <v>282900</v>
      </c>
      <c r="D87" s="124" t="s">
        <v>24</v>
      </c>
      <c r="E87" s="129" t="s">
        <v>18</v>
      </c>
      <c r="F87" s="129" t="s">
        <v>2581</v>
      </c>
      <c r="G87" s="129" t="s">
        <v>29</v>
      </c>
      <c r="H87" s="340">
        <v>60</v>
      </c>
      <c r="I87" s="343">
        <v>5</v>
      </c>
      <c r="J87" s="129" t="s">
        <v>20</v>
      </c>
      <c r="K87" s="129" t="s">
        <v>26</v>
      </c>
      <c r="L87" s="346">
        <v>250</v>
      </c>
      <c r="M87" s="129"/>
      <c r="N87" s="129"/>
      <c r="O87" s="149">
        <v>1</v>
      </c>
      <c r="P87" s="149"/>
      <c r="Q87" s="149">
        <v>2</v>
      </c>
      <c r="R87" s="149"/>
      <c r="S87" s="149"/>
      <c r="T87" s="149"/>
      <c r="U87" s="348">
        <v>26</v>
      </c>
      <c r="V87" s="348">
        <v>0.3</v>
      </c>
      <c r="W87" s="350">
        <v>4.5999999999999996</v>
      </c>
      <c r="X87" s="134"/>
      <c r="Y87" s="134"/>
      <c r="Z87" s="134" t="s">
        <v>749</v>
      </c>
    </row>
    <row r="88" spans="2:26" x14ac:dyDescent="0.3">
      <c r="B88" s="124" t="s">
        <v>94</v>
      </c>
      <c r="C88" s="131">
        <v>245200</v>
      </c>
      <c r="D88" s="124" t="s">
        <v>24</v>
      </c>
      <c r="E88" s="129" t="s">
        <v>18</v>
      </c>
      <c r="F88" s="129" t="s">
        <v>2581</v>
      </c>
      <c r="G88" s="129" t="s">
        <v>19</v>
      </c>
      <c r="H88" s="340">
        <v>60</v>
      </c>
      <c r="I88" s="343">
        <v>5</v>
      </c>
      <c r="J88" s="129" t="s">
        <v>20</v>
      </c>
      <c r="K88" s="129" t="s">
        <v>26</v>
      </c>
      <c r="L88" s="346">
        <v>250</v>
      </c>
      <c r="M88" s="129"/>
      <c r="N88" s="129"/>
      <c r="O88" s="149">
        <v>1</v>
      </c>
      <c r="P88" s="149"/>
      <c r="Q88" s="149">
        <v>2</v>
      </c>
      <c r="R88" s="149"/>
      <c r="S88" s="149"/>
      <c r="T88" s="149"/>
      <c r="U88" s="348">
        <v>32</v>
      </c>
      <c r="V88" s="348">
        <v>1</v>
      </c>
      <c r="W88" s="350">
        <v>5</v>
      </c>
      <c r="X88" s="134"/>
      <c r="Y88" s="134"/>
      <c r="Z88" s="134" t="s">
        <v>749</v>
      </c>
    </row>
    <row r="89" spans="2:26" x14ac:dyDescent="0.3">
      <c r="B89" s="124" t="s">
        <v>97</v>
      </c>
      <c r="C89" s="131">
        <v>296000</v>
      </c>
      <c r="D89" s="124" t="s">
        <v>24</v>
      </c>
      <c r="E89" s="129" t="s">
        <v>18</v>
      </c>
      <c r="F89" s="129" t="s">
        <v>2581</v>
      </c>
      <c r="G89" s="129" t="s">
        <v>19</v>
      </c>
      <c r="H89" s="340">
        <v>60</v>
      </c>
      <c r="I89" s="343">
        <v>5</v>
      </c>
      <c r="J89" s="129" t="s">
        <v>20</v>
      </c>
      <c r="K89" s="129" t="s">
        <v>26</v>
      </c>
      <c r="L89" s="346">
        <v>250</v>
      </c>
      <c r="M89" s="129"/>
      <c r="N89" s="129"/>
      <c r="O89" s="149">
        <v>1</v>
      </c>
      <c r="P89" s="149"/>
      <c r="Q89" s="149">
        <v>2</v>
      </c>
      <c r="R89" s="149"/>
      <c r="S89" s="149"/>
      <c r="T89" s="149"/>
      <c r="U89" s="348">
        <v>35</v>
      </c>
      <c r="V89" s="348">
        <v>1</v>
      </c>
      <c r="W89" s="350">
        <v>4.9000000000000004</v>
      </c>
      <c r="X89" s="134"/>
      <c r="Y89" s="134"/>
      <c r="Z89" s="134" t="s">
        <v>749</v>
      </c>
    </row>
    <row r="90" spans="2:26" x14ac:dyDescent="0.3">
      <c r="B90" s="269" t="s">
        <v>2779</v>
      </c>
      <c r="C90" s="131">
        <v>581000</v>
      </c>
      <c r="D90" s="124" t="s">
        <v>24</v>
      </c>
      <c r="E90" s="129" t="s">
        <v>2784</v>
      </c>
      <c r="F90" s="129" t="s">
        <v>2581</v>
      </c>
      <c r="G90" s="129" t="s">
        <v>2791</v>
      </c>
      <c r="H90" s="340"/>
      <c r="I90" s="343">
        <v>5</v>
      </c>
      <c r="J90" s="129" t="s">
        <v>2788</v>
      </c>
      <c r="K90" s="129" t="s">
        <v>2792</v>
      </c>
      <c r="L90" s="346">
        <v>350</v>
      </c>
      <c r="M90" s="129" t="s">
        <v>2794</v>
      </c>
      <c r="N90" s="129"/>
      <c r="O90" s="149"/>
      <c r="P90" s="149"/>
      <c r="Q90" s="149">
        <v>2</v>
      </c>
      <c r="R90" s="149"/>
      <c r="S90" s="149">
        <v>1</v>
      </c>
      <c r="T90" s="149"/>
      <c r="U90" s="348">
        <v>29</v>
      </c>
      <c r="V90" s="348">
        <v>0.5</v>
      </c>
      <c r="W90" s="350">
        <v>6.2</v>
      </c>
      <c r="X90" s="134" t="s">
        <v>2793</v>
      </c>
      <c r="Y90" s="134"/>
      <c r="Z90" s="134" t="s">
        <v>749</v>
      </c>
    </row>
    <row r="91" spans="2:26" x14ac:dyDescent="0.3">
      <c r="B91" s="269" t="s">
        <v>2780</v>
      </c>
      <c r="C91" s="131">
        <v>516900</v>
      </c>
      <c r="D91" s="124" t="s">
        <v>24</v>
      </c>
      <c r="E91" s="129" t="s">
        <v>2783</v>
      </c>
      <c r="F91" s="129" t="s">
        <v>2581</v>
      </c>
      <c r="G91" s="129" t="s">
        <v>2795</v>
      </c>
      <c r="H91" s="340">
        <v>60</v>
      </c>
      <c r="I91" s="343">
        <v>5</v>
      </c>
      <c r="J91" s="129" t="s">
        <v>2796</v>
      </c>
      <c r="K91" s="129" t="s">
        <v>2797</v>
      </c>
      <c r="L91" s="346">
        <v>300</v>
      </c>
      <c r="M91" s="129" t="s">
        <v>2769</v>
      </c>
      <c r="N91" s="129"/>
      <c r="O91" s="149"/>
      <c r="P91" s="149"/>
      <c r="Q91" s="149">
        <v>1</v>
      </c>
      <c r="R91" s="149"/>
      <c r="S91" s="149">
        <v>1</v>
      </c>
      <c r="T91" s="149"/>
      <c r="U91" s="348">
        <v>29</v>
      </c>
      <c r="V91" s="348">
        <v>0.5</v>
      </c>
      <c r="W91" s="350">
        <v>6.7</v>
      </c>
      <c r="X91" s="134" t="s">
        <v>2793</v>
      </c>
      <c r="Y91" s="134"/>
      <c r="Z91" s="134" t="s">
        <v>749</v>
      </c>
    </row>
    <row r="92" spans="2:26" x14ac:dyDescent="0.3">
      <c r="B92" s="269" t="s">
        <v>2781</v>
      </c>
      <c r="C92" s="131">
        <v>205800</v>
      </c>
      <c r="D92" s="124" t="s">
        <v>24</v>
      </c>
      <c r="E92" s="129" t="s">
        <v>2782</v>
      </c>
      <c r="F92" s="129" t="s">
        <v>2581</v>
      </c>
      <c r="G92" s="129" t="s">
        <v>2791</v>
      </c>
      <c r="H92" s="340">
        <v>60</v>
      </c>
      <c r="I92" s="343">
        <v>5</v>
      </c>
      <c r="J92" s="129" t="s">
        <v>2788</v>
      </c>
      <c r="K92" s="129" t="s">
        <v>2792</v>
      </c>
      <c r="L92" s="346">
        <v>200</v>
      </c>
      <c r="M92" s="129"/>
      <c r="N92" s="129"/>
      <c r="O92" s="149">
        <v>1</v>
      </c>
      <c r="P92" s="149">
        <v>1</v>
      </c>
      <c r="Q92" s="149">
        <v>1</v>
      </c>
      <c r="R92" s="149"/>
      <c r="S92" s="149"/>
      <c r="T92" s="149"/>
      <c r="U92" s="348">
        <v>32</v>
      </c>
      <c r="V92" s="348">
        <v>0.3</v>
      </c>
      <c r="W92" s="350">
        <v>4.4000000000000004</v>
      </c>
      <c r="X92" s="134"/>
      <c r="Y92" s="134"/>
      <c r="Z92" s="134" t="s">
        <v>749</v>
      </c>
    </row>
    <row r="93" spans="2:26" x14ac:dyDescent="0.3">
      <c r="B93" s="124" t="s">
        <v>93</v>
      </c>
      <c r="C93" s="131">
        <v>209700</v>
      </c>
      <c r="D93" s="124" t="s">
        <v>24</v>
      </c>
      <c r="E93" s="129" t="s">
        <v>18</v>
      </c>
      <c r="F93" s="129" t="s">
        <v>2581</v>
      </c>
      <c r="G93" s="129" t="s">
        <v>29</v>
      </c>
      <c r="H93" s="340">
        <v>60</v>
      </c>
      <c r="I93" s="343">
        <v>5</v>
      </c>
      <c r="J93" s="129" t="s">
        <v>20</v>
      </c>
      <c r="K93" s="129" t="s">
        <v>26</v>
      </c>
      <c r="L93" s="346">
        <v>200</v>
      </c>
      <c r="M93" s="129"/>
      <c r="N93" s="129"/>
      <c r="O93" s="149">
        <v>1</v>
      </c>
      <c r="P93" s="149">
        <v>1</v>
      </c>
      <c r="Q93" s="149">
        <v>1</v>
      </c>
      <c r="R93" s="149"/>
      <c r="S93" s="149"/>
      <c r="T93" s="149"/>
      <c r="U93" s="348">
        <v>26</v>
      </c>
      <c r="V93" s="348">
        <v>0.3</v>
      </c>
      <c r="W93" s="350">
        <v>4.4000000000000004</v>
      </c>
      <c r="X93" s="134"/>
      <c r="Y93" s="134"/>
      <c r="Z93" s="134" t="s">
        <v>749</v>
      </c>
    </row>
    <row r="94" spans="2:26" x14ac:dyDescent="0.3">
      <c r="B94" s="124" t="s">
        <v>98</v>
      </c>
      <c r="C94" s="131">
        <v>529000</v>
      </c>
      <c r="D94" s="124" t="s">
        <v>24</v>
      </c>
      <c r="E94" s="129" t="s">
        <v>86</v>
      </c>
      <c r="F94" s="129" t="s">
        <v>2581</v>
      </c>
      <c r="G94" s="129" t="s">
        <v>29</v>
      </c>
      <c r="H94" s="340">
        <v>60</v>
      </c>
      <c r="I94" s="343">
        <v>5</v>
      </c>
      <c r="J94" s="129" t="s">
        <v>20</v>
      </c>
      <c r="K94" s="129"/>
      <c r="L94" s="346">
        <v>350</v>
      </c>
      <c r="M94" s="129" t="s">
        <v>84</v>
      </c>
      <c r="N94" s="129"/>
      <c r="O94" s="149"/>
      <c r="P94" s="149">
        <v>1</v>
      </c>
      <c r="Q94" s="149">
        <v>1</v>
      </c>
      <c r="R94" s="149"/>
      <c r="S94" s="149">
        <v>1</v>
      </c>
      <c r="T94" s="149"/>
      <c r="U94" s="348">
        <v>50</v>
      </c>
      <c r="V94" s="348">
        <v>1.2</v>
      </c>
      <c r="W94" s="350">
        <v>6.7</v>
      </c>
      <c r="X94" s="134"/>
      <c r="Y94" s="134"/>
      <c r="Z94" s="134" t="s">
        <v>749</v>
      </c>
    </row>
    <row r="95" spans="2:26" x14ac:dyDescent="0.3">
      <c r="B95" s="124" t="s">
        <v>95</v>
      </c>
      <c r="C95" s="131">
        <v>218900</v>
      </c>
      <c r="D95" s="124" t="s">
        <v>24</v>
      </c>
      <c r="E95" s="129" t="s">
        <v>18</v>
      </c>
      <c r="F95" s="129" t="s">
        <v>2581</v>
      </c>
      <c r="G95" s="129" t="s">
        <v>29</v>
      </c>
      <c r="H95" s="340">
        <v>60</v>
      </c>
      <c r="I95" s="343">
        <v>5</v>
      </c>
      <c r="J95" s="129" t="s">
        <v>20</v>
      </c>
      <c r="K95" s="129" t="s">
        <v>26</v>
      </c>
      <c r="L95" s="346">
        <v>250</v>
      </c>
      <c r="M95" s="129"/>
      <c r="N95" s="129"/>
      <c r="O95" s="149">
        <v>1</v>
      </c>
      <c r="P95" s="149"/>
      <c r="Q95" s="149">
        <v>1</v>
      </c>
      <c r="R95" s="149"/>
      <c r="S95" s="149"/>
      <c r="T95" s="149"/>
      <c r="U95" s="348">
        <v>26</v>
      </c>
      <c r="V95" s="348">
        <v>0.3</v>
      </c>
      <c r="W95" s="350">
        <v>4.5999999999999996</v>
      </c>
      <c r="X95" s="134"/>
      <c r="Y95" s="134"/>
      <c r="Z95" s="134" t="s">
        <v>749</v>
      </c>
    </row>
    <row r="96" spans="2:26" x14ac:dyDescent="0.3">
      <c r="B96" s="124" t="s">
        <v>99</v>
      </c>
      <c r="C96" s="131">
        <v>549000</v>
      </c>
      <c r="D96" s="124" t="s">
        <v>24</v>
      </c>
      <c r="E96" s="129" t="s">
        <v>86</v>
      </c>
      <c r="F96" s="129" t="s">
        <v>2581</v>
      </c>
      <c r="G96" s="129" t="s">
        <v>29</v>
      </c>
      <c r="H96" s="340">
        <v>60</v>
      </c>
      <c r="I96" s="343">
        <v>5</v>
      </c>
      <c r="J96" s="129" t="s">
        <v>20</v>
      </c>
      <c r="K96" s="129"/>
      <c r="L96" s="346">
        <v>350</v>
      </c>
      <c r="M96" s="129" t="s">
        <v>63</v>
      </c>
      <c r="N96" s="129"/>
      <c r="O96" s="149"/>
      <c r="P96" s="149">
        <v>1</v>
      </c>
      <c r="Q96" s="149">
        <v>1</v>
      </c>
      <c r="R96" s="149"/>
      <c r="S96" s="149">
        <v>1</v>
      </c>
      <c r="T96" s="149"/>
      <c r="U96" s="348">
        <v>75</v>
      </c>
      <c r="V96" s="348">
        <v>1.2</v>
      </c>
      <c r="W96" s="350">
        <v>7.6</v>
      </c>
      <c r="X96" s="134"/>
      <c r="Y96" s="134"/>
      <c r="Z96" s="134" t="s">
        <v>749</v>
      </c>
    </row>
    <row r="97" spans="2:26" x14ac:dyDescent="0.3">
      <c r="B97" s="124" t="s">
        <v>2802</v>
      </c>
      <c r="C97" s="131">
        <v>205300</v>
      </c>
      <c r="D97" s="124" t="s">
        <v>30</v>
      </c>
      <c r="E97" s="129" t="s">
        <v>18</v>
      </c>
      <c r="F97" s="129" t="s">
        <v>2581</v>
      </c>
      <c r="G97" s="129" t="s">
        <v>2803</v>
      </c>
      <c r="H97" s="340">
        <v>60</v>
      </c>
      <c r="I97" s="343">
        <v>4</v>
      </c>
      <c r="J97" s="129" t="s">
        <v>2804</v>
      </c>
      <c r="K97" s="129" t="s">
        <v>2805</v>
      </c>
      <c r="L97" s="346">
        <v>250</v>
      </c>
      <c r="M97" s="129" t="s">
        <v>2806</v>
      </c>
      <c r="N97" s="129"/>
      <c r="O97" s="149">
        <v>1</v>
      </c>
      <c r="P97" s="149"/>
      <c r="Q97" s="149">
        <v>1</v>
      </c>
      <c r="R97" s="149"/>
      <c r="S97" s="149"/>
      <c r="T97" s="149"/>
      <c r="U97" s="348">
        <v>25</v>
      </c>
      <c r="V97" s="348">
        <v>0.3</v>
      </c>
      <c r="W97" s="350">
        <v>4.4000000000000004</v>
      </c>
      <c r="X97" s="134" t="s">
        <v>2589</v>
      </c>
      <c r="Y97" s="134" t="s">
        <v>2650</v>
      </c>
      <c r="Z97" s="134" t="s">
        <v>2650</v>
      </c>
    </row>
    <row r="98" spans="2:26" x14ac:dyDescent="0.3">
      <c r="B98" s="124" t="s">
        <v>102</v>
      </c>
      <c r="C98" s="131">
        <v>239000</v>
      </c>
      <c r="D98" s="124" t="s">
        <v>30</v>
      </c>
      <c r="E98" s="129" t="s">
        <v>18</v>
      </c>
      <c r="F98" s="129" t="s">
        <v>2581</v>
      </c>
      <c r="G98" s="129" t="s">
        <v>33</v>
      </c>
      <c r="H98" s="340">
        <v>60</v>
      </c>
      <c r="I98" s="343">
        <v>5</v>
      </c>
      <c r="J98" s="129"/>
      <c r="K98" s="129" t="s">
        <v>31</v>
      </c>
      <c r="L98" s="346">
        <v>300</v>
      </c>
      <c r="M98" s="129"/>
      <c r="N98" s="129"/>
      <c r="O98" s="149">
        <v>1</v>
      </c>
      <c r="P98" s="149"/>
      <c r="Q98" s="149">
        <v>2</v>
      </c>
      <c r="R98" s="149"/>
      <c r="S98" s="149"/>
      <c r="T98" s="149"/>
      <c r="U98" s="348">
        <v>45</v>
      </c>
      <c r="V98" s="348">
        <v>0.5</v>
      </c>
      <c r="W98" s="350">
        <v>4.9000000000000004</v>
      </c>
      <c r="X98" s="134"/>
      <c r="Y98" s="134"/>
      <c r="Z98" s="134" t="s">
        <v>2650</v>
      </c>
    </row>
    <row r="99" spans="2:26" x14ac:dyDescent="0.3">
      <c r="B99" s="124" t="s">
        <v>2801</v>
      </c>
      <c r="C99" s="131">
        <v>190900</v>
      </c>
      <c r="D99" s="124" t="s">
        <v>30</v>
      </c>
      <c r="E99" s="129" t="s">
        <v>18</v>
      </c>
      <c r="F99" s="129" t="s">
        <v>2581</v>
      </c>
      <c r="G99" s="129" t="s">
        <v>2807</v>
      </c>
      <c r="H99" s="340">
        <v>60</v>
      </c>
      <c r="I99" s="343">
        <v>4</v>
      </c>
      <c r="J99" s="129" t="s">
        <v>2808</v>
      </c>
      <c r="K99" s="129" t="s">
        <v>2809</v>
      </c>
      <c r="L99" s="346">
        <v>250</v>
      </c>
      <c r="M99" s="129" t="s">
        <v>2810</v>
      </c>
      <c r="N99" s="129"/>
      <c r="O99" s="149">
        <v>1</v>
      </c>
      <c r="P99" s="149"/>
      <c r="Q99" s="149">
        <v>1</v>
      </c>
      <c r="R99" s="149"/>
      <c r="S99" s="149"/>
      <c r="T99" s="149"/>
      <c r="U99" s="348">
        <v>25</v>
      </c>
      <c r="V99" s="348">
        <v>0.3</v>
      </c>
      <c r="W99" s="350">
        <v>4.8</v>
      </c>
      <c r="X99" s="134" t="s">
        <v>2589</v>
      </c>
      <c r="Y99" s="134"/>
      <c r="Z99" s="134" t="s">
        <v>2650</v>
      </c>
    </row>
    <row r="100" spans="2:26" x14ac:dyDescent="0.3">
      <c r="B100" s="124" t="s">
        <v>2800</v>
      </c>
      <c r="C100" s="131">
        <v>290000</v>
      </c>
      <c r="D100" s="124" t="s">
        <v>30</v>
      </c>
      <c r="E100" s="129" t="s">
        <v>18</v>
      </c>
      <c r="F100" s="129" t="s">
        <v>2581</v>
      </c>
      <c r="G100" s="129" t="s">
        <v>2811</v>
      </c>
      <c r="H100" s="340">
        <v>60</v>
      </c>
      <c r="I100" s="343">
        <v>4</v>
      </c>
      <c r="J100" s="129" t="s">
        <v>2804</v>
      </c>
      <c r="K100" s="129" t="s">
        <v>2805</v>
      </c>
      <c r="L100" s="346">
        <v>250</v>
      </c>
      <c r="M100" s="129"/>
      <c r="N100" s="129"/>
      <c r="O100" s="149"/>
      <c r="P100" s="149"/>
      <c r="Q100" s="149">
        <v>1</v>
      </c>
      <c r="R100" s="149"/>
      <c r="S100" s="149">
        <v>1</v>
      </c>
      <c r="T100" s="149"/>
      <c r="U100" s="348">
        <v>35</v>
      </c>
      <c r="V100" s="348">
        <v>0.3</v>
      </c>
      <c r="W100" s="350">
        <v>4.3</v>
      </c>
      <c r="X100" s="134" t="s">
        <v>2589</v>
      </c>
      <c r="Y100" s="134"/>
      <c r="Z100" s="134" t="s">
        <v>2650</v>
      </c>
    </row>
    <row r="101" spans="2:26" x14ac:dyDescent="0.3">
      <c r="B101" s="124" t="s">
        <v>2799</v>
      </c>
      <c r="C101" s="131">
        <v>306900</v>
      </c>
      <c r="D101" s="124" t="s">
        <v>30</v>
      </c>
      <c r="E101" s="129" t="s">
        <v>18</v>
      </c>
      <c r="F101" s="129" t="s">
        <v>2581</v>
      </c>
      <c r="G101" s="129" t="s">
        <v>2803</v>
      </c>
      <c r="H101" s="340">
        <v>60</v>
      </c>
      <c r="I101" s="343">
        <v>4</v>
      </c>
      <c r="J101" s="129" t="s">
        <v>2804</v>
      </c>
      <c r="K101" s="129" t="s">
        <v>2805</v>
      </c>
      <c r="L101" s="346">
        <v>250</v>
      </c>
      <c r="M101" s="129" t="s">
        <v>2812</v>
      </c>
      <c r="N101" s="129"/>
      <c r="O101" s="149">
        <v>1</v>
      </c>
      <c r="P101" s="149"/>
      <c r="Q101" s="149">
        <v>1</v>
      </c>
      <c r="R101" s="149"/>
      <c r="S101" s="149">
        <v>1</v>
      </c>
      <c r="T101" s="149"/>
      <c r="U101" s="348">
        <v>45</v>
      </c>
      <c r="V101" s="348">
        <v>0.3</v>
      </c>
      <c r="W101" s="350">
        <v>4.4000000000000004</v>
      </c>
      <c r="X101" s="134" t="s">
        <v>2589</v>
      </c>
      <c r="Y101" s="134" t="s">
        <v>2650</v>
      </c>
      <c r="Z101" s="134" t="s">
        <v>2650</v>
      </c>
    </row>
    <row r="102" spans="2:26" x14ac:dyDescent="0.3">
      <c r="B102" s="124" t="s">
        <v>100</v>
      </c>
      <c r="C102" s="131">
        <v>208000</v>
      </c>
      <c r="D102" s="124" t="s">
        <v>30</v>
      </c>
      <c r="E102" s="129" t="s">
        <v>18</v>
      </c>
      <c r="F102" s="129" t="s">
        <v>2581</v>
      </c>
      <c r="G102" s="129" t="s">
        <v>25</v>
      </c>
      <c r="H102" s="340">
        <v>60</v>
      </c>
      <c r="I102" s="343">
        <v>1</v>
      </c>
      <c r="J102" s="129" t="s">
        <v>20</v>
      </c>
      <c r="K102" s="129" t="s">
        <v>31</v>
      </c>
      <c r="L102" s="346">
        <v>300</v>
      </c>
      <c r="M102" s="129"/>
      <c r="N102" s="129"/>
      <c r="O102" s="149">
        <v>1</v>
      </c>
      <c r="P102" s="149"/>
      <c r="Q102" s="149">
        <v>1</v>
      </c>
      <c r="R102" s="149"/>
      <c r="S102" s="149"/>
      <c r="T102" s="149"/>
      <c r="U102" s="348">
        <v>32</v>
      </c>
      <c r="V102" s="348">
        <v>0.3</v>
      </c>
      <c r="W102" s="350">
        <v>4.9000000000000004</v>
      </c>
      <c r="X102" s="134"/>
      <c r="Y102" s="134"/>
      <c r="Z102" s="134" t="s">
        <v>2650</v>
      </c>
    </row>
    <row r="103" spans="2:26" x14ac:dyDescent="0.3">
      <c r="B103" s="124" t="s">
        <v>2798</v>
      </c>
      <c r="C103" s="131">
        <v>223000</v>
      </c>
      <c r="D103" s="124" t="s">
        <v>30</v>
      </c>
      <c r="E103" s="129" t="s">
        <v>18</v>
      </c>
      <c r="F103" s="129" t="s">
        <v>2581</v>
      </c>
      <c r="G103" s="129" t="s">
        <v>2813</v>
      </c>
      <c r="H103" s="340">
        <v>60</v>
      </c>
      <c r="I103" s="343">
        <v>4</v>
      </c>
      <c r="J103" s="129" t="s">
        <v>2804</v>
      </c>
      <c r="K103" s="129" t="s">
        <v>2814</v>
      </c>
      <c r="L103" s="346">
        <v>250</v>
      </c>
      <c r="M103" s="129"/>
      <c r="N103" s="129"/>
      <c r="O103" s="149">
        <v>1</v>
      </c>
      <c r="P103" s="149"/>
      <c r="Q103" s="149">
        <v>1</v>
      </c>
      <c r="R103" s="149"/>
      <c r="S103" s="149"/>
      <c r="T103" s="149"/>
      <c r="U103" s="348">
        <v>28</v>
      </c>
      <c r="V103" s="348">
        <v>0.3</v>
      </c>
      <c r="W103" s="350">
        <v>5.52</v>
      </c>
      <c r="X103" s="134"/>
      <c r="Y103" s="134" t="s">
        <v>2650</v>
      </c>
      <c r="Z103" s="134" t="s">
        <v>2650</v>
      </c>
    </row>
    <row r="104" spans="2:26" x14ac:dyDescent="0.3">
      <c r="B104" s="124" t="s">
        <v>105</v>
      </c>
      <c r="C104" s="131">
        <v>509000</v>
      </c>
      <c r="D104" s="124" t="s">
        <v>30</v>
      </c>
      <c r="E104" s="129" t="s">
        <v>86</v>
      </c>
      <c r="F104" s="129" t="s">
        <v>2581</v>
      </c>
      <c r="G104" s="129" t="s">
        <v>33</v>
      </c>
      <c r="H104" s="340">
        <v>60</v>
      </c>
      <c r="I104" s="343">
        <v>5</v>
      </c>
      <c r="J104" s="129" t="s">
        <v>20</v>
      </c>
      <c r="K104" s="129" t="s">
        <v>31</v>
      </c>
      <c r="L104" s="346">
        <v>300</v>
      </c>
      <c r="M104" s="129"/>
      <c r="N104" s="129"/>
      <c r="O104" s="149"/>
      <c r="P104" s="149">
        <v>1</v>
      </c>
      <c r="Q104" s="149">
        <v>1</v>
      </c>
      <c r="R104" s="149"/>
      <c r="S104" s="149">
        <v>1</v>
      </c>
      <c r="T104" s="149"/>
      <c r="U104" s="348">
        <v>33</v>
      </c>
      <c r="V104" s="348">
        <v>0.45</v>
      </c>
      <c r="W104" s="350">
        <v>9.9499999999999993</v>
      </c>
      <c r="X104" s="134"/>
      <c r="Y104" s="134"/>
      <c r="Z104" s="134" t="s">
        <v>2650</v>
      </c>
    </row>
    <row r="105" spans="2:26" x14ac:dyDescent="0.3">
      <c r="B105" s="124" t="s">
        <v>101</v>
      </c>
      <c r="C105" s="131">
        <v>241000</v>
      </c>
      <c r="D105" s="124" t="s">
        <v>30</v>
      </c>
      <c r="E105" s="129" t="s">
        <v>18</v>
      </c>
      <c r="F105" s="129" t="s">
        <v>2581</v>
      </c>
      <c r="G105" s="129" t="s">
        <v>33</v>
      </c>
      <c r="H105" s="340">
        <v>60</v>
      </c>
      <c r="I105" s="343">
        <v>4</v>
      </c>
      <c r="J105" s="129" t="s">
        <v>20</v>
      </c>
      <c r="K105" s="129" t="s">
        <v>31</v>
      </c>
      <c r="L105" s="346">
        <v>300</v>
      </c>
      <c r="M105" s="129"/>
      <c r="N105" s="129"/>
      <c r="O105" s="149">
        <v>1</v>
      </c>
      <c r="P105" s="149"/>
      <c r="Q105" s="149">
        <v>1</v>
      </c>
      <c r="R105" s="149"/>
      <c r="S105" s="149">
        <v>1</v>
      </c>
      <c r="T105" s="149"/>
      <c r="U105" s="348">
        <v>20</v>
      </c>
      <c r="V105" s="348">
        <v>0.3</v>
      </c>
      <c r="W105" s="350">
        <v>5.2</v>
      </c>
      <c r="X105" s="134" t="s">
        <v>2589</v>
      </c>
      <c r="Y105" s="134"/>
      <c r="Z105" s="134" t="s">
        <v>2650</v>
      </c>
    </row>
    <row r="106" spans="2:26" x14ac:dyDescent="0.3">
      <c r="B106" s="124" t="s">
        <v>104</v>
      </c>
      <c r="C106" s="131">
        <v>299000</v>
      </c>
      <c r="D106" s="124" t="s">
        <v>30</v>
      </c>
      <c r="E106" s="129" t="s">
        <v>18</v>
      </c>
      <c r="F106" s="129" t="s">
        <v>2581</v>
      </c>
      <c r="G106" s="129" t="s">
        <v>103</v>
      </c>
      <c r="H106" s="340">
        <v>60</v>
      </c>
      <c r="I106" s="343">
        <v>5</v>
      </c>
      <c r="J106" s="129" t="s">
        <v>58</v>
      </c>
      <c r="K106" s="129" t="s">
        <v>31</v>
      </c>
      <c r="L106" s="346">
        <v>300</v>
      </c>
      <c r="M106" s="129"/>
      <c r="N106" s="129"/>
      <c r="O106" s="149">
        <v>1</v>
      </c>
      <c r="P106" s="149"/>
      <c r="Q106" s="149">
        <v>2</v>
      </c>
      <c r="R106" s="149"/>
      <c r="S106" s="149"/>
      <c r="T106" s="149"/>
      <c r="U106" s="348">
        <v>45</v>
      </c>
      <c r="V106" s="348">
        <v>0.5</v>
      </c>
      <c r="W106" s="350">
        <v>5.6</v>
      </c>
      <c r="X106" s="134"/>
      <c r="Y106" s="134" t="s">
        <v>2650</v>
      </c>
      <c r="Z106" s="134" t="s">
        <v>2650</v>
      </c>
    </row>
    <row r="107" spans="2:26" x14ac:dyDescent="0.3">
      <c r="B107" s="124" t="s">
        <v>2682</v>
      </c>
      <c r="C107" s="131">
        <v>178000</v>
      </c>
      <c r="D107" s="124" t="s">
        <v>35</v>
      </c>
      <c r="E107" s="129" t="s">
        <v>18</v>
      </c>
      <c r="F107" s="129" t="s">
        <v>2581</v>
      </c>
      <c r="G107" s="129" t="s">
        <v>36</v>
      </c>
      <c r="H107" s="340">
        <v>60</v>
      </c>
      <c r="I107" s="343">
        <v>5</v>
      </c>
      <c r="J107" s="129" t="s">
        <v>20</v>
      </c>
      <c r="K107" s="129" t="s">
        <v>26</v>
      </c>
      <c r="L107" s="346">
        <v>250</v>
      </c>
      <c r="M107" s="129"/>
      <c r="N107" s="129"/>
      <c r="O107" s="149">
        <v>1</v>
      </c>
      <c r="P107" s="149">
        <v>1</v>
      </c>
      <c r="Q107" s="149">
        <v>1</v>
      </c>
      <c r="R107" s="149"/>
      <c r="S107" s="149"/>
      <c r="T107" s="149"/>
      <c r="U107" s="348">
        <v>30</v>
      </c>
      <c r="V107" s="348">
        <v>0.2</v>
      </c>
      <c r="W107" s="350">
        <v>5.2</v>
      </c>
      <c r="X107" s="134"/>
      <c r="Y107" s="134"/>
      <c r="Z107" s="134"/>
    </row>
    <row r="108" spans="2:26" x14ac:dyDescent="0.3">
      <c r="B108" s="124" t="s">
        <v>2677</v>
      </c>
      <c r="C108" s="131">
        <v>213100</v>
      </c>
      <c r="D108" s="124" t="s">
        <v>35</v>
      </c>
      <c r="E108" s="129" t="s">
        <v>18</v>
      </c>
      <c r="F108" s="129" t="s">
        <v>2581</v>
      </c>
      <c r="G108" s="129" t="s">
        <v>29</v>
      </c>
      <c r="H108" s="340">
        <v>60</v>
      </c>
      <c r="I108" s="343">
        <v>5</v>
      </c>
      <c r="J108" s="129" t="s">
        <v>20</v>
      </c>
      <c r="K108" s="129" t="s">
        <v>37</v>
      </c>
      <c r="L108" s="346">
        <v>250</v>
      </c>
      <c r="M108" s="129"/>
      <c r="N108" s="129"/>
      <c r="O108" s="149">
        <v>1</v>
      </c>
      <c r="P108" s="149">
        <v>1</v>
      </c>
      <c r="Q108" s="149">
        <v>1</v>
      </c>
      <c r="R108" s="149"/>
      <c r="S108" s="149"/>
      <c r="T108" s="149"/>
      <c r="U108" s="348">
        <v>26</v>
      </c>
      <c r="V108" s="348">
        <v>0.4</v>
      </c>
      <c r="W108" s="350">
        <v>5.0999999999999996</v>
      </c>
      <c r="X108" s="134"/>
      <c r="Z108" s="134" t="s">
        <v>2650</v>
      </c>
    </row>
    <row r="109" spans="2:26" x14ac:dyDescent="0.3">
      <c r="B109" s="124" t="s">
        <v>2678</v>
      </c>
      <c r="C109" s="131">
        <v>244200</v>
      </c>
      <c r="D109" s="124" t="s">
        <v>35</v>
      </c>
      <c r="E109" s="129" t="s">
        <v>18</v>
      </c>
      <c r="F109" s="129" t="s">
        <v>2675</v>
      </c>
      <c r="G109" s="129" t="s">
        <v>2683</v>
      </c>
      <c r="H109" s="340">
        <v>60</v>
      </c>
      <c r="I109" s="343">
        <v>5</v>
      </c>
      <c r="J109" s="129" t="s">
        <v>2599</v>
      </c>
      <c r="K109" s="129" t="s">
        <v>2684</v>
      </c>
      <c r="L109" s="346">
        <v>250</v>
      </c>
      <c r="M109" s="129"/>
      <c r="N109" s="129"/>
      <c r="O109" s="149">
        <v>1</v>
      </c>
      <c r="P109" s="149">
        <v>1</v>
      </c>
      <c r="Q109" s="149">
        <v>1</v>
      </c>
      <c r="R109" s="149"/>
      <c r="S109" s="149"/>
      <c r="T109" s="149"/>
      <c r="U109" s="348">
        <v>27</v>
      </c>
      <c r="V109" s="348">
        <v>0.5</v>
      </c>
      <c r="W109" s="350">
        <v>4.9000000000000004</v>
      </c>
      <c r="X109" s="134"/>
      <c r="Z109" s="134" t="s">
        <v>2650</v>
      </c>
    </row>
    <row r="110" spans="2:26" x14ac:dyDescent="0.3">
      <c r="B110" s="124" t="s">
        <v>2679</v>
      </c>
      <c r="C110" s="131">
        <v>234000</v>
      </c>
      <c r="D110" s="124" t="s">
        <v>35</v>
      </c>
      <c r="E110" s="129" t="s">
        <v>18</v>
      </c>
      <c r="F110" s="129" t="s">
        <v>2675</v>
      </c>
      <c r="G110" s="129" t="s">
        <v>29</v>
      </c>
      <c r="H110" s="340">
        <v>60</v>
      </c>
      <c r="I110" s="343">
        <v>5</v>
      </c>
      <c r="J110" s="129" t="s">
        <v>20</v>
      </c>
      <c r="K110" s="129" t="s">
        <v>37</v>
      </c>
      <c r="L110" s="346">
        <v>250</v>
      </c>
      <c r="M110" s="129"/>
      <c r="N110" s="129"/>
      <c r="O110" s="149">
        <v>1</v>
      </c>
      <c r="P110" s="149"/>
      <c r="Q110" s="149">
        <v>2</v>
      </c>
      <c r="R110" s="149"/>
      <c r="S110" s="149">
        <v>1</v>
      </c>
      <c r="T110" s="149"/>
      <c r="U110" s="348">
        <v>26</v>
      </c>
      <c r="V110" s="348">
        <v>0.3</v>
      </c>
      <c r="W110" s="350">
        <v>5.7</v>
      </c>
      <c r="X110" s="134"/>
      <c r="Z110" s="134" t="s">
        <v>2650</v>
      </c>
    </row>
    <row r="111" spans="2:26" x14ac:dyDescent="0.3">
      <c r="B111" s="124" t="s">
        <v>2676</v>
      </c>
      <c r="C111" s="131">
        <v>293400</v>
      </c>
      <c r="D111" s="124" t="s">
        <v>35</v>
      </c>
      <c r="E111" s="129" t="s">
        <v>18</v>
      </c>
      <c r="F111" s="129" t="s">
        <v>2675</v>
      </c>
      <c r="G111" s="129" t="s">
        <v>29</v>
      </c>
      <c r="H111" s="340">
        <v>60</v>
      </c>
      <c r="I111" s="343">
        <v>5</v>
      </c>
      <c r="J111" s="129" t="s">
        <v>20</v>
      </c>
      <c r="K111" s="129" t="s">
        <v>39</v>
      </c>
      <c r="L111" s="346">
        <v>250</v>
      </c>
      <c r="M111" s="129"/>
      <c r="N111" s="129"/>
      <c r="O111" s="149">
        <v>1</v>
      </c>
      <c r="P111" s="149"/>
      <c r="Q111" s="149">
        <v>2</v>
      </c>
      <c r="R111" s="149"/>
      <c r="S111" s="149">
        <v>1</v>
      </c>
      <c r="T111" s="149"/>
      <c r="U111" s="348">
        <v>27</v>
      </c>
      <c r="V111" s="348">
        <v>0.5</v>
      </c>
      <c r="W111" s="350">
        <v>6.05</v>
      </c>
      <c r="X111" s="134"/>
      <c r="Z111" s="134" t="s">
        <v>2650</v>
      </c>
    </row>
    <row r="112" spans="2:26" x14ac:dyDescent="0.3">
      <c r="B112" s="124" t="s">
        <v>106</v>
      </c>
      <c r="C112" s="131">
        <v>241000</v>
      </c>
      <c r="D112" s="124" t="s">
        <v>35</v>
      </c>
      <c r="E112" s="129" t="s">
        <v>18</v>
      </c>
      <c r="F112" s="129" t="s">
        <v>2675</v>
      </c>
      <c r="G112" s="129" t="s">
        <v>36</v>
      </c>
      <c r="H112" s="340">
        <v>60</v>
      </c>
      <c r="I112" s="343">
        <v>5</v>
      </c>
      <c r="J112" s="129" t="s">
        <v>20</v>
      </c>
      <c r="K112" s="129" t="s">
        <v>39</v>
      </c>
      <c r="L112" s="346">
        <v>250</v>
      </c>
      <c r="M112" s="129"/>
      <c r="N112" s="129"/>
      <c r="O112" s="149">
        <v>1</v>
      </c>
      <c r="P112" s="149">
        <v>1</v>
      </c>
      <c r="Q112" s="149">
        <v>1</v>
      </c>
      <c r="R112" s="149"/>
      <c r="S112" s="149"/>
      <c r="T112" s="149"/>
      <c r="U112" s="348">
        <v>31</v>
      </c>
      <c r="V112" s="348">
        <v>0.5</v>
      </c>
      <c r="W112" s="350">
        <v>5.98</v>
      </c>
      <c r="X112" s="134"/>
      <c r="Z112" s="134" t="s">
        <v>2650</v>
      </c>
    </row>
    <row r="113" spans="2:26" x14ac:dyDescent="0.3">
      <c r="B113" s="124" t="s">
        <v>2680</v>
      </c>
      <c r="C113" s="131">
        <v>218000</v>
      </c>
      <c r="D113" s="124" t="s">
        <v>35</v>
      </c>
      <c r="E113" s="129" t="s">
        <v>18</v>
      </c>
      <c r="F113" s="129" t="s">
        <v>2675</v>
      </c>
      <c r="G113" s="129" t="s">
        <v>2685</v>
      </c>
      <c r="H113" s="340">
        <v>60</v>
      </c>
      <c r="I113" s="343">
        <v>6</v>
      </c>
      <c r="J113" s="129" t="s">
        <v>2686</v>
      </c>
      <c r="K113" s="129" t="s">
        <v>2634</v>
      </c>
      <c r="L113" s="346">
        <v>250</v>
      </c>
      <c r="M113" s="129" t="s">
        <v>2687</v>
      </c>
      <c r="N113" s="129"/>
      <c r="O113" s="149">
        <v>1</v>
      </c>
      <c r="P113" s="149"/>
      <c r="Q113" s="149">
        <v>2</v>
      </c>
      <c r="R113" s="149"/>
      <c r="S113" s="149"/>
      <c r="T113" s="149"/>
      <c r="U113" s="348">
        <v>32</v>
      </c>
      <c r="V113" s="348">
        <v>0.5</v>
      </c>
      <c r="W113" s="350">
        <v>4.54</v>
      </c>
      <c r="X113" s="134"/>
      <c r="Z113" s="134" t="s">
        <v>2650</v>
      </c>
    </row>
    <row r="114" spans="2:26" x14ac:dyDescent="0.3">
      <c r="B114" s="124" t="s">
        <v>2681</v>
      </c>
      <c r="C114" s="131">
        <v>269400</v>
      </c>
      <c r="D114" s="124" t="s">
        <v>35</v>
      </c>
      <c r="E114" s="129" t="s">
        <v>18</v>
      </c>
      <c r="F114" s="129" t="s">
        <v>2675</v>
      </c>
      <c r="G114" s="129" t="s">
        <v>2688</v>
      </c>
      <c r="H114" s="340">
        <v>60</v>
      </c>
      <c r="I114" s="343">
        <v>5</v>
      </c>
      <c r="J114" s="129" t="s">
        <v>2599</v>
      </c>
      <c r="K114" s="129" t="s">
        <v>2689</v>
      </c>
      <c r="L114" s="346">
        <v>250</v>
      </c>
      <c r="M114" s="129"/>
      <c r="N114" s="129"/>
      <c r="O114" s="149">
        <v>1</v>
      </c>
      <c r="P114" s="149"/>
      <c r="Q114" s="149">
        <v>2</v>
      </c>
      <c r="R114" s="149"/>
      <c r="S114" s="149"/>
      <c r="T114" s="149"/>
      <c r="U114" s="348">
        <v>31</v>
      </c>
      <c r="V114" s="348">
        <v>0.5</v>
      </c>
      <c r="W114" s="350">
        <v>4.3</v>
      </c>
      <c r="X114" s="134"/>
      <c r="Z114" s="134" t="s">
        <v>2650</v>
      </c>
    </row>
    <row r="115" spans="2:26" x14ac:dyDescent="0.3">
      <c r="B115" s="124" t="s">
        <v>919</v>
      </c>
      <c r="C115" s="131"/>
      <c r="E115" s="129"/>
      <c r="F115" s="129"/>
      <c r="G115" s="129"/>
      <c r="H115" s="340" t="s">
        <v>1311</v>
      </c>
      <c r="I115" s="343" t="s">
        <v>1311</v>
      </c>
      <c r="J115" s="129"/>
      <c r="K115" s="129"/>
      <c r="L115" s="346" t="s">
        <v>1311</v>
      </c>
      <c r="M115" s="129"/>
      <c r="N115" s="129"/>
      <c r="O115" s="149"/>
      <c r="P115" s="149"/>
      <c r="Q115" s="149"/>
      <c r="R115" s="149"/>
      <c r="S115" s="149"/>
      <c r="T115" s="149"/>
      <c r="U115" s="348" t="s">
        <v>1311</v>
      </c>
      <c r="V115" s="348"/>
      <c r="W115" s="350"/>
      <c r="X115" s="134"/>
      <c r="Y115" s="134"/>
      <c r="Z115" s="134"/>
    </row>
    <row r="116" spans="2:26" x14ac:dyDescent="0.3">
      <c r="B116" s="351" t="s">
        <v>107</v>
      </c>
      <c r="C116" s="131"/>
      <c r="E116" s="129"/>
      <c r="F116" s="129"/>
      <c r="G116" s="129"/>
      <c r="H116" s="340" t="s">
        <v>1311</v>
      </c>
      <c r="I116" s="343" t="s">
        <v>1311</v>
      </c>
      <c r="J116" s="129"/>
      <c r="K116" s="129"/>
      <c r="L116" s="346" t="s">
        <v>1311</v>
      </c>
      <c r="M116" s="129"/>
      <c r="N116" s="129"/>
      <c r="O116" s="149"/>
      <c r="P116" s="149"/>
      <c r="Q116" s="149"/>
      <c r="R116" s="149"/>
      <c r="S116" s="149"/>
      <c r="T116" s="149"/>
      <c r="U116" s="348" t="s">
        <v>1311</v>
      </c>
      <c r="V116" s="348"/>
      <c r="W116" s="350"/>
      <c r="X116" s="134"/>
      <c r="Y116" s="134"/>
      <c r="Z116" s="134"/>
    </row>
    <row r="117" spans="2:26" x14ac:dyDescent="0.3">
      <c r="B117" s="124" t="s">
        <v>2716</v>
      </c>
      <c r="C117" s="131">
        <v>240540</v>
      </c>
      <c r="D117" s="124" t="s">
        <v>30</v>
      </c>
      <c r="E117" s="129" t="s">
        <v>2718</v>
      </c>
      <c r="F117" s="129" t="s">
        <v>2675</v>
      </c>
      <c r="G117" s="129" t="s">
        <v>2613</v>
      </c>
      <c r="H117" s="340">
        <v>60</v>
      </c>
      <c r="I117" s="343">
        <v>8</v>
      </c>
      <c r="J117" s="129" t="s">
        <v>2720</v>
      </c>
      <c r="K117" s="129" t="s">
        <v>2625</v>
      </c>
      <c r="L117" s="346">
        <v>300</v>
      </c>
      <c r="M117" s="129"/>
      <c r="N117" s="129"/>
      <c r="O117" s="149"/>
      <c r="P117" s="149"/>
      <c r="Q117" s="149">
        <v>2</v>
      </c>
      <c r="R117" s="149"/>
      <c r="S117" s="149"/>
      <c r="T117" s="149"/>
      <c r="U117" s="348">
        <v>23</v>
      </c>
      <c r="V117" s="348">
        <v>0.3</v>
      </c>
      <c r="W117" s="350">
        <v>4.0999999999999996</v>
      </c>
      <c r="X117" s="134"/>
      <c r="Y117" s="134"/>
      <c r="Z117" s="134" t="s">
        <v>2650</v>
      </c>
    </row>
    <row r="118" spans="2:26" x14ac:dyDescent="0.3">
      <c r="B118" s="124" t="s">
        <v>2715</v>
      </c>
      <c r="C118" s="131">
        <v>212000</v>
      </c>
      <c r="D118" s="124" t="s">
        <v>30</v>
      </c>
      <c r="E118" s="129" t="s">
        <v>2718</v>
      </c>
      <c r="F118" s="129" t="s">
        <v>2675</v>
      </c>
      <c r="G118" s="129" t="s">
        <v>2719</v>
      </c>
      <c r="H118" s="340">
        <v>60</v>
      </c>
      <c r="I118" s="343">
        <v>8</v>
      </c>
      <c r="J118" s="129" t="s">
        <v>2720</v>
      </c>
      <c r="K118" s="129" t="s">
        <v>2721</v>
      </c>
      <c r="L118" s="346">
        <v>250</v>
      </c>
      <c r="M118" s="129"/>
      <c r="N118" s="129"/>
      <c r="O118" s="149"/>
      <c r="P118" s="149"/>
      <c r="Q118" s="149">
        <v>2</v>
      </c>
      <c r="R118" s="149"/>
      <c r="S118" s="149"/>
      <c r="T118" s="149"/>
      <c r="U118" s="348">
        <v>44</v>
      </c>
      <c r="V118" s="348">
        <v>0.5</v>
      </c>
      <c r="W118" s="350">
        <v>4.3</v>
      </c>
      <c r="X118" s="134"/>
      <c r="Y118" s="134"/>
      <c r="Z118" s="134"/>
    </row>
    <row r="119" spans="2:26" x14ac:dyDescent="0.3">
      <c r="B119" s="124" t="s">
        <v>2717</v>
      </c>
      <c r="C119" s="131">
        <v>412000</v>
      </c>
      <c r="D119" s="124" t="s">
        <v>30</v>
      </c>
      <c r="E119" s="129" t="s">
        <v>88</v>
      </c>
      <c r="F119" s="129" t="s">
        <v>2675</v>
      </c>
      <c r="G119" s="129" t="s">
        <v>2697</v>
      </c>
      <c r="H119" s="340">
        <v>60</v>
      </c>
      <c r="I119" s="343">
        <v>1</v>
      </c>
      <c r="J119" s="129" t="s">
        <v>20</v>
      </c>
      <c r="K119" s="129" t="s">
        <v>31</v>
      </c>
      <c r="L119" s="346">
        <v>370</v>
      </c>
      <c r="M119" s="129" t="s">
        <v>84</v>
      </c>
      <c r="N119" s="129"/>
      <c r="O119" s="149"/>
      <c r="P119" s="149"/>
      <c r="Q119" s="149">
        <v>2</v>
      </c>
      <c r="R119" s="149"/>
      <c r="S119" s="149">
        <v>1</v>
      </c>
      <c r="T119" s="149"/>
      <c r="U119" s="348">
        <v>29.6</v>
      </c>
      <c r="V119" s="348">
        <v>0.3</v>
      </c>
      <c r="W119" s="350">
        <v>5.28</v>
      </c>
      <c r="X119" s="134"/>
      <c r="Y119" s="134"/>
      <c r="Z119" s="134"/>
    </row>
    <row r="120" spans="2:26" x14ac:dyDescent="0.3">
      <c r="B120" s="124" t="s">
        <v>2674</v>
      </c>
      <c r="C120" s="131">
        <v>408000</v>
      </c>
      <c r="D120" s="124" t="s">
        <v>35</v>
      </c>
      <c r="E120" s="129" t="s">
        <v>88</v>
      </c>
      <c r="F120" s="129" t="s">
        <v>2675</v>
      </c>
      <c r="G120" s="129" t="s">
        <v>25</v>
      </c>
      <c r="H120" s="340">
        <v>60</v>
      </c>
      <c r="I120" s="343">
        <v>1</v>
      </c>
      <c r="J120" s="129" t="s">
        <v>20</v>
      </c>
      <c r="K120" s="129" t="s">
        <v>44</v>
      </c>
      <c r="L120" s="346">
        <v>300</v>
      </c>
      <c r="M120" s="129"/>
      <c r="N120" s="129"/>
      <c r="O120" s="149">
        <v>1</v>
      </c>
      <c r="P120" s="149">
        <v>1</v>
      </c>
      <c r="Q120" s="149">
        <v>1</v>
      </c>
      <c r="R120" s="149"/>
      <c r="S120" s="149">
        <v>1</v>
      </c>
      <c r="T120" s="149"/>
      <c r="U120" s="348">
        <v>65</v>
      </c>
      <c r="V120" s="348">
        <v>0.3</v>
      </c>
      <c r="W120" s="350">
        <v>7.94</v>
      </c>
      <c r="X120" s="134"/>
      <c r="Y120" s="134" t="s">
        <v>2650</v>
      </c>
      <c r="Z120" s="134"/>
    </row>
    <row r="121" spans="2:26" x14ac:dyDescent="0.3">
      <c r="B121" s="124" t="s">
        <v>919</v>
      </c>
      <c r="C121" s="131"/>
      <c r="E121" s="129"/>
      <c r="F121" s="129"/>
      <c r="G121" s="129"/>
      <c r="H121" s="340" t="s">
        <v>1311</v>
      </c>
      <c r="I121" s="343" t="s">
        <v>1311</v>
      </c>
      <c r="J121" s="129"/>
      <c r="K121" s="129"/>
      <c r="L121" s="346" t="s">
        <v>1311</v>
      </c>
      <c r="M121" s="129"/>
      <c r="N121" s="129"/>
      <c r="O121" s="149"/>
      <c r="P121" s="149"/>
      <c r="Q121" s="149"/>
      <c r="R121" s="149"/>
      <c r="S121" s="149"/>
      <c r="T121" s="149"/>
      <c r="U121" s="348" t="s">
        <v>1311</v>
      </c>
      <c r="V121" s="348"/>
      <c r="W121" s="350"/>
      <c r="X121" s="134"/>
      <c r="Y121" s="134"/>
      <c r="Z121" s="134"/>
    </row>
    <row r="122" spans="2:26" x14ac:dyDescent="0.3">
      <c r="B122" s="351" t="s">
        <v>108</v>
      </c>
      <c r="C122" s="131"/>
      <c r="E122" s="129"/>
      <c r="F122" s="129"/>
      <c r="G122" s="129"/>
      <c r="H122" s="340" t="s">
        <v>1311</v>
      </c>
      <c r="I122" s="343" t="s">
        <v>1311</v>
      </c>
      <c r="J122" s="129"/>
      <c r="K122" s="129"/>
      <c r="L122" s="346" t="s">
        <v>1311</v>
      </c>
      <c r="M122" s="129"/>
      <c r="N122" s="129"/>
      <c r="O122" s="149"/>
      <c r="P122" s="149"/>
      <c r="Q122" s="149"/>
      <c r="R122" s="149"/>
      <c r="S122" s="149"/>
      <c r="T122" s="149"/>
      <c r="U122" s="348" t="s">
        <v>1311</v>
      </c>
      <c r="V122" s="348"/>
      <c r="W122" s="350"/>
      <c r="X122" s="134"/>
      <c r="Y122" s="134"/>
      <c r="Z122" s="134"/>
    </row>
    <row r="123" spans="2:26" x14ac:dyDescent="0.3">
      <c r="B123" s="124" t="s">
        <v>111</v>
      </c>
      <c r="C123" s="131">
        <v>389700</v>
      </c>
      <c r="D123" s="124" t="s">
        <v>24</v>
      </c>
      <c r="E123" s="129" t="s">
        <v>83</v>
      </c>
      <c r="F123" s="129" t="s">
        <v>2723</v>
      </c>
      <c r="G123" s="158" t="s">
        <v>110</v>
      </c>
      <c r="H123" s="340">
        <v>60</v>
      </c>
      <c r="I123" s="343">
        <v>5</v>
      </c>
      <c r="J123" s="129" t="s">
        <v>20</v>
      </c>
      <c r="K123" s="129" t="s">
        <v>31</v>
      </c>
      <c r="L123" s="346">
        <v>300</v>
      </c>
      <c r="M123" s="129" t="s">
        <v>84</v>
      </c>
      <c r="N123" s="129"/>
      <c r="O123" s="149"/>
      <c r="P123" s="149"/>
      <c r="Q123" s="149">
        <v>2</v>
      </c>
      <c r="R123" s="149"/>
      <c r="S123" s="149">
        <v>1</v>
      </c>
      <c r="T123" s="149"/>
      <c r="U123" s="348">
        <v>40</v>
      </c>
      <c r="V123" s="348">
        <v>1.2</v>
      </c>
      <c r="W123" s="350">
        <v>6.2</v>
      </c>
      <c r="X123" s="134"/>
      <c r="Y123" s="134" t="s">
        <v>2650</v>
      </c>
      <c r="Z123" s="134" t="s">
        <v>2650</v>
      </c>
    </row>
    <row r="124" spans="2:26" x14ac:dyDescent="0.3">
      <c r="B124" s="124" t="s">
        <v>109</v>
      </c>
      <c r="C124" s="131">
        <v>251500</v>
      </c>
      <c r="D124" s="124" t="s">
        <v>24</v>
      </c>
      <c r="E124" s="129" t="s">
        <v>83</v>
      </c>
      <c r="F124" s="129" t="s">
        <v>2723</v>
      </c>
      <c r="G124" s="129" t="s">
        <v>29</v>
      </c>
      <c r="H124" s="340">
        <v>60</v>
      </c>
      <c r="I124" s="343">
        <v>5</v>
      </c>
      <c r="J124" s="129" t="s">
        <v>20</v>
      </c>
      <c r="K124" s="129" t="s">
        <v>31</v>
      </c>
      <c r="L124" s="346">
        <v>250</v>
      </c>
      <c r="M124" s="129" t="s">
        <v>84</v>
      </c>
      <c r="N124" s="129"/>
      <c r="O124" s="149"/>
      <c r="P124" s="149"/>
      <c r="Q124" s="149">
        <v>2</v>
      </c>
      <c r="R124" s="149"/>
      <c r="S124" s="149"/>
      <c r="T124" s="149"/>
      <c r="U124" s="348">
        <v>32</v>
      </c>
      <c r="V124" s="348">
        <v>0.3</v>
      </c>
      <c r="W124" s="350">
        <v>5.2</v>
      </c>
      <c r="X124" s="134"/>
      <c r="Y124" s="134"/>
      <c r="Z124" s="134"/>
    </row>
    <row r="125" spans="2:26" x14ac:dyDescent="0.3">
      <c r="B125" s="124" t="s">
        <v>2722</v>
      </c>
      <c r="C125" s="131">
        <v>252000</v>
      </c>
      <c r="D125" s="124" t="s">
        <v>24</v>
      </c>
      <c r="E125" s="129" t="s">
        <v>83</v>
      </c>
      <c r="F125" s="129" t="s">
        <v>2723</v>
      </c>
      <c r="G125" s="129" t="s">
        <v>2724</v>
      </c>
      <c r="H125" s="340">
        <v>60</v>
      </c>
      <c r="I125" s="343">
        <v>5</v>
      </c>
      <c r="J125" s="129" t="s">
        <v>2695</v>
      </c>
      <c r="K125" s="129" t="s">
        <v>2625</v>
      </c>
      <c r="L125" s="346">
        <v>250</v>
      </c>
      <c r="M125" s="129" t="s">
        <v>84</v>
      </c>
      <c r="N125" s="129"/>
      <c r="O125" s="149"/>
      <c r="P125" s="149"/>
      <c r="Q125" s="149">
        <v>2</v>
      </c>
      <c r="R125" s="149"/>
      <c r="S125" s="149"/>
      <c r="T125" s="149"/>
      <c r="U125" s="348">
        <v>31</v>
      </c>
      <c r="V125" s="348">
        <v>0.3</v>
      </c>
      <c r="W125" s="350">
        <v>5.2</v>
      </c>
      <c r="X125" s="134"/>
      <c r="Y125" s="134"/>
      <c r="Z125" s="134" t="s">
        <v>2650</v>
      </c>
    </row>
    <row r="126" spans="2:26" x14ac:dyDescent="0.3">
      <c r="B126" s="124" t="s">
        <v>112</v>
      </c>
      <c r="C126" s="131">
        <v>547440</v>
      </c>
      <c r="D126" s="124" t="s">
        <v>30</v>
      </c>
      <c r="E126" s="129" t="s">
        <v>83</v>
      </c>
      <c r="F126" s="129"/>
      <c r="G126" s="129" t="s">
        <v>103</v>
      </c>
      <c r="H126" s="340">
        <v>60</v>
      </c>
      <c r="I126" s="343">
        <v>4</v>
      </c>
      <c r="J126" s="129" t="s">
        <v>58</v>
      </c>
      <c r="K126" s="129"/>
      <c r="L126" s="346">
        <v>300</v>
      </c>
      <c r="M126" s="129" t="s">
        <v>84</v>
      </c>
      <c r="N126" s="129"/>
      <c r="O126" s="149"/>
      <c r="P126" s="149"/>
      <c r="Q126" s="149">
        <v>2</v>
      </c>
      <c r="R126" s="149"/>
      <c r="S126" s="149">
        <v>1</v>
      </c>
      <c r="T126" s="149"/>
      <c r="U126" s="348">
        <v>30.6</v>
      </c>
      <c r="V126" s="348">
        <v>0.3</v>
      </c>
      <c r="W126" s="350">
        <v>7.2</v>
      </c>
      <c r="X126" s="134"/>
      <c r="Y126" s="134" t="s">
        <v>2650</v>
      </c>
      <c r="Z126" s="134" t="s">
        <v>2650</v>
      </c>
    </row>
    <row r="127" spans="2:26" x14ac:dyDescent="0.3">
      <c r="B127" s="124" t="s">
        <v>919</v>
      </c>
      <c r="C127" s="131"/>
      <c r="E127" s="129"/>
      <c r="F127" s="129"/>
      <c r="G127" s="129"/>
      <c r="H127" s="340" t="s">
        <v>1311</v>
      </c>
      <c r="I127" s="343" t="s">
        <v>1311</v>
      </c>
      <c r="J127" s="129"/>
      <c r="K127" s="129"/>
      <c r="L127" s="346" t="s">
        <v>1311</v>
      </c>
      <c r="M127" s="129"/>
      <c r="N127" s="129"/>
      <c r="O127" s="149"/>
      <c r="P127" s="149"/>
      <c r="Q127" s="149"/>
      <c r="R127" s="149"/>
      <c r="S127" s="149"/>
      <c r="T127" s="149"/>
      <c r="U127" s="348" t="s">
        <v>1311</v>
      </c>
      <c r="V127" s="348"/>
      <c r="W127" s="350"/>
      <c r="X127" s="134"/>
      <c r="Y127" s="134"/>
      <c r="Z127" s="134"/>
    </row>
    <row r="128" spans="2:26" x14ac:dyDescent="0.3">
      <c r="B128" s="351" t="s">
        <v>113</v>
      </c>
      <c r="C128" s="131"/>
      <c r="E128" s="129"/>
      <c r="F128" s="129"/>
      <c r="G128" s="129"/>
      <c r="H128" s="340" t="s">
        <v>1311</v>
      </c>
      <c r="I128" s="343" t="s">
        <v>1311</v>
      </c>
      <c r="J128" s="129"/>
      <c r="K128" s="129"/>
      <c r="L128" s="346" t="s">
        <v>1311</v>
      </c>
      <c r="M128" s="129"/>
      <c r="N128" s="129"/>
      <c r="O128" s="149"/>
      <c r="P128" s="149"/>
      <c r="Q128" s="149"/>
      <c r="R128" s="149"/>
      <c r="S128" s="149"/>
      <c r="T128" s="149"/>
      <c r="U128" s="348" t="s">
        <v>1311</v>
      </c>
      <c r="V128" s="348"/>
      <c r="W128" s="350"/>
      <c r="X128" s="134"/>
      <c r="Y128" s="134"/>
      <c r="Z128" s="134"/>
    </row>
    <row r="129" spans="2:26" x14ac:dyDescent="0.3">
      <c r="B129" s="124" t="s">
        <v>114</v>
      </c>
      <c r="C129" s="131">
        <v>890000</v>
      </c>
      <c r="D129" s="124" t="s">
        <v>24</v>
      </c>
      <c r="E129" s="129" t="s">
        <v>115</v>
      </c>
      <c r="F129" s="129" t="s">
        <v>2725</v>
      </c>
      <c r="G129" s="129" t="s">
        <v>29</v>
      </c>
      <c r="H129" s="340">
        <v>60</v>
      </c>
      <c r="I129" s="343">
        <v>5</v>
      </c>
      <c r="J129" s="129" t="s">
        <v>20</v>
      </c>
      <c r="K129" s="129" t="s">
        <v>2629</v>
      </c>
      <c r="L129" s="346">
        <v>320</v>
      </c>
      <c r="M129" s="129" t="s">
        <v>116</v>
      </c>
      <c r="N129" s="129"/>
      <c r="O129" s="149"/>
      <c r="P129" s="149"/>
      <c r="Q129" s="149">
        <v>2</v>
      </c>
      <c r="R129" s="149"/>
      <c r="S129" s="149">
        <v>1</v>
      </c>
      <c r="T129" s="149"/>
      <c r="U129" s="348">
        <v>49</v>
      </c>
      <c r="V129" s="348">
        <v>1.2</v>
      </c>
      <c r="W129" s="350">
        <v>9.3000000000000007</v>
      </c>
      <c r="X129" s="134"/>
      <c r="Y129" s="134"/>
      <c r="Z129" s="134" t="s">
        <v>2650</v>
      </c>
    </row>
    <row r="130" spans="2:26" x14ac:dyDescent="0.3">
      <c r="B130" s="124" t="s">
        <v>919</v>
      </c>
      <c r="C130" s="131"/>
      <c r="E130" s="129"/>
      <c r="F130" s="129"/>
      <c r="G130" s="129"/>
      <c r="H130" s="340" t="s">
        <v>1311</v>
      </c>
      <c r="I130" s="343" t="s">
        <v>1311</v>
      </c>
      <c r="J130" s="129"/>
      <c r="K130" s="129"/>
      <c r="L130" s="346" t="s">
        <v>1311</v>
      </c>
      <c r="M130" s="129"/>
      <c r="N130" s="129"/>
      <c r="O130" s="149"/>
      <c r="P130" s="149"/>
      <c r="Q130" s="149"/>
      <c r="R130" s="149"/>
      <c r="S130" s="149"/>
      <c r="T130" s="149"/>
      <c r="U130" s="348" t="s">
        <v>1311</v>
      </c>
      <c r="V130" s="348"/>
      <c r="W130" s="350"/>
      <c r="X130" s="134"/>
      <c r="Y130" s="134"/>
      <c r="Z130" s="134"/>
    </row>
    <row r="131" spans="2:26" x14ac:dyDescent="0.3">
      <c r="B131" s="351" t="s">
        <v>117</v>
      </c>
      <c r="C131" s="131"/>
      <c r="E131" s="129"/>
      <c r="F131" s="129"/>
      <c r="G131" s="129"/>
      <c r="H131" s="340" t="s">
        <v>1311</v>
      </c>
      <c r="I131" s="343" t="s">
        <v>1311</v>
      </c>
      <c r="J131" s="129"/>
      <c r="K131" s="129"/>
      <c r="L131" s="346" t="s">
        <v>1311</v>
      </c>
      <c r="M131" s="129"/>
      <c r="N131" s="129"/>
      <c r="O131" s="149"/>
      <c r="P131" s="149"/>
      <c r="Q131" s="149"/>
      <c r="R131" s="149"/>
      <c r="S131" s="149"/>
      <c r="T131" s="149"/>
      <c r="U131" s="348" t="s">
        <v>1311</v>
      </c>
      <c r="V131" s="348"/>
      <c r="W131" s="350"/>
      <c r="X131" s="134"/>
      <c r="Y131" s="134"/>
      <c r="Z131" s="134"/>
    </row>
    <row r="132" spans="2:26" x14ac:dyDescent="0.3">
      <c r="B132" s="124" t="s">
        <v>118</v>
      </c>
      <c r="C132" s="131">
        <v>528350</v>
      </c>
      <c r="D132" s="124" t="s">
        <v>46</v>
      </c>
      <c r="E132" s="129" t="s">
        <v>86</v>
      </c>
      <c r="F132" s="129" t="s">
        <v>2586</v>
      </c>
      <c r="G132" s="129" t="s">
        <v>57</v>
      </c>
      <c r="H132" s="340">
        <v>60</v>
      </c>
      <c r="I132" s="343">
        <v>4</v>
      </c>
      <c r="J132" s="129" t="s">
        <v>58</v>
      </c>
      <c r="K132" s="129" t="s">
        <v>37</v>
      </c>
      <c r="L132" s="346">
        <v>300</v>
      </c>
      <c r="M132" s="129" t="s">
        <v>84</v>
      </c>
      <c r="N132" s="129"/>
      <c r="O132" s="149">
        <v>1</v>
      </c>
      <c r="P132" s="149">
        <v>1</v>
      </c>
      <c r="Q132" s="149">
        <v>1</v>
      </c>
      <c r="R132" s="149"/>
      <c r="S132" s="149">
        <v>1</v>
      </c>
      <c r="T132" s="149"/>
      <c r="U132" s="348">
        <v>52</v>
      </c>
      <c r="V132" s="348">
        <v>0.5</v>
      </c>
      <c r="W132" s="350">
        <v>13</v>
      </c>
      <c r="X132" s="134"/>
      <c r="Y132" s="134"/>
      <c r="Z132" s="134" t="s">
        <v>2651</v>
      </c>
    </row>
    <row r="133" spans="2:26" x14ac:dyDescent="0.3">
      <c r="B133" s="124" t="s">
        <v>119</v>
      </c>
      <c r="C133" s="131">
        <v>1030000</v>
      </c>
      <c r="D133" s="124" t="s">
        <v>46</v>
      </c>
      <c r="E133" s="129" t="s">
        <v>88</v>
      </c>
      <c r="F133" s="129" t="s">
        <v>2586</v>
      </c>
      <c r="G133" s="129" t="s">
        <v>19</v>
      </c>
      <c r="H133" s="340">
        <v>60</v>
      </c>
      <c r="I133" s="343">
        <v>4</v>
      </c>
      <c r="J133" s="129" t="s">
        <v>20</v>
      </c>
      <c r="K133" s="129" t="s">
        <v>37</v>
      </c>
      <c r="L133" s="346">
        <v>350</v>
      </c>
      <c r="M133" s="129" t="s">
        <v>84</v>
      </c>
      <c r="N133" s="129"/>
      <c r="O133" s="149"/>
      <c r="P133" s="149">
        <v>1</v>
      </c>
      <c r="Q133" s="149">
        <v>2</v>
      </c>
      <c r="R133" s="149"/>
      <c r="S133" s="149">
        <v>1</v>
      </c>
      <c r="T133" s="149"/>
      <c r="U133" s="348">
        <v>79</v>
      </c>
      <c r="V133" s="348">
        <v>0.5</v>
      </c>
      <c r="W133" s="350">
        <v>12.5</v>
      </c>
      <c r="X133" s="134"/>
      <c r="Y133" s="134"/>
      <c r="Z133" s="134" t="s">
        <v>2651</v>
      </c>
    </row>
    <row r="134" spans="2:26" x14ac:dyDescent="0.3">
      <c r="B134" s="124" t="s">
        <v>2642</v>
      </c>
      <c r="C134" s="131">
        <v>1599710</v>
      </c>
      <c r="D134" s="124" t="s">
        <v>2637</v>
      </c>
      <c r="E134" s="129" t="s">
        <v>2638</v>
      </c>
      <c r="F134" s="129" t="s">
        <v>2586</v>
      </c>
      <c r="G134" s="129" t="s">
        <v>2639</v>
      </c>
      <c r="H134" s="340">
        <v>60</v>
      </c>
      <c r="I134" s="343">
        <v>6</v>
      </c>
      <c r="J134" s="129" t="s">
        <v>2640</v>
      </c>
      <c r="K134" s="129" t="s">
        <v>2641</v>
      </c>
      <c r="L134" s="346">
        <v>300</v>
      </c>
      <c r="M134" s="129" t="s">
        <v>2626</v>
      </c>
      <c r="N134" s="129"/>
      <c r="O134" s="149"/>
      <c r="P134" s="149"/>
      <c r="Q134" s="149">
        <v>1</v>
      </c>
      <c r="R134" s="149">
        <v>1</v>
      </c>
      <c r="S134" s="149">
        <v>1</v>
      </c>
      <c r="T134" s="149"/>
      <c r="U134" s="348">
        <v>70</v>
      </c>
      <c r="V134" s="348">
        <v>0.3</v>
      </c>
      <c r="W134" s="350">
        <v>8.66</v>
      </c>
      <c r="X134" s="134"/>
      <c r="Y134" s="134"/>
      <c r="Z134" s="134" t="s">
        <v>2651</v>
      </c>
    </row>
    <row r="135" spans="2:26" x14ac:dyDescent="0.3">
      <c r="B135" s="124" t="s">
        <v>120</v>
      </c>
      <c r="C135" s="131">
        <v>284050</v>
      </c>
      <c r="D135" s="124" t="s">
        <v>24</v>
      </c>
      <c r="E135" s="129" t="s">
        <v>18</v>
      </c>
      <c r="F135" s="129" t="s">
        <v>2586</v>
      </c>
      <c r="G135" s="129" t="s">
        <v>19</v>
      </c>
      <c r="H135" s="340">
        <v>60</v>
      </c>
      <c r="I135" s="343">
        <v>5</v>
      </c>
      <c r="J135" s="129" t="s">
        <v>121</v>
      </c>
      <c r="K135" s="129" t="s">
        <v>26</v>
      </c>
      <c r="L135" s="346">
        <v>250</v>
      </c>
      <c r="M135" s="129"/>
      <c r="N135" s="129"/>
      <c r="O135" s="149">
        <v>1</v>
      </c>
      <c r="P135" s="149"/>
      <c r="Q135" s="149">
        <v>2</v>
      </c>
      <c r="R135" s="149"/>
      <c r="S135" s="149"/>
      <c r="T135" s="149"/>
      <c r="U135" s="348">
        <v>60</v>
      </c>
      <c r="V135" s="348">
        <v>1</v>
      </c>
      <c r="W135" s="350">
        <v>6.2</v>
      </c>
      <c r="X135" s="134"/>
      <c r="Y135" s="134"/>
      <c r="Z135" s="134"/>
    </row>
    <row r="136" spans="2:26" x14ac:dyDescent="0.3">
      <c r="B136" s="124" t="s">
        <v>2735</v>
      </c>
      <c r="C136" s="131">
        <v>283000</v>
      </c>
      <c r="D136" s="124" t="s">
        <v>24</v>
      </c>
      <c r="E136" s="129" t="s">
        <v>2738</v>
      </c>
      <c r="F136" s="129" t="s">
        <v>2586</v>
      </c>
      <c r="G136" s="129" t="s">
        <v>2739</v>
      </c>
      <c r="H136" s="340">
        <v>60</v>
      </c>
      <c r="I136" s="343">
        <v>8</v>
      </c>
      <c r="J136" s="129" t="s">
        <v>2740</v>
      </c>
      <c r="K136" s="129" t="s">
        <v>2741</v>
      </c>
      <c r="L136" s="346">
        <v>250</v>
      </c>
      <c r="M136" s="129"/>
      <c r="N136" s="129"/>
      <c r="O136" s="149"/>
      <c r="P136" s="149"/>
      <c r="Q136" s="149">
        <v>2</v>
      </c>
      <c r="R136" s="149"/>
      <c r="S136" s="149"/>
      <c r="T136" s="149"/>
      <c r="U136" s="348">
        <v>60</v>
      </c>
      <c r="V136" s="348">
        <v>1</v>
      </c>
      <c r="W136" s="350">
        <v>6.2</v>
      </c>
      <c r="X136" s="134"/>
      <c r="Y136" s="134"/>
      <c r="Z136" s="134"/>
    </row>
    <row r="137" spans="2:26" x14ac:dyDescent="0.3">
      <c r="B137" s="124" t="s">
        <v>2736</v>
      </c>
      <c r="C137" s="131">
        <v>286000</v>
      </c>
      <c r="D137" s="124" t="s">
        <v>24</v>
      </c>
      <c r="E137" s="129" t="s">
        <v>2738</v>
      </c>
      <c r="F137" s="129" t="s">
        <v>2586</v>
      </c>
      <c r="G137" s="129" t="s">
        <v>2646</v>
      </c>
      <c r="H137" s="340"/>
      <c r="I137" s="343">
        <v>8</v>
      </c>
      <c r="J137" s="129" t="s">
        <v>2720</v>
      </c>
      <c r="K137" s="129" t="s">
        <v>2625</v>
      </c>
      <c r="L137" s="346">
        <v>250</v>
      </c>
      <c r="M137" s="129"/>
      <c r="N137" s="129"/>
      <c r="O137" s="149">
        <v>1</v>
      </c>
      <c r="P137" s="149"/>
      <c r="Q137" s="149">
        <v>1</v>
      </c>
      <c r="R137" s="149"/>
      <c r="S137" s="149"/>
      <c r="T137" s="149"/>
      <c r="U137" s="348">
        <v>40</v>
      </c>
      <c r="V137" s="348">
        <v>1</v>
      </c>
      <c r="W137" s="350">
        <v>6.5</v>
      </c>
      <c r="X137" s="134"/>
      <c r="Y137" s="134"/>
      <c r="Z137" s="134" t="s">
        <v>2651</v>
      </c>
    </row>
    <row r="138" spans="2:26" x14ac:dyDescent="0.3">
      <c r="B138" s="124" t="s">
        <v>2744</v>
      </c>
      <c r="C138" s="131">
        <v>286800</v>
      </c>
      <c r="D138" s="124" t="s">
        <v>24</v>
      </c>
      <c r="E138" s="129" t="s">
        <v>2742</v>
      </c>
      <c r="F138" s="129" t="s">
        <v>2586</v>
      </c>
      <c r="G138" s="129" t="s">
        <v>2646</v>
      </c>
      <c r="H138" s="340">
        <v>60</v>
      </c>
      <c r="I138" s="343">
        <v>5</v>
      </c>
      <c r="J138" s="129" t="s">
        <v>2745</v>
      </c>
      <c r="K138" s="129" t="s">
        <v>2625</v>
      </c>
      <c r="L138" s="346">
        <v>250</v>
      </c>
      <c r="M138" s="129"/>
      <c r="N138" s="129"/>
      <c r="O138" s="149">
        <v>1</v>
      </c>
      <c r="P138" s="149"/>
      <c r="Q138" s="149">
        <v>1</v>
      </c>
      <c r="R138" s="149"/>
      <c r="S138" s="149"/>
      <c r="T138" s="149"/>
      <c r="U138" s="348">
        <v>37</v>
      </c>
      <c r="V138" s="348">
        <v>0.3</v>
      </c>
      <c r="W138" s="350">
        <v>6.5</v>
      </c>
      <c r="X138" s="134"/>
      <c r="Y138" s="134"/>
      <c r="Z138" s="134" t="s">
        <v>2651</v>
      </c>
    </row>
    <row r="139" spans="2:26" x14ac:dyDescent="0.3">
      <c r="B139" s="124" t="s">
        <v>2737</v>
      </c>
      <c r="C139" s="131">
        <v>268400</v>
      </c>
      <c r="D139" s="124" t="s">
        <v>24</v>
      </c>
      <c r="E139" s="129" t="s">
        <v>2742</v>
      </c>
      <c r="F139" s="129" t="s">
        <v>2586</v>
      </c>
      <c r="G139" s="129" t="s">
        <v>2633</v>
      </c>
      <c r="H139" s="340">
        <v>60</v>
      </c>
      <c r="I139" s="343">
        <v>5</v>
      </c>
      <c r="J139" s="129" t="s">
        <v>2720</v>
      </c>
      <c r="K139" s="129" t="s">
        <v>2743</v>
      </c>
      <c r="L139" s="346">
        <v>250</v>
      </c>
      <c r="M139" s="129"/>
      <c r="N139" s="129"/>
      <c r="O139" s="149">
        <v>1</v>
      </c>
      <c r="P139" s="149"/>
      <c r="Q139" s="149">
        <v>1</v>
      </c>
      <c r="R139" s="149"/>
      <c r="S139" s="149"/>
      <c r="T139" s="149"/>
      <c r="U139" s="348">
        <v>37</v>
      </c>
      <c r="V139" s="348">
        <v>0.3</v>
      </c>
      <c r="W139" s="350">
        <v>6.5</v>
      </c>
      <c r="X139" s="134"/>
      <c r="Y139" s="134"/>
      <c r="Z139" s="134" t="s">
        <v>2651</v>
      </c>
    </row>
    <row r="140" spans="2:26" x14ac:dyDescent="0.3">
      <c r="B140" s="124" t="s">
        <v>2726</v>
      </c>
      <c r="C140" s="131">
        <v>334000</v>
      </c>
      <c r="D140" s="124" t="s">
        <v>30</v>
      </c>
      <c r="E140" s="129" t="s">
        <v>18</v>
      </c>
      <c r="F140" s="129" t="s">
        <v>2586</v>
      </c>
      <c r="G140" s="129" t="s">
        <v>2668</v>
      </c>
      <c r="H140" s="340">
        <v>60</v>
      </c>
      <c r="I140" s="343">
        <v>4</v>
      </c>
      <c r="J140" s="129" t="s">
        <v>2729</v>
      </c>
      <c r="K140" s="129" t="s">
        <v>2730</v>
      </c>
      <c r="L140" s="346">
        <v>250</v>
      </c>
      <c r="M140" s="129" t="s">
        <v>2596</v>
      </c>
      <c r="N140" s="129"/>
      <c r="O140" s="149"/>
      <c r="P140" s="149"/>
      <c r="Q140" s="149">
        <v>1</v>
      </c>
      <c r="R140" s="149"/>
      <c r="S140" s="149">
        <v>1</v>
      </c>
      <c r="T140" s="149"/>
      <c r="U140" s="348">
        <v>35</v>
      </c>
      <c r="V140" s="348">
        <v>0.3</v>
      </c>
      <c r="W140" s="350">
        <v>6.2</v>
      </c>
      <c r="X140" s="134"/>
      <c r="Y140" s="134" t="s">
        <v>2618</v>
      </c>
      <c r="Z140" s="134" t="s">
        <v>2618</v>
      </c>
    </row>
    <row r="141" spans="2:26" x14ac:dyDescent="0.3">
      <c r="B141" s="124" t="s">
        <v>122</v>
      </c>
      <c r="C141" s="131">
        <v>279000</v>
      </c>
      <c r="D141" s="124" t="s">
        <v>30</v>
      </c>
      <c r="E141" s="129" t="s">
        <v>18</v>
      </c>
      <c r="F141" s="129" t="s">
        <v>2586</v>
      </c>
      <c r="G141" s="129" t="s">
        <v>79</v>
      </c>
      <c r="H141" s="340">
        <v>60</v>
      </c>
      <c r="I141" s="343">
        <v>8</v>
      </c>
      <c r="J141" s="129" t="s">
        <v>123</v>
      </c>
      <c r="K141" s="129" t="s">
        <v>52</v>
      </c>
      <c r="L141" s="346">
        <v>300</v>
      </c>
      <c r="M141" s="129"/>
      <c r="N141" s="129"/>
      <c r="O141" s="149"/>
      <c r="P141" s="149">
        <v>1</v>
      </c>
      <c r="Q141" s="149">
        <v>1</v>
      </c>
      <c r="R141" s="149"/>
      <c r="S141" s="149"/>
      <c r="T141" s="149"/>
      <c r="U141" s="348">
        <v>59</v>
      </c>
      <c r="V141" s="348">
        <v>0.5</v>
      </c>
      <c r="W141" s="350">
        <v>5.4</v>
      </c>
      <c r="X141" s="134"/>
      <c r="Y141" s="134"/>
      <c r="Z141" s="134"/>
    </row>
    <row r="142" spans="2:26" x14ac:dyDescent="0.3">
      <c r="B142" s="124" t="s">
        <v>124</v>
      </c>
      <c r="C142" s="131">
        <v>521700</v>
      </c>
      <c r="D142" s="124" t="s">
        <v>30</v>
      </c>
      <c r="E142" s="129" t="s">
        <v>86</v>
      </c>
      <c r="F142" s="129" t="s">
        <v>2586</v>
      </c>
      <c r="G142" s="129" t="s">
        <v>79</v>
      </c>
      <c r="H142" s="340">
        <v>60</v>
      </c>
      <c r="I142" s="343">
        <v>5</v>
      </c>
      <c r="J142" s="129" t="s">
        <v>58</v>
      </c>
      <c r="K142" s="129" t="s">
        <v>31</v>
      </c>
      <c r="L142" s="346">
        <v>300</v>
      </c>
      <c r="M142" s="129"/>
      <c r="N142" s="129"/>
      <c r="O142" s="149"/>
      <c r="P142" s="149">
        <v>1</v>
      </c>
      <c r="Q142" s="149">
        <v>1</v>
      </c>
      <c r="R142" s="149"/>
      <c r="S142" s="149">
        <v>1</v>
      </c>
      <c r="T142" s="149"/>
      <c r="U142" s="348">
        <v>46</v>
      </c>
      <c r="V142" s="348">
        <v>0.45</v>
      </c>
      <c r="W142" s="350">
        <v>12.2</v>
      </c>
      <c r="X142" s="134"/>
      <c r="Y142" s="134"/>
      <c r="Z142" s="134" t="s">
        <v>2618</v>
      </c>
    </row>
    <row r="143" spans="2:26" x14ac:dyDescent="0.3">
      <c r="B143" s="124" t="s">
        <v>2727</v>
      </c>
      <c r="C143" s="131">
        <v>318900</v>
      </c>
      <c r="D143" s="124" t="s">
        <v>30</v>
      </c>
      <c r="E143" s="129" t="s">
        <v>18</v>
      </c>
      <c r="F143" s="129" t="s">
        <v>2586</v>
      </c>
      <c r="G143" s="129" t="s">
        <v>2731</v>
      </c>
      <c r="H143" s="340">
        <v>60</v>
      </c>
      <c r="I143" s="343">
        <v>4</v>
      </c>
      <c r="J143" s="129" t="s">
        <v>123</v>
      </c>
      <c r="K143" s="129" t="s">
        <v>31</v>
      </c>
      <c r="L143" s="346">
        <v>250</v>
      </c>
      <c r="M143" s="129" t="s">
        <v>2732</v>
      </c>
      <c r="N143" s="129"/>
      <c r="O143" s="149"/>
      <c r="P143" s="149"/>
      <c r="Q143" s="149">
        <v>1</v>
      </c>
      <c r="R143" s="149"/>
      <c r="S143" s="149">
        <v>1</v>
      </c>
      <c r="T143" s="149"/>
      <c r="U143" s="348">
        <v>48</v>
      </c>
      <c r="V143" s="348">
        <v>0.3</v>
      </c>
      <c r="W143" s="350">
        <v>7.04</v>
      </c>
      <c r="X143" s="134"/>
      <c r="Y143" s="134"/>
      <c r="Z143" s="134" t="s">
        <v>2618</v>
      </c>
    </row>
    <row r="144" spans="2:26" x14ac:dyDescent="0.3">
      <c r="B144" s="124" t="s">
        <v>127</v>
      </c>
      <c r="C144" s="131">
        <v>327700</v>
      </c>
      <c r="D144" s="124" t="s">
        <v>30</v>
      </c>
      <c r="E144" s="129" t="s">
        <v>18</v>
      </c>
      <c r="F144" s="129" t="s">
        <v>2586</v>
      </c>
      <c r="G144" s="129" t="s">
        <v>103</v>
      </c>
      <c r="H144" s="340">
        <v>60</v>
      </c>
      <c r="I144" s="343">
        <v>4</v>
      </c>
      <c r="J144" s="129" t="s">
        <v>123</v>
      </c>
      <c r="K144" s="129" t="s">
        <v>31</v>
      </c>
      <c r="L144" s="346">
        <v>300</v>
      </c>
      <c r="M144" s="129"/>
      <c r="N144" s="129"/>
      <c r="O144" s="149"/>
      <c r="P144" s="149"/>
      <c r="Q144" s="149">
        <v>2</v>
      </c>
      <c r="R144" s="149"/>
      <c r="S144" s="149">
        <v>1</v>
      </c>
      <c r="T144" s="149"/>
      <c r="U144" s="348">
        <v>34</v>
      </c>
      <c r="V144" s="348">
        <v>0.3</v>
      </c>
      <c r="W144" s="350">
        <v>6.9</v>
      </c>
      <c r="X144" s="134"/>
      <c r="Y144" s="134" t="s">
        <v>2618</v>
      </c>
      <c r="Z144" s="134" t="s">
        <v>2618</v>
      </c>
    </row>
    <row r="145" spans="2:26" x14ac:dyDescent="0.3">
      <c r="B145" s="124" t="s">
        <v>2728</v>
      </c>
      <c r="C145" s="131">
        <v>269000</v>
      </c>
      <c r="D145" s="124" t="s">
        <v>30</v>
      </c>
      <c r="E145" s="129" t="s">
        <v>2733</v>
      </c>
      <c r="F145" s="129" t="s">
        <v>2586</v>
      </c>
      <c r="G145" s="129" t="s">
        <v>2613</v>
      </c>
      <c r="H145" s="340">
        <v>60</v>
      </c>
      <c r="I145" s="343">
        <v>5</v>
      </c>
      <c r="J145" s="129" t="s">
        <v>2734</v>
      </c>
      <c r="K145" s="129" t="s">
        <v>2721</v>
      </c>
      <c r="L145" s="346">
        <v>250</v>
      </c>
      <c r="M145" s="129" t="s">
        <v>2596</v>
      </c>
      <c r="N145" s="129"/>
      <c r="O145" s="149"/>
      <c r="P145" s="149"/>
      <c r="Q145" s="149">
        <v>2</v>
      </c>
      <c r="R145" s="149"/>
      <c r="S145" s="149"/>
      <c r="T145" s="149"/>
      <c r="U145" s="348">
        <v>35</v>
      </c>
      <c r="V145" s="348">
        <v>0.3</v>
      </c>
      <c r="W145" s="350">
        <v>6.2</v>
      </c>
      <c r="X145" s="134"/>
      <c r="Y145" s="134"/>
      <c r="Z145" s="134" t="s">
        <v>2618</v>
      </c>
    </row>
    <row r="146" spans="2:26" x14ac:dyDescent="0.3">
      <c r="B146" s="124" t="s">
        <v>125</v>
      </c>
      <c r="C146" s="131">
        <v>1520000</v>
      </c>
      <c r="D146" s="124" t="s">
        <v>30</v>
      </c>
      <c r="E146" s="129" t="s">
        <v>88</v>
      </c>
      <c r="F146" s="129" t="s">
        <v>2586</v>
      </c>
      <c r="G146" s="129" t="s">
        <v>33</v>
      </c>
      <c r="H146" s="340">
        <v>60</v>
      </c>
      <c r="I146" s="343">
        <v>8</v>
      </c>
      <c r="J146" s="129" t="s">
        <v>20</v>
      </c>
      <c r="K146" s="129" t="s">
        <v>31</v>
      </c>
      <c r="L146" s="346">
        <v>350</v>
      </c>
      <c r="M146" s="129" t="s">
        <v>126</v>
      </c>
      <c r="N146" s="129"/>
      <c r="O146" s="149"/>
      <c r="P146" s="149">
        <v>1</v>
      </c>
      <c r="Q146" s="149"/>
      <c r="R146" s="149"/>
      <c r="S146" s="149">
        <v>1</v>
      </c>
      <c r="T146" s="149"/>
      <c r="U146" s="348">
        <v>90</v>
      </c>
      <c r="V146" s="348"/>
      <c r="W146" s="350">
        <v>13.3</v>
      </c>
      <c r="X146" s="134"/>
      <c r="Y146" s="134"/>
      <c r="Z146" s="134" t="s">
        <v>2618</v>
      </c>
    </row>
    <row r="147" spans="2:26" x14ac:dyDescent="0.3">
      <c r="B147" s="124" t="s">
        <v>918</v>
      </c>
      <c r="C147" s="131"/>
      <c r="E147" s="129"/>
      <c r="F147" s="129"/>
      <c r="G147" s="129"/>
      <c r="H147" s="340" t="s">
        <v>1311</v>
      </c>
      <c r="I147" s="343" t="s">
        <v>1311</v>
      </c>
      <c r="J147" s="129"/>
      <c r="K147" s="129"/>
      <c r="L147" s="346" t="s">
        <v>1311</v>
      </c>
      <c r="M147" s="129"/>
      <c r="N147" s="129"/>
      <c r="O147" s="149"/>
      <c r="P147" s="149"/>
      <c r="Q147" s="149"/>
      <c r="R147" s="149"/>
      <c r="S147" s="149"/>
      <c r="T147" s="149"/>
      <c r="U147" s="348" t="s">
        <v>1311</v>
      </c>
      <c r="V147" s="348"/>
      <c r="W147" s="350"/>
      <c r="X147" s="134"/>
      <c r="Y147" s="134"/>
      <c r="Z147" s="134"/>
    </row>
    <row r="148" spans="2:26" x14ac:dyDescent="0.3">
      <c r="B148" s="351" t="s">
        <v>128</v>
      </c>
      <c r="C148" s="131"/>
      <c r="E148" s="129"/>
      <c r="F148" s="129"/>
      <c r="G148" s="129"/>
      <c r="H148" s="340"/>
      <c r="I148" s="343"/>
      <c r="J148" s="129"/>
      <c r="K148" s="129"/>
      <c r="L148" s="346"/>
      <c r="M148" s="129"/>
      <c r="N148" s="129"/>
      <c r="O148" s="149"/>
      <c r="P148" s="149"/>
      <c r="Q148" s="149"/>
      <c r="R148" s="149"/>
      <c r="S148" s="149"/>
      <c r="T148" s="149"/>
      <c r="U148" s="348"/>
      <c r="V148" s="348"/>
      <c r="W148" s="350"/>
      <c r="X148" s="134"/>
      <c r="Y148" s="134"/>
      <c r="Z148" s="134"/>
    </row>
    <row r="149" spans="2:26" x14ac:dyDescent="0.3">
      <c r="B149" s="124" t="s">
        <v>2636</v>
      </c>
      <c r="C149" s="131">
        <v>957000</v>
      </c>
      <c r="D149" s="124" t="s">
        <v>2631</v>
      </c>
      <c r="E149" s="129" t="s">
        <v>2632</v>
      </c>
      <c r="F149" s="129" t="s">
        <v>2623</v>
      </c>
      <c r="G149" s="129" t="s">
        <v>2633</v>
      </c>
      <c r="H149" s="340">
        <v>60</v>
      </c>
      <c r="I149" s="343">
        <v>8</v>
      </c>
      <c r="J149" s="129" t="s">
        <v>2599</v>
      </c>
      <c r="K149" s="129" t="s">
        <v>2634</v>
      </c>
      <c r="L149" s="346">
        <v>300</v>
      </c>
      <c r="M149" s="129"/>
      <c r="N149" s="129"/>
      <c r="O149" s="149"/>
      <c r="P149" s="149"/>
      <c r="Q149" s="149">
        <v>1</v>
      </c>
      <c r="R149" s="149">
        <v>1</v>
      </c>
      <c r="S149" s="149">
        <v>1</v>
      </c>
      <c r="T149" s="149"/>
      <c r="U149" s="348">
        <v>55</v>
      </c>
      <c r="V149" s="348">
        <v>0.5</v>
      </c>
      <c r="W149" s="350"/>
      <c r="X149" s="134"/>
      <c r="Y149" s="134"/>
      <c r="Z149" s="134" t="s">
        <v>2618</v>
      </c>
    </row>
    <row r="150" spans="2:26" x14ac:dyDescent="0.3">
      <c r="B150" s="124" t="s">
        <v>2627</v>
      </c>
      <c r="C150" s="131">
        <v>841480</v>
      </c>
      <c r="D150" s="124" t="s">
        <v>24</v>
      </c>
      <c r="E150" s="129" t="s">
        <v>129</v>
      </c>
      <c r="F150" s="129" t="s">
        <v>2617</v>
      </c>
      <c r="G150" s="129" t="s">
        <v>110</v>
      </c>
      <c r="H150" s="340">
        <v>60</v>
      </c>
      <c r="I150" s="343">
        <v>5</v>
      </c>
      <c r="J150" s="129" t="s">
        <v>2628</v>
      </c>
      <c r="K150" s="129" t="s">
        <v>2629</v>
      </c>
      <c r="L150" s="346">
        <v>300</v>
      </c>
      <c r="M150" s="129" t="s">
        <v>2630</v>
      </c>
      <c r="N150" s="129"/>
      <c r="O150" s="149"/>
      <c r="P150" s="149"/>
      <c r="Q150" s="149">
        <v>2</v>
      </c>
      <c r="R150" s="149"/>
      <c r="S150" s="149">
        <v>1</v>
      </c>
      <c r="T150" s="149"/>
      <c r="U150" s="348"/>
      <c r="V150" s="348"/>
      <c r="W150" s="350">
        <v>8.1999999999999993</v>
      </c>
      <c r="X150" s="134"/>
      <c r="Y150" s="134" t="s">
        <v>2618</v>
      </c>
      <c r="Z150" s="134" t="s">
        <v>2618</v>
      </c>
    </row>
    <row r="151" spans="2:26" x14ac:dyDescent="0.3">
      <c r="B151" s="124" t="s">
        <v>2616</v>
      </c>
      <c r="C151" s="131">
        <v>909200</v>
      </c>
      <c r="D151" s="124" t="s">
        <v>24</v>
      </c>
      <c r="E151" s="129" t="s">
        <v>129</v>
      </c>
      <c r="F151" s="129" t="s">
        <v>2617</v>
      </c>
      <c r="G151" s="129" t="s">
        <v>110</v>
      </c>
      <c r="H151" s="340">
        <v>60</v>
      </c>
      <c r="I151" s="343">
        <v>5</v>
      </c>
      <c r="J151" s="129" t="s">
        <v>20</v>
      </c>
      <c r="K151" s="129" t="s">
        <v>31</v>
      </c>
      <c r="L151" s="346">
        <v>300</v>
      </c>
      <c r="M151" s="129" t="s">
        <v>84</v>
      </c>
      <c r="N151" s="129"/>
      <c r="O151" s="149"/>
      <c r="P151" s="149"/>
      <c r="Q151" s="149">
        <v>2</v>
      </c>
      <c r="R151" s="149"/>
      <c r="S151" s="149">
        <v>1</v>
      </c>
      <c r="T151" s="149"/>
      <c r="U151" s="348">
        <v>70</v>
      </c>
      <c r="V151" s="348">
        <v>1.2</v>
      </c>
      <c r="W151" s="350">
        <v>7.8</v>
      </c>
      <c r="X151" s="134" t="s">
        <v>2619</v>
      </c>
      <c r="Y151" s="134" t="s">
        <v>2618</v>
      </c>
      <c r="Z151" s="134" t="s">
        <v>2618</v>
      </c>
    </row>
    <row r="152" spans="2:26" x14ac:dyDescent="0.3">
      <c r="B152" s="124" t="s">
        <v>2622</v>
      </c>
      <c r="C152" s="131">
        <v>390500</v>
      </c>
      <c r="D152" s="124" t="s">
        <v>24</v>
      </c>
      <c r="E152" s="129" t="s">
        <v>83</v>
      </c>
      <c r="F152" s="129" t="s">
        <v>2623</v>
      </c>
      <c r="G152" s="129" t="s">
        <v>2624</v>
      </c>
      <c r="H152" s="340">
        <v>60</v>
      </c>
      <c r="I152" s="343">
        <v>5</v>
      </c>
      <c r="J152" s="129" t="s">
        <v>2599</v>
      </c>
      <c r="K152" s="129" t="s">
        <v>2625</v>
      </c>
      <c r="L152" s="346">
        <v>250</v>
      </c>
      <c r="M152" s="129" t="s">
        <v>2626</v>
      </c>
      <c r="N152" s="129"/>
      <c r="O152" s="149"/>
      <c r="P152" s="149"/>
      <c r="Q152" s="149">
        <v>2</v>
      </c>
      <c r="R152" s="149"/>
      <c r="S152" s="149"/>
      <c r="T152" s="149"/>
      <c r="U152" s="348">
        <v>41</v>
      </c>
      <c r="V152" s="348">
        <v>0.3</v>
      </c>
      <c r="W152" s="350">
        <v>6.8</v>
      </c>
      <c r="X152" s="134"/>
      <c r="Y152" s="134"/>
      <c r="Z152" s="134" t="s">
        <v>2618</v>
      </c>
    </row>
    <row r="153" spans="2:26" x14ac:dyDescent="0.3">
      <c r="B153" s="124" t="s">
        <v>2621</v>
      </c>
      <c r="C153" s="131">
        <v>885000</v>
      </c>
      <c r="D153" s="124" t="s">
        <v>30</v>
      </c>
      <c r="E153" s="129" t="s">
        <v>129</v>
      </c>
      <c r="F153" s="129" t="s">
        <v>2620</v>
      </c>
      <c r="G153" s="129" t="s">
        <v>103</v>
      </c>
      <c r="H153" s="340"/>
      <c r="I153" s="343">
        <v>4</v>
      </c>
      <c r="J153" s="129" t="s">
        <v>58</v>
      </c>
      <c r="K153" s="129" t="s">
        <v>31</v>
      </c>
      <c r="L153" s="346">
        <v>300</v>
      </c>
      <c r="M153" s="129"/>
      <c r="N153" s="129"/>
      <c r="O153" s="149"/>
      <c r="P153" s="149"/>
      <c r="Q153" s="149">
        <v>2</v>
      </c>
      <c r="R153" s="149"/>
      <c r="S153" s="149">
        <v>1</v>
      </c>
      <c r="T153" s="149"/>
      <c r="U153" s="348">
        <v>47</v>
      </c>
      <c r="V153" s="348">
        <v>0.5</v>
      </c>
      <c r="W153" s="350">
        <v>9.9</v>
      </c>
      <c r="X153" s="134"/>
      <c r="Y153" s="134" t="s">
        <v>2618</v>
      </c>
      <c r="Z153" s="134" t="s">
        <v>2618</v>
      </c>
    </row>
    <row r="154" spans="2:26" x14ac:dyDescent="0.3">
      <c r="B154" s="124" t="s">
        <v>918</v>
      </c>
      <c r="C154" s="131"/>
      <c r="E154" s="129"/>
      <c r="F154" s="129"/>
      <c r="G154" s="129"/>
      <c r="H154" s="340" t="s">
        <v>1311</v>
      </c>
      <c r="I154" s="343" t="s">
        <v>1311</v>
      </c>
      <c r="J154" s="129"/>
      <c r="K154" s="129"/>
      <c r="L154" s="346" t="s">
        <v>1311</v>
      </c>
      <c r="M154" s="129"/>
      <c r="N154" s="129"/>
      <c r="O154" s="149"/>
      <c r="P154" s="149"/>
      <c r="Q154" s="149"/>
      <c r="R154" s="149"/>
      <c r="S154" s="149"/>
      <c r="T154" s="149"/>
      <c r="U154" s="348" t="s">
        <v>1311</v>
      </c>
      <c r="V154" s="348"/>
      <c r="W154" s="350"/>
      <c r="X154" s="134"/>
      <c r="Y154" s="134"/>
      <c r="Z154" s="134"/>
    </row>
    <row r="155" spans="2:26" x14ac:dyDescent="0.3">
      <c r="B155" s="351" t="s">
        <v>130</v>
      </c>
      <c r="C155" s="131"/>
      <c r="E155" s="129"/>
      <c r="F155" s="129"/>
      <c r="G155" s="129"/>
      <c r="H155" s="340" t="s">
        <v>1311</v>
      </c>
      <c r="I155" s="343" t="s">
        <v>1311</v>
      </c>
      <c r="J155" s="129"/>
      <c r="K155" s="129"/>
      <c r="L155" s="346" t="s">
        <v>1311</v>
      </c>
      <c r="M155" s="129"/>
      <c r="N155" s="129"/>
      <c r="O155" s="149"/>
      <c r="P155" s="149"/>
      <c r="Q155" s="149"/>
      <c r="R155" s="149"/>
      <c r="S155" s="149"/>
      <c r="T155" s="149"/>
      <c r="U155" s="348" t="s">
        <v>1311</v>
      </c>
      <c r="V155" s="348"/>
      <c r="W155" s="350"/>
      <c r="X155" s="134"/>
      <c r="Y155" s="134"/>
      <c r="Z155" s="134"/>
    </row>
    <row r="156" spans="2:26" x14ac:dyDescent="0.3">
      <c r="B156" s="124" t="s">
        <v>2610</v>
      </c>
      <c r="C156" s="131">
        <v>394000</v>
      </c>
      <c r="D156" s="124" t="s">
        <v>2611</v>
      </c>
      <c r="E156" s="129" t="s">
        <v>2612</v>
      </c>
      <c r="F156" s="129" t="s">
        <v>2581</v>
      </c>
      <c r="G156" s="129" t="s">
        <v>2613</v>
      </c>
      <c r="H156" s="340">
        <v>60</v>
      </c>
      <c r="I156" s="343">
        <v>5</v>
      </c>
      <c r="J156" s="129" t="s">
        <v>2614</v>
      </c>
      <c r="K156" s="129" t="s">
        <v>2615</v>
      </c>
      <c r="L156" s="346">
        <v>300</v>
      </c>
      <c r="M156" s="129"/>
      <c r="N156" s="129"/>
      <c r="O156" s="149"/>
      <c r="P156" s="149"/>
      <c r="Q156" s="149">
        <v>2</v>
      </c>
      <c r="R156" s="149"/>
      <c r="S156" s="149"/>
      <c r="T156" s="149"/>
      <c r="U156" s="348">
        <v>80</v>
      </c>
      <c r="V156" s="348">
        <v>1</v>
      </c>
      <c r="W156" s="350">
        <v>9.6</v>
      </c>
      <c r="X156" s="134"/>
      <c r="Y156" s="134"/>
      <c r="Z156" s="134"/>
    </row>
  </sheetData>
  <sortState ref="B6:Z18">
    <sortCondition ref="B6"/>
  </sortState>
  <phoneticPr fontId="4" type="noConversion"/>
  <conditionalFormatting sqref="H15:H16 H61:H64 H66:H86 H144:H1048576 H120:H141 H18:H42 H1:H12 H49:H51 H57 H54:H55 H90:H92 H96:H97 H107:H118">
    <cfRule type="cellIs" dxfId="93" priority="62" operator="lessThanOrEqual">
      <formula>60</formula>
    </cfRule>
  </conditionalFormatting>
  <conditionalFormatting sqref="J15:J16 J61:J64 J66:J86 J144:J1048576 J120:J141 J18:J42 J1:J12 J49:J51 J57 J54:J55 J90:J92 J96:J97 J107:J118">
    <cfRule type="cellIs" dxfId="92" priority="61" operator="equal">
      <formula>"1K:1"</formula>
    </cfRule>
  </conditionalFormatting>
  <conditionalFormatting sqref="H13">
    <cfRule type="cellIs" dxfId="91" priority="60" operator="lessThanOrEqual">
      <formula>60</formula>
    </cfRule>
  </conditionalFormatting>
  <conditionalFormatting sqref="J13">
    <cfRule type="cellIs" dxfId="90" priority="59" operator="equal">
      <formula>"1K:1"</formula>
    </cfRule>
  </conditionalFormatting>
  <conditionalFormatting sqref="H14">
    <cfRule type="cellIs" dxfId="89" priority="58" operator="lessThanOrEqual">
      <formula>60</formula>
    </cfRule>
  </conditionalFormatting>
  <conditionalFormatting sqref="J14">
    <cfRule type="cellIs" dxfId="88" priority="57" operator="equal">
      <formula>"1K:1"</formula>
    </cfRule>
  </conditionalFormatting>
  <conditionalFormatting sqref="H17">
    <cfRule type="cellIs" dxfId="87" priority="56" operator="lessThanOrEqual">
      <formula>60</formula>
    </cfRule>
  </conditionalFormatting>
  <conditionalFormatting sqref="J17">
    <cfRule type="cellIs" dxfId="86" priority="55" operator="equal">
      <formula>"1K:1"</formula>
    </cfRule>
  </conditionalFormatting>
  <conditionalFormatting sqref="H60">
    <cfRule type="cellIs" dxfId="85" priority="54" operator="lessThanOrEqual">
      <formula>60</formula>
    </cfRule>
  </conditionalFormatting>
  <conditionalFormatting sqref="J60">
    <cfRule type="cellIs" dxfId="84" priority="53" operator="equal">
      <formula>"1K:1"</formula>
    </cfRule>
  </conditionalFormatting>
  <conditionalFormatting sqref="H65">
    <cfRule type="cellIs" dxfId="83" priority="52" operator="lessThanOrEqual">
      <formula>60</formula>
    </cfRule>
  </conditionalFormatting>
  <conditionalFormatting sqref="J65">
    <cfRule type="cellIs" dxfId="82" priority="51" operator="equal">
      <formula>"1K:1"</formula>
    </cfRule>
  </conditionalFormatting>
  <conditionalFormatting sqref="H119">
    <cfRule type="cellIs" dxfId="81" priority="50" operator="lessThanOrEqual">
      <formula>60</formula>
    </cfRule>
  </conditionalFormatting>
  <conditionalFormatting sqref="J119">
    <cfRule type="cellIs" dxfId="80" priority="49" operator="equal">
      <formula>"1K:1"</formula>
    </cfRule>
  </conditionalFormatting>
  <conditionalFormatting sqref="H142">
    <cfRule type="cellIs" dxfId="79" priority="48" operator="lessThanOrEqual">
      <formula>60</formula>
    </cfRule>
  </conditionalFormatting>
  <conditionalFormatting sqref="J142">
    <cfRule type="cellIs" dxfId="78" priority="47" operator="equal">
      <formula>"1K:1"</formula>
    </cfRule>
  </conditionalFormatting>
  <conditionalFormatting sqref="H143">
    <cfRule type="cellIs" dxfId="77" priority="46" operator="lessThanOrEqual">
      <formula>60</formula>
    </cfRule>
  </conditionalFormatting>
  <conditionalFormatting sqref="J143">
    <cfRule type="cellIs" dxfId="76" priority="45" operator="equal">
      <formula>"1K:1"</formula>
    </cfRule>
  </conditionalFormatting>
  <conditionalFormatting sqref="H43">
    <cfRule type="cellIs" dxfId="75" priority="44" operator="lessThanOrEqual">
      <formula>60</formula>
    </cfRule>
  </conditionalFormatting>
  <conditionalFormatting sqref="J43">
    <cfRule type="cellIs" dxfId="74" priority="43" operator="equal">
      <formula>"1K:1"</formula>
    </cfRule>
  </conditionalFormatting>
  <conditionalFormatting sqref="H44:H45">
    <cfRule type="cellIs" dxfId="73" priority="42" operator="lessThanOrEqual">
      <formula>60</formula>
    </cfRule>
  </conditionalFormatting>
  <conditionalFormatting sqref="J44:J45">
    <cfRule type="cellIs" dxfId="72" priority="41" operator="equal">
      <formula>"1K:1"</formula>
    </cfRule>
  </conditionalFormatting>
  <conditionalFormatting sqref="H46">
    <cfRule type="cellIs" dxfId="71" priority="40" operator="lessThanOrEqual">
      <formula>60</formula>
    </cfRule>
  </conditionalFormatting>
  <conditionalFormatting sqref="J46">
    <cfRule type="cellIs" dxfId="70" priority="39" operator="equal">
      <formula>"1K:1"</formula>
    </cfRule>
  </conditionalFormatting>
  <conditionalFormatting sqref="H47">
    <cfRule type="cellIs" dxfId="69" priority="38" operator="lessThanOrEqual">
      <formula>60</formula>
    </cfRule>
  </conditionalFormatting>
  <conditionalFormatting sqref="J47">
    <cfRule type="cellIs" dxfId="68" priority="37" operator="equal">
      <formula>"1K:1"</formula>
    </cfRule>
  </conditionalFormatting>
  <conditionalFormatting sqref="H48">
    <cfRule type="cellIs" dxfId="67" priority="36" operator="lessThanOrEqual">
      <formula>60</formula>
    </cfRule>
  </conditionalFormatting>
  <conditionalFormatting sqref="J48">
    <cfRule type="cellIs" dxfId="66" priority="35" operator="equal">
      <formula>"1K:1"</formula>
    </cfRule>
  </conditionalFormatting>
  <conditionalFormatting sqref="H59">
    <cfRule type="cellIs" dxfId="65" priority="34" operator="lessThanOrEqual">
      <formula>60</formula>
    </cfRule>
  </conditionalFormatting>
  <conditionalFormatting sqref="J59">
    <cfRule type="cellIs" dxfId="64" priority="33" operator="equal">
      <formula>"1K:1"</formula>
    </cfRule>
  </conditionalFormatting>
  <conditionalFormatting sqref="H58">
    <cfRule type="cellIs" dxfId="63" priority="32" operator="lessThanOrEqual">
      <formula>60</formula>
    </cfRule>
  </conditionalFormatting>
  <conditionalFormatting sqref="J58">
    <cfRule type="cellIs" dxfId="62" priority="31" operator="equal">
      <formula>"1K:1"</formula>
    </cfRule>
  </conditionalFormatting>
  <conditionalFormatting sqref="H56">
    <cfRule type="cellIs" dxfId="61" priority="30" operator="lessThanOrEqual">
      <formula>60</formula>
    </cfRule>
  </conditionalFormatting>
  <conditionalFormatting sqref="J56">
    <cfRule type="cellIs" dxfId="60" priority="29" operator="equal">
      <formula>"1K:1"</formula>
    </cfRule>
  </conditionalFormatting>
  <conditionalFormatting sqref="H53">
    <cfRule type="cellIs" dxfId="59" priority="28" operator="lessThanOrEqual">
      <formula>60</formula>
    </cfRule>
  </conditionalFormatting>
  <conditionalFormatting sqref="J53">
    <cfRule type="cellIs" dxfId="58" priority="27" operator="equal">
      <formula>"1K:1"</formula>
    </cfRule>
  </conditionalFormatting>
  <conditionalFormatting sqref="H52">
    <cfRule type="cellIs" dxfId="57" priority="26" operator="lessThanOrEqual">
      <formula>60</formula>
    </cfRule>
  </conditionalFormatting>
  <conditionalFormatting sqref="J52">
    <cfRule type="cellIs" dxfId="56" priority="25" operator="equal">
      <formula>"1K:1"</formula>
    </cfRule>
  </conditionalFormatting>
  <conditionalFormatting sqref="H87">
    <cfRule type="cellIs" dxfId="55" priority="24" operator="lessThanOrEqual">
      <formula>60</formula>
    </cfRule>
  </conditionalFormatting>
  <conditionalFormatting sqref="J87">
    <cfRule type="cellIs" dxfId="54" priority="23" operator="equal">
      <formula>"1K:1"</formula>
    </cfRule>
  </conditionalFormatting>
  <conditionalFormatting sqref="H88">
    <cfRule type="cellIs" dxfId="53" priority="22" operator="lessThanOrEqual">
      <formula>60</formula>
    </cfRule>
  </conditionalFormatting>
  <conditionalFormatting sqref="J88">
    <cfRule type="cellIs" dxfId="52" priority="21" operator="equal">
      <formula>"1K:1"</formula>
    </cfRule>
  </conditionalFormatting>
  <conditionalFormatting sqref="H89">
    <cfRule type="cellIs" dxfId="51" priority="20" operator="lessThanOrEqual">
      <formula>60</formula>
    </cfRule>
  </conditionalFormatting>
  <conditionalFormatting sqref="J89">
    <cfRule type="cellIs" dxfId="50" priority="19" operator="equal">
      <formula>"1K:1"</formula>
    </cfRule>
  </conditionalFormatting>
  <conditionalFormatting sqref="H93">
    <cfRule type="cellIs" dxfId="49" priority="18" operator="lessThanOrEqual">
      <formula>60</formula>
    </cfRule>
  </conditionalFormatting>
  <conditionalFormatting sqref="J93">
    <cfRule type="cellIs" dxfId="48" priority="17" operator="equal">
      <formula>"1K:1"</formula>
    </cfRule>
  </conditionalFormatting>
  <conditionalFormatting sqref="H94">
    <cfRule type="cellIs" dxfId="47" priority="16" operator="lessThanOrEqual">
      <formula>60</formula>
    </cfRule>
  </conditionalFormatting>
  <conditionalFormatting sqref="J94">
    <cfRule type="cellIs" dxfId="46" priority="15" operator="equal">
      <formula>"1K:1"</formula>
    </cfRule>
  </conditionalFormatting>
  <conditionalFormatting sqref="H95">
    <cfRule type="cellIs" dxfId="45" priority="14" operator="lessThanOrEqual">
      <formula>60</formula>
    </cfRule>
  </conditionalFormatting>
  <conditionalFormatting sqref="J95">
    <cfRule type="cellIs" dxfId="44" priority="13" operator="equal">
      <formula>"1K:1"</formula>
    </cfRule>
  </conditionalFormatting>
  <conditionalFormatting sqref="H103 H99:H101">
    <cfRule type="cellIs" dxfId="43" priority="12" operator="lessThanOrEqual">
      <formula>60</formula>
    </cfRule>
  </conditionalFormatting>
  <conditionalFormatting sqref="J103 J99:J101">
    <cfRule type="cellIs" dxfId="42" priority="11" operator="equal">
      <formula>"1K:1"</formula>
    </cfRule>
  </conditionalFormatting>
  <conditionalFormatting sqref="H106">
    <cfRule type="cellIs" dxfId="41" priority="10" operator="lessThanOrEqual">
      <formula>60</formula>
    </cfRule>
  </conditionalFormatting>
  <conditionalFormatting sqref="J106">
    <cfRule type="cellIs" dxfId="40" priority="9" operator="equal">
      <formula>"1K:1"</formula>
    </cfRule>
  </conditionalFormatting>
  <conditionalFormatting sqref="H105">
    <cfRule type="cellIs" dxfId="39" priority="8" operator="lessThanOrEqual">
      <formula>60</formula>
    </cfRule>
  </conditionalFormatting>
  <conditionalFormatting sqref="J105">
    <cfRule type="cellIs" dxfId="38" priority="7" operator="equal">
      <formula>"1K:1"</formula>
    </cfRule>
  </conditionalFormatting>
  <conditionalFormatting sqref="H104">
    <cfRule type="cellIs" dxfId="37" priority="6" operator="lessThanOrEqual">
      <formula>60</formula>
    </cfRule>
  </conditionalFormatting>
  <conditionalFormatting sqref="J104">
    <cfRule type="cellIs" dxfId="36" priority="5" operator="equal">
      <formula>"1K:1"</formula>
    </cfRule>
  </conditionalFormatting>
  <conditionalFormatting sqref="H102">
    <cfRule type="cellIs" dxfId="35" priority="4" operator="lessThanOrEqual">
      <formula>60</formula>
    </cfRule>
  </conditionalFormatting>
  <conditionalFormatting sqref="J102">
    <cfRule type="cellIs" dxfId="34" priority="3" operator="equal">
      <formula>"1K:1"</formula>
    </cfRule>
  </conditionalFormatting>
  <conditionalFormatting sqref="H98">
    <cfRule type="cellIs" dxfId="33" priority="2" operator="lessThanOrEqual">
      <formula>60</formula>
    </cfRule>
  </conditionalFormatting>
  <conditionalFormatting sqref="J98">
    <cfRule type="cellIs" dxfId="32" priority="1" operator="equal">
      <formula>"1K:1"</formula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7" tint="0.59999389629810485"/>
  </sheetPr>
  <dimension ref="B1:U67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7" sqref="B7"/>
    </sheetView>
  </sheetViews>
  <sheetFormatPr defaultColWidth="9" defaultRowHeight="13.2" x14ac:dyDescent="0.3"/>
  <cols>
    <col min="1" max="1" width="2.796875" style="124" bestFit="1" customWidth="1"/>
    <col min="2" max="2" width="60.59765625" style="124" bestFit="1" customWidth="1"/>
    <col min="3" max="3" width="9.69921875" style="124" bestFit="1" customWidth="1"/>
    <col min="4" max="4" width="5.19921875" style="163" customWidth="1"/>
    <col min="5" max="5" width="5.3984375" style="125" bestFit="1" customWidth="1"/>
    <col min="6" max="6" width="0.5" style="124" customWidth="1"/>
    <col min="7" max="7" width="13.5" style="125" bestFit="1" customWidth="1"/>
    <col min="8" max="8" width="17.19921875" style="125" bestFit="1" customWidth="1"/>
    <col min="9" max="14" width="2" style="124" customWidth="1"/>
    <col min="15" max="17" width="9" style="125" hidden="1" customWidth="1"/>
    <col min="18" max="18" width="26.5" style="125" hidden="1" customWidth="1"/>
    <col min="19" max="19" width="9" style="125" hidden="1" customWidth="1"/>
    <col min="20" max="20" width="4.69921875" style="125" hidden="1" customWidth="1"/>
    <col min="21" max="21" width="4.5" style="125" hidden="1" customWidth="1"/>
    <col min="22" max="16384" width="9" style="124"/>
  </cols>
  <sheetData>
    <row r="1" spans="2:21" ht="24" customHeight="1" x14ac:dyDescent="0.3">
      <c r="O1" s="125" t="s">
        <v>1213</v>
      </c>
    </row>
    <row r="2" spans="2:21" x14ac:dyDescent="0.3">
      <c r="B2" s="332" t="s">
        <v>0</v>
      </c>
      <c r="C2" s="132" t="s">
        <v>1</v>
      </c>
      <c r="D2" s="3" t="s">
        <v>1018</v>
      </c>
      <c r="E2" s="335" t="s">
        <v>2472</v>
      </c>
      <c r="F2" s="132"/>
      <c r="G2" s="331" t="s">
        <v>2426</v>
      </c>
      <c r="H2" s="331" t="s">
        <v>2430</v>
      </c>
    </row>
    <row r="3" spans="2:21" x14ac:dyDescent="0.3">
      <c r="B3" s="134" t="str">
        <f>R4</f>
        <v>추가하지 않음</v>
      </c>
      <c r="C3" s="131">
        <f>S5</f>
        <v>0</v>
      </c>
      <c r="D3" s="161"/>
      <c r="E3" s="156"/>
      <c r="F3" s="132"/>
      <c r="G3" s="331"/>
      <c r="H3" s="331"/>
      <c r="O3" s="125" t="s">
        <v>2819</v>
      </c>
      <c r="P3" s="125" t="s">
        <v>2820</v>
      </c>
      <c r="Q3" s="125" t="s">
        <v>2822</v>
      </c>
      <c r="R3" s="125" t="s">
        <v>2821</v>
      </c>
      <c r="S3" s="125" t="s">
        <v>2828</v>
      </c>
      <c r="T3" s="125" t="s">
        <v>2824</v>
      </c>
      <c r="U3" s="125" t="s">
        <v>2825</v>
      </c>
    </row>
    <row r="4" spans="2:21" x14ac:dyDescent="0.3">
      <c r="B4" s="159" t="s">
        <v>1203</v>
      </c>
      <c r="C4" s="132"/>
      <c r="D4" s="161"/>
      <c r="E4" s="156"/>
      <c r="F4" s="132"/>
      <c r="G4" s="331"/>
      <c r="H4" s="331"/>
      <c r="O4" s="125" t="s">
        <v>749</v>
      </c>
      <c r="P4" s="125">
        <v>0</v>
      </c>
      <c r="R4" s="357" t="str">
        <f>IF(ISNA(R6),R5,IF(Q5=1,R6,R6&amp;"등 "&amp;Q5&amp;"개"))</f>
        <v>추가하지 않음</v>
      </c>
      <c r="T4" s="125" t="s">
        <v>2826</v>
      </c>
      <c r="U4" s="125" t="s">
        <v>2827</v>
      </c>
    </row>
    <row r="5" spans="2:21" x14ac:dyDescent="0.3">
      <c r="B5" s="332" t="s">
        <v>2448</v>
      </c>
      <c r="C5" s="132"/>
      <c r="D5" s="149"/>
      <c r="E5" s="143"/>
      <c r="F5" s="132"/>
      <c r="G5" s="331"/>
      <c r="H5" s="331"/>
      <c r="O5" s="125" t="s">
        <v>1222</v>
      </c>
      <c r="P5" s="125">
        <v>1</v>
      </c>
      <c r="Q5" s="359">
        <f>SUM(Q6:Q33)</f>
        <v>0</v>
      </c>
      <c r="R5" s="361" t="s">
        <v>2823</v>
      </c>
      <c r="S5" s="360">
        <f>SUM(S7:S33)</f>
        <v>0</v>
      </c>
    </row>
    <row r="6" spans="2:21" x14ac:dyDescent="0.3">
      <c r="B6" s="332" t="s">
        <v>2450</v>
      </c>
      <c r="C6" s="132"/>
      <c r="D6" s="134"/>
      <c r="E6" s="134"/>
      <c r="F6" s="132"/>
      <c r="G6" s="331"/>
      <c r="H6" s="331"/>
      <c r="P6" s="125">
        <v>2</v>
      </c>
      <c r="R6" s="357" t="e">
        <f>LOOKUP(2,1/($Q$7:$Q$33&lt;&gt;0),$B$7:$B$33)</f>
        <v>#N/A</v>
      </c>
      <c r="S6" s="360"/>
    </row>
    <row r="7" spans="2:21" x14ac:dyDescent="0.3">
      <c r="B7" s="133" t="s">
        <v>2429</v>
      </c>
      <c r="C7" s="131">
        <v>113480</v>
      </c>
      <c r="D7" s="149">
        <v>0</v>
      </c>
      <c r="E7" s="143" t="s">
        <v>3227</v>
      </c>
      <c r="F7" s="131"/>
      <c r="G7" s="134" t="s">
        <v>2435</v>
      </c>
      <c r="H7" s="134" t="s">
        <v>2436</v>
      </c>
      <c r="P7" s="125">
        <v>3</v>
      </c>
      <c r="Q7" s="125">
        <f>IF(E7="O",D7,0)</f>
        <v>0</v>
      </c>
      <c r="S7" s="360">
        <f t="shared" ref="S7:S33" si="0">Q7*C7</f>
        <v>0</v>
      </c>
      <c r="T7" s="125">
        <v>0</v>
      </c>
      <c r="U7" s="125" t="s">
        <v>87</v>
      </c>
    </row>
    <row r="8" spans="2:21" x14ac:dyDescent="0.3">
      <c r="B8" s="130" t="s">
        <v>2439</v>
      </c>
      <c r="C8" s="131">
        <v>115430</v>
      </c>
      <c r="D8" s="149">
        <v>0</v>
      </c>
      <c r="E8" s="143" t="s">
        <v>3228</v>
      </c>
      <c r="F8" s="131"/>
      <c r="G8" s="134" t="s">
        <v>2438</v>
      </c>
      <c r="H8" s="134"/>
      <c r="P8" s="125">
        <v>4</v>
      </c>
      <c r="Q8" s="125">
        <f t="shared" ref="Q8:Q33" si="1">IF(E8="O",D8,0)</f>
        <v>0</v>
      </c>
      <c r="S8" s="360">
        <f t="shared" si="0"/>
        <v>0</v>
      </c>
      <c r="T8" s="125">
        <v>0</v>
      </c>
      <c r="U8" s="125" t="s">
        <v>87</v>
      </c>
    </row>
    <row r="9" spans="2:21" x14ac:dyDescent="0.3">
      <c r="B9" s="130" t="s">
        <v>2442</v>
      </c>
      <c r="C9" s="131">
        <v>118390</v>
      </c>
      <c r="D9" s="149">
        <v>0</v>
      </c>
      <c r="E9" s="143" t="s">
        <v>3228</v>
      </c>
      <c r="F9" s="131"/>
      <c r="G9" s="134" t="s">
        <v>2438</v>
      </c>
      <c r="H9" s="134" t="s">
        <v>2441</v>
      </c>
      <c r="P9" s="125">
        <v>5</v>
      </c>
      <c r="Q9" s="125">
        <f t="shared" si="1"/>
        <v>0</v>
      </c>
      <c r="S9" s="360">
        <f t="shared" si="0"/>
        <v>0</v>
      </c>
      <c r="T9" s="125">
        <v>0</v>
      </c>
      <c r="U9" s="125" t="s">
        <v>87</v>
      </c>
    </row>
    <row r="10" spans="2:21" x14ac:dyDescent="0.3">
      <c r="B10" s="133" t="s">
        <v>2428</v>
      </c>
      <c r="C10" s="131">
        <v>141000</v>
      </c>
      <c r="D10" s="149">
        <v>0</v>
      </c>
      <c r="E10" s="143" t="s">
        <v>3229</v>
      </c>
      <c r="F10" s="131"/>
      <c r="G10" s="134"/>
      <c r="H10" s="134"/>
      <c r="P10" s="125">
        <v>6</v>
      </c>
      <c r="Q10" s="125">
        <f t="shared" si="1"/>
        <v>0</v>
      </c>
      <c r="S10" s="360">
        <f t="shared" si="0"/>
        <v>0</v>
      </c>
      <c r="T10" s="125">
        <v>0</v>
      </c>
      <c r="U10" s="125" t="s">
        <v>87</v>
      </c>
    </row>
    <row r="11" spans="2:21" x14ac:dyDescent="0.3">
      <c r="B11" s="130" t="s">
        <v>2432</v>
      </c>
      <c r="C11" s="131">
        <v>161240</v>
      </c>
      <c r="D11" s="149">
        <v>0</v>
      </c>
      <c r="E11" s="143" t="s">
        <v>3230</v>
      </c>
      <c r="F11" s="131"/>
      <c r="G11" s="134" t="s">
        <v>2437</v>
      </c>
      <c r="H11" s="134" t="s">
        <v>2436</v>
      </c>
      <c r="P11" s="125">
        <v>7</v>
      </c>
      <c r="Q11" s="125">
        <f t="shared" si="1"/>
        <v>0</v>
      </c>
      <c r="S11" s="360">
        <f t="shared" si="0"/>
        <v>0</v>
      </c>
      <c r="T11" s="125">
        <v>0</v>
      </c>
      <c r="U11" s="125" t="s">
        <v>87</v>
      </c>
    </row>
    <row r="12" spans="2:21" x14ac:dyDescent="0.3">
      <c r="B12" s="130" t="s">
        <v>2440</v>
      </c>
      <c r="C12" s="131">
        <v>162460</v>
      </c>
      <c r="D12" s="149">
        <v>0</v>
      </c>
      <c r="E12" s="143" t="s">
        <v>3228</v>
      </c>
      <c r="F12" s="131"/>
      <c r="G12" s="134" t="s">
        <v>2438</v>
      </c>
      <c r="H12" s="134"/>
      <c r="P12" s="125">
        <v>8</v>
      </c>
      <c r="Q12" s="125">
        <f t="shared" si="1"/>
        <v>0</v>
      </c>
      <c r="S12" s="360">
        <f t="shared" si="0"/>
        <v>0</v>
      </c>
      <c r="T12" s="125">
        <v>0</v>
      </c>
      <c r="U12" s="125" t="s">
        <v>87</v>
      </c>
    </row>
    <row r="13" spans="2:21" x14ac:dyDescent="0.3">
      <c r="B13" s="130" t="s">
        <v>2433</v>
      </c>
      <c r="C13" s="131">
        <v>164580</v>
      </c>
      <c r="D13" s="149">
        <v>0</v>
      </c>
      <c r="E13" s="143" t="s">
        <v>3228</v>
      </c>
      <c r="F13" s="131"/>
      <c r="G13" s="134" t="s">
        <v>2438</v>
      </c>
      <c r="H13" s="134" t="s">
        <v>2436</v>
      </c>
      <c r="P13" s="125">
        <v>9</v>
      </c>
      <c r="Q13" s="125">
        <f t="shared" si="1"/>
        <v>0</v>
      </c>
      <c r="S13" s="360">
        <f t="shared" si="0"/>
        <v>0</v>
      </c>
      <c r="T13" s="125">
        <v>0</v>
      </c>
      <c r="U13" s="125" t="s">
        <v>87</v>
      </c>
    </row>
    <row r="14" spans="2:21" x14ac:dyDescent="0.3">
      <c r="B14" s="130" t="s">
        <v>2443</v>
      </c>
      <c r="C14" s="131">
        <v>167350</v>
      </c>
      <c r="D14" s="149">
        <v>0</v>
      </c>
      <c r="E14" s="143" t="s">
        <v>749</v>
      </c>
      <c r="F14" s="131"/>
      <c r="G14" s="134" t="s">
        <v>2438</v>
      </c>
      <c r="H14" s="134" t="s">
        <v>2441</v>
      </c>
      <c r="P14" s="125">
        <v>10</v>
      </c>
      <c r="Q14" s="125">
        <f t="shared" si="1"/>
        <v>0</v>
      </c>
      <c r="S14" s="360">
        <f t="shared" si="0"/>
        <v>0</v>
      </c>
      <c r="T14" s="125">
        <v>0</v>
      </c>
      <c r="U14" s="125" t="s">
        <v>87</v>
      </c>
    </row>
    <row r="15" spans="2:21" x14ac:dyDescent="0.3">
      <c r="B15" s="130" t="s">
        <v>2434</v>
      </c>
      <c r="C15" s="131">
        <v>204340</v>
      </c>
      <c r="D15" s="149">
        <v>0</v>
      </c>
      <c r="E15" s="143" t="s">
        <v>3229</v>
      </c>
      <c r="F15" s="131"/>
      <c r="G15" s="134"/>
      <c r="H15" s="134"/>
      <c r="Q15" s="125">
        <f t="shared" si="1"/>
        <v>0</v>
      </c>
      <c r="S15" s="360">
        <f t="shared" si="0"/>
        <v>0</v>
      </c>
      <c r="T15" s="125">
        <v>0</v>
      </c>
      <c r="U15" s="125" t="s">
        <v>87</v>
      </c>
    </row>
    <row r="16" spans="2:21" x14ac:dyDescent="0.3">
      <c r="B16" s="130" t="s">
        <v>2431</v>
      </c>
      <c r="C16" s="131">
        <v>249710</v>
      </c>
      <c r="D16" s="149">
        <v>0</v>
      </c>
      <c r="E16" s="143" t="s">
        <v>3228</v>
      </c>
      <c r="F16" s="131"/>
      <c r="G16" s="134"/>
      <c r="H16" s="134"/>
      <c r="Q16" s="125">
        <f t="shared" si="1"/>
        <v>0</v>
      </c>
      <c r="S16" s="360">
        <f t="shared" si="0"/>
        <v>0</v>
      </c>
      <c r="T16" s="125">
        <v>0</v>
      </c>
      <c r="U16" s="125" t="s">
        <v>87</v>
      </c>
    </row>
    <row r="17" spans="2:21" x14ac:dyDescent="0.3">
      <c r="B17" s="332" t="s">
        <v>2451</v>
      </c>
      <c r="C17" s="131"/>
      <c r="D17" s="134"/>
      <c r="E17" s="134"/>
      <c r="F17" s="131"/>
      <c r="G17" s="134"/>
      <c r="H17" s="134"/>
      <c r="Q17" s="125">
        <f t="shared" si="1"/>
        <v>0</v>
      </c>
      <c r="S17" s="360">
        <f t="shared" si="0"/>
        <v>0</v>
      </c>
    </row>
    <row r="18" spans="2:21" x14ac:dyDescent="0.3">
      <c r="B18" s="133" t="s">
        <v>2454</v>
      </c>
      <c r="C18" s="131">
        <v>0</v>
      </c>
      <c r="D18" s="149">
        <v>0</v>
      </c>
      <c r="E18" s="143" t="s">
        <v>3231</v>
      </c>
      <c r="F18" s="131"/>
      <c r="G18" s="134" t="s">
        <v>2427</v>
      </c>
      <c r="H18" s="134"/>
      <c r="Q18" s="125">
        <f t="shared" si="1"/>
        <v>0</v>
      </c>
      <c r="S18" s="360">
        <f t="shared" si="0"/>
        <v>0</v>
      </c>
      <c r="T18" s="125">
        <v>0</v>
      </c>
      <c r="U18" s="125" t="s">
        <v>87</v>
      </c>
    </row>
    <row r="19" spans="2:21" x14ac:dyDescent="0.3">
      <c r="B19" s="133" t="s">
        <v>2446</v>
      </c>
      <c r="C19" s="131">
        <v>0</v>
      </c>
      <c r="D19" s="149">
        <v>0</v>
      </c>
      <c r="E19" s="143" t="s">
        <v>3231</v>
      </c>
      <c r="F19" s="131"/>
      <c r="G19" s="134" t="s">
        <v>2427</v>
      </c>
      <c r="H19" s="134"/>
      <c r="Q19" s="125">
        <f t="shared" si="1"/>
        <v>0</v>
      </c>
      <c r="S19" s="360">
        <f t="shared" si="0"/>
        <v>0</v>
      </c>
      <c r="T19" s="125">
        <v>0</v>
      </c>
      <c r="U19" s="125" t="s">
        <v>87</v>
      </c>
    </row>
    <row r="20" spans="2:21" x14ac:dyDescent="0.3">
      <c r="B20" s="133" t="s">
        <v>2453</v>
      </c>
      <c r="C20" s="131">
        <v>0</v>
      </c>
      <c r="D20" s="149">
        <v>0</v>
      </c>
      <c r="E20" s="143" t="s">
        <v>3228</v>
      </c>
      <c r="F20" s="131"/>
      <c r="G20" s="134" t="s">
        <v>2427</v>
      </c>
      <c r="H20" s="134"/>
      <c r="Q20" s="125">
        <f t="shared" si="1"/>
        <v>0</v>
      </c>
      <c r="S20" s="360">
        <f t="shared" si="0"/>
        <v>0</v>
      </c>
      <c r="T20" s="125">
        <v>0</v>
      </c>
      <c r="U20" s="125" t="s">
        <v>87</v>
      </c>
    </row>
    <row r="21" spans="2:21" x14ac:dyDescent="0.3">
      <c r="B21" s="133" t="s">
        <v>2447</v>
      </c>
      <c r="C21" s="131">
        <v>0</v>
      </c>
      <c r="D21" s="149">
        <v>0</v>
      </c>
      <c r="E21" s="143" t="s">
        <v>749</v>
      </c>
      <c r="F21" s="131"/>
      <c r="G21" s="134" t="s">
        <v>2427</v>
      </c>
      <c r="H21" s="134"/>
      <c r="Q21" s="125">
        <f t="shared" si="1"/>
        <v>0</v>
      </c>
      <c r="S21" s="360">
        <f t="shared" si="0"/>
        <v>0</v>
      </c>
      <c r="T21" s="125">
        <v>0</v>
      </c>
      <c r="U21" s="125" t="s">
        <v>87</v>
      </c>
    </row>
    <row r="22" spans="2:21" x14ac:dyDescent="0.3">
      <c r="B22" s="133" t="s">
        <v>2445</v>
      </c>
      <c r="C22" s="131">
        <v>0</v>
      </c>
      <c r="D22" s="149">
        <v>0</v>
      </c>
      <c r="E22" s="143" t="s">
        <v>3230</v>
      </c>
      <c r="F22" s="131"/>
      <c r="G22" s="134" t="s">
        <v>2427</v>
      </c>
      <c r="H22" s="134"/>
      <c r="Q22" s="125">
        <f t="shared" si="1"/>
        <v>0</v>
      </c>
      <c r="S22" s="360">
        <f t="shared" si="0"/>
        <v>0</v>
      </c>
      <c r="T22" s="125">
        <v>0</v>
      </c>
      <c r="U22" s="125" t="s">
        <v>87</v>
      </c>
    </row>
    <row r="23" spans="2:21" x14ac:dyDescent="0.3">
      <c r="B23" s="133" t="s">
        <v>2444</v>
      </c>
      <c r="C23" s="131">
        <v>0</v>
      </c>
      <c r="D23" s="149">
        <v>0</v>
      </c>
      <c r="E23" s="143" t="s">
        <v>3228</v>
      </c>
      <c r="F23" s="131"/>
      <c r="G23" s="134" t="s">
        <v>2427</v>
      </c>
      <c r="H23" s="134"/>
      <c r="Q23" s="125">
        <f t="shared" si="1"/>
        <v>0</v>
      </c>
      <c r="S23" s="360">
        <f t="shared" si="0"/>
        <v>0</v>
      </c>
      <c r="T23" s="125">
        <v>0</v>
      </c>
      <c r="U23" s="125" t="s">
        <v>87</v>
      </c>
    </row>
    <row r="24" spans="2:21" x14ac:dyDescent="0.3">
      <c r="B24" s="133" t="s">
        <v>2452</v>
      </c>
      <c r="C24" s="131">
        <v>0</v>
      </c>
      <c r="D24" s="149">
        <v>0</v>
      </c>
      <c r="E24" s="143" t="s">
        <v>3228</v>
      </c>
      <c r="F24" s="131"/>
      <c r="G24" s="134" t="s">
        <v>2427</v>
      </c>
      <c r="H24" s="134"/>
      <c r="Q24" s="125">
        <f t="shared" si="1"/>
        <v>0</v>
      </c>
      <c r="S24" s="360">
        <f t="shared" si="0"/>
        <v>0</v>
      </c>
      <c r="T24" s="125">
        <v>0</v>
      </c>
      <c r="U24" s="125" t="s">
        <v>87</v>
      </c>
    </row>
    <row r="25" spans="2:21" x14ac:dyDescent="0.3">
      <c r="B25" s="147" t="s">
        <v>2829</v>
      </c>
      <c r="C25" s="131"/>
      <c r="D25" s="149"/>
      <c r="E25" s="143"/>
      <c r="F25" s="131"/>
      <c r="G25" s="134"/>
      <c r="H25" s="134"/>
      <c r="Q25" s="125">
        <f t="shared" si="1"/>
        <v>0</v>
      </c>
      <c r="S25" s="360">
        <f t="shared" si="0"/>
        <v>0</v>
      </c>
    </row>
    <row r="26" spans="2:21" x14ac:dyDescent="0.3">
      <c r="B26" s="332" t="s">
        <v>2449</v>
      </c>
      <c r="C26" s="131"/>
      <c r="D26" s="134"/>
      <c r="E26" s="134"/>
      <c r="F26" s="131"/>
      <c r="G26" s="134"/>
      <c r="H26" s="134"/>
      <c r="Q26" s="125">
        <f t="shared" si="1"/>
        <v>0</v>
      </c>
      <c r="S26" s="360">
        <f t="shared" si="0"/>
        <v>0</v>
      </c>
    </row>
    <row r="27" spans="2:21" x14ac:dyDescent="0.3">
      <c r="B27" s="130" t="s">
        <v>2456</v>
      </c>
      <c r="C27" s="131">
        <v>89000</v>
      </c>
      <c r="D27" s="149">
        <v>0</v>
      </c>
      <c r="E27" s="143" t="s">
        <v>3228</v>
      </c>
      <c r="F27" s="131"/>
      <c r="G27" s="134" t="s">
        <v>2464</v>
      </c>
      <c r="H27" s="134"/>
      <c r="Q27" s="125">
        <f t="shared" si="1"/>
        <v>0</v>
      </c>
      <c r="S27" s="360">
        <f t="shared" si="0"/>
        <v>0</v>
      </c>
      <c r="T27" s="125">
        <v>0</v>
      </c>
      <c r="U27" s="125" t="s">
        <v>87</v>
      </c>
    </row>
    <row r="28" spans="2:21" x14ac:dyDescent="0.3">
      <c r="B28" s="130" t="s">
        <v>2462</v>
      </c>
      <c r="C28" s="131">
        <v>99000</v>
      </c>
      <c r="D28" s="149">
        <v>0</v>
      </c>
      <c r="E28" s="143" t="s">
        <v>3228</v>
      </c>
      <c r="F28" s="131"/>
      <c r="G28" s="134" t="s">
        <v>2465</v>
      </c>
      <c r="H28" s="134"/>
      <c r="Q28" s="125">
        <f t="shared" si="1"/>
        <v>0</v>
      </c>
      <c r="S28" s="360">
        <f t="shared" si="0"/>
        <v>0</v>
      </c>
      <c r="T28" s="125">
        <v>0</v>
      </c>
      <c r="U28" s="125" t="s">
        <v>87</v>
      </c>
    </row>
    <row r="29" spans="2:21" x14ac:dyDescent="0.3">
      <c r="B29" s="130" t="s">
        <v>2463</v>
      </c>
      <c r="C29" s="131">
        <v>119000</v>
      </c>
      <c r="D29" s="149">
        <v>0</v>
      </c>
      <c r="E29" s="143" t="s">
        <v>3228</v>
      </c>
      <c r="F29" s="131"/>
      <c r="G29" s="134" t="s">
        <v>2466</v>
      </c>
      <c r="H29" s="134"/>
      <c r="Q29" s="125">
        <f t="shared" si="1"/>
        <v>0</v>
      </c>
      <c r="S29" s="360">
        <f t="shared" si="0"/>
        <v>0</v>
      </c>
      <c r="T29" s="125">
        <v>0</v>
      </c>
      <c r="U29" s="125" t="s">
        <v>87</v>
      </c>
    </row>
    <row r="30" spans="2:21" x14ac:dyDescent="0.3">
      <c r="B30" s="130" t="s">
        <v>2467</v>
      </c>
      <c r="C30" s="131">
        <v>179000</v>
      </c>
      <c r="D30" s="149">
        <v>0</v>
      </c>
      <c r="E30" s="143" t="s">
        <v>3228</v>
      </c>
      <c r="F30" s="131"/>
      <c r="G30" s="134" t="s">
        <v>2468</v>
      </c>
      <c r="H30" s="310" t="s">
        <v>2469</v>
      </c>
      <c r="Q30" s="125">
        <f t="shared" si="1"/>
        <v>0</v>
      </c>
      <c r="S30" s="360">
        <f t="shared" si="0"/>
        <v>0</v>
      </c>
      <c r="T30" s="125">
        <v>0</v>
      </c>
      <c r="U30" s="125" t="s">
        <v>87</v>
      </c>
    </row>
    <row r="31" spans="2:21" x14ac:dyDescent="0.3">
      <c r="B31" s="130" t="s">
        <v>2457</v>
      </c>
      <c r="C31" s="131">
        <v>49500</v>
      </c>
      <c r="D31" s="149">
        <v>0</v>
      </c>
      <c r="E31" s="143" t="s">
        <v>3232</v>
      </c>
      <c r="F31" s="131"/>
      <c r="G31" s="134" t="s">
        <v>2459</v>
      </c>
      <c r="H31" s="7" t="s">
        <v>2455</v>
      </c>
      <c r="Q31" s="125">
        <f t="shared" si="1"/>
        <v>0</v>
      </c>
      <c r="S31" s="360">
        <f t="shared" si="0"/>
        <v>0</v>
      </c>
      <c r="T31" s="125">
        <v>0</v>
      </c>
      <c r="U31" s="125" t="s">
        <v>87</v>
      </c>
    </row>
    <row r="32" spans="2:21" x14ac:dyDescent="0.3">
      <c r="B32" s="130" t="s">
        <v>2458</v>
      </c>
      <c r="C32" s="131">
        <v>59400</v>
      </c>
      <c r="D32" s="149">
        <v>0</v>
      </c>
      <c r="E32" s="143" t="s">
        <v>3228</v>
      </c>
      <c r="F32" s="131"/>
      <c r="G32" s="134" t="s">
        <v>2460</v>
      </c>
      <c r="H32" s="7" t="s">
        <v>2455</v>
      </c>
      <c r="Q32" s="125">
        <f t="shared" si="1"/>
        <v>0</v>
      </c>
      <c r="S32" s="360">
        <f t="shared" si="0"/>
        <v>0</v>
      </c>
      <c r="T32" s="125">
        <v>0</v>
      </c>
      <c r="U32" s="125" t="s">
        <v>87</v>
      </c>
    </row>
    <row r="33" spans="2:21" x14ac:dyDescent="0.3">
      <c r="B33" s="130" t="s">
        <v>2461</v>
      </c>
      <c r="C33" s="131">
        <v>59400</v>
      </c>
      <c r="D33" s="149">
        <v>0</v>
      </c>
      <c r="E33" s="143" t="s">
        <v>3230</v>
      </c>
      <c r="F33" s="131"/>
      <c r="G33" s="134" t="s">
        <v>2460</v>
      </c>
      <c r="H33" s="7" t="s">
        <v>2455</v>
      </c>
      <c r="Q33" s="125">
        <f t="shared" si="1"/>
        <v>0</v>
      </c>
      <c r="S33" s="360">
        <f t="shared" si="0"/>
        <v>0</v>
      </c>
      <c r="T33" s="125">
        <v>0</v>
      </c>
      <c r="U33" s="125" t="s">
        <v>87</v>
      </c>
    </row>
    <row r="34" spans="2:21" x14ac:dyDescent="0.3">
      <c r="B34" s="159" t="s">
        <v>1203</v>
      </c>
      <c r="D34" s="125"/>
      <c r="E34" s="124"/>
      <c r="G34" s="124"/>
      <c r="H34" s="124"/>
      <c r="K34" s="125"/>
      <c r="L34" s="125"/>
      <c r="M34" s="125"/>
      <c r="N34" s="125"/>
      <c r="O34" s="360"/>
      <c r="R34" s="124"/>
      <c r="S34" s="124"/>
      <c r="T34" s="124"/>
      <c r="U34" s="124"/>
    </row>
    <row r="35" spans="2:21" x14ac:dyDescent="0.3">
      <c r="D35" s="125"/>
      <c r="E35" s="124"/>
      <c r="G35" s="124"/>
      <c r="H35" s="124"/>
      <c r="K35" s="125"/>
      <c r="L35" s="125"/>
      <c r="M35" s="125"/>
      <c r="N35" s="125"/>
      <c r="O35" s="360"/>
      <c r="R35" s="124"/>
      <c r="S35" s="124"/>
      <c r="T35" s="124"/>
      <c r="U35" s="124"/>
    </row>
    <row r="36" spans="2:21" x14ac:dyDescent="0.3">
      <c r="D36" s="125"/>
      <c r="E36" s="124"/>
      <c r="G36" s="124"/>
      <c r="H36" s="124"/>
      <c r="K36" s="125"/>
      <c r="L36" s="125"/>
      <c r="M36" s="125"/>
      <c r="N36" s="125"/>
      <c r="O36" s="360"/>
      <c r="R36" s="124"/>
      <c r="S36" s="124"/>
      <c r="T36" s="124"/>
      <c r="U36" s="124"/>
    </row>
    <row r="37" spans="2:21" x14ac:dyDescent="0.3">
      <c r="D37" s="125"/>
      <c r="E37" s="124"/>
      <c r="G37" s="124"/>
      <c r="H37" s="124"/>
      <c r="K37" s="125"/>
      <c r="L37" s="125"/>
      <c r="M37" s="125"/>
      <c r="N37" s="125"/>
      <c r="O37" s="360"/>
      <c r="R37" s="124"/>
      <c r="S37" s="124"/>
      <c r="T37" s="124"/>
      <c r="U37" s="124"/>
    </row>
    <row r="38" spans="2:21" x14ac:dyDescent="0.3">
      <c r="D38" s="125"/>
      <c r="E38" s="124"/>
      <c r="G38" s="124"/>
      <c r="H38" s="124"/>
      <c r="K38" s="125"/>
      <c r="L38" s="125"/>
      <c r="M38" s="125"/>
      <c r="N38" s="125"/>
      <c r="O38" s="360"/>
      <c r="R38" s="124"/>
      <c r="S38" s="124"/>
      <c r="T38" s="124"/>
      <c r="U38" s="124"/>
    </row>
    <row r="39" spans="2:21" x14ac:dyDescent="0.3">
      <c r="D39" s="125"/>
      <c r="E39" s="124"/>
      <c r="G39" s="124"/>
      <c r="H39" s="124"/>
      <c r="K39" s="125"/>
      <c r="L39" s="125"/>
      <c r="M39" s="125"/>
      <c r="N39" s="125"/>
      <c r="O39" s="360"/>
      <c r="R39" s="124"/>
      <c r="S39" s="124"/>
      <c r="T39" s="124"/>
      <c r="U39" s="124"/>
    </row>
    <row r="40" spans="2:21" x14ac:dyDescent="0.3">
      <c r="D40" s="125"/>
      <c r="E40" s="124"/>
      <c r="G40" s="124"/>
      <c r="H40" s="124"/>
      <c r="K40" s="125"/>
      <c r="L40" s="125"/>
      <c r="M40" s="125"/>
      <c r="N40" s="125"/>
      <c r="O40" s="360"/>
      <c r="R40" s="124"/>
      <c r="S40" s="124"/>
      <c r="T40" s="124"/>
      <c r="U40" s="124"/>
    </row>
    <row r="41" spans="2:21" x14ac:dyDescent="0.3">
      <c r="D41" s="125"/>
      <c r="E41" s="124"/>
      <c r="G41" s="124"/>
      <c r="H41" s="124"/>
      <c r="K41" s="125"/>
      <c r="L41" s="125"/>
      <c r="M41" s="125"/>
      <c r="N41" s="125"/>
      <c r="O41" s="360"/>
      <c r="R41" s="124"/>
      <c r="S41" s="124"/>
      <c r="T41" s="124"/>
      <c r="U41" s="124"/>
    </row>
    <row r="42" spans="2:21" x14ac:dyDescent="0.3">
      <c r="D42" s="125"/>
      <c r="E42" s="124"/>
      <c r="G42" s="124"/>
      <c r="H42" s="124"/>
      <c r="K42" s="125"/>
      <c r="L42" s="125"/>
      <c r="M42" s="125"/>
      <c r="N42" s="125"/>
      <c r="O42" s="360"/>
      <c r="R42" s="124"/>
      <c r="S42" s="124"/>
      <c r="T42" s="124"/>
      <c r="U42" s="124"/>
    </row>
    <row r="43" spans="2:21" x14ac:dyDescent="0.3">
      <c r="D43" s="125"/>
      <c r="E43" s="124"/>
      <c r="G43" s="124"/>
      <c r="H43" s="124"/>
      <c r="K43" s="125"/>
      <c r="L43" s="125"/>
      <c r="M43" s="125"/>
      <c r="N43" s="125"/>
      <c r="O43" s="360"/>
      <c r="R43" s="124"/>
      <c r="S43" s="124"/>
      <c r="T43" s="124"/>
      <c r="U43" s="124"/>
    </row>
    <row r="44" spans="2:21" x14ac:dyDescent="0.3">
      <c r="D44" s="125"/>
      <c r="E44" s="124"/>
      <c r="G44" s="124"/>
      <c r="H44" s="124"/>
      <c r="K44" s="125"/>
      <c r="L44" s="125"/>
      <c r="M44" s="125"/>
      <c r="N44" s="125"/>
      <c r="O44" s="360"/>
      <c r="R44" s="124"/>
      <c r="S44" s="124"/>
      <c r="T44" s="124"/>
      <c r="U44" s="124"/>
    </row>
    <row r="45" spans="2:21" x14ac:dyDescent="0.3">
      <c r="D45" s="125"/>
      <c r="E45" s="124"/>
      <c r="G45" s="124"/>
      <c r="H45" s="124"/>
      <c r="K45" s="125"/>
      <c r="L45" s="125"/>
      <c r="M45" s="125"/>
      <c r="N45" s="125"/>
      <c r="O45" s="360"/>
      <c r="R45" s="124"/>
      <c r="S45" s="124"/>
      <c r="T45" s="124"/>
      <c r="U45" s="124"/>
    </row>
    <row r="46" spans="2:21" x14ac:dyDescent="0.3">
      <c r="D46" s="125"/>
      <c r="E46" s="124"/>
      <c r="G46" s="124"/>
      <c r="H46" s="124"/>
      <c r="K46" s="125"/>
      <c r="L46" s="125"/>
      <c r="M46" s="125"/>
      <c r="N46" s="125"/>
      <c r="O46" s="360"/>
      <c r="R46" s="124"/>
      <c r="S46" s="124"/>
      <c r="T46" s="124"/>
      <c r="U46" s="124"/>
    </row>
    <row r="47" spans="2:21" x14ac:dyDescent="0.3">
      <c r="D47" s="125"/>
      <c r="E47" s="124"/>
      <c r="G47" s="124"/>
      <c r="H47" s="124"/>
      <c r="K47" s="125"/>
      <c r="L47" s="125"/>
      <c r="M47" s="125"/>
      <c r="N47" s="125"/>
      <c r="O47" s="360"/>
      <c r="R47" s="124"/>
      <c r="S47" s="124"/>
      <c r="T47" s="124"/>
      <c r="U47" s="124"/>
    </row>
    <row r="48" spans="2:21" x14ac:dyDescent="0.3">
      <c r="D48" s="125"/>
      <c r="E48" s="124"/>
      <c r="G48" s="124"/>
      <c r="H48" s="124"/>
      <c r="K48" s="125"/>
      <c r="L48" s="125"/>
      <c r="M48" s="125"/>
      <c r="N48" s="125"/>
      <c r="O48" s="360"/>
      <c r="R48" s="124"/>
      <c r="S48" s="124"/>
      <c r="T48" s="124"/>
      <c r="U48" s="124"/>
    </row>
    <row r="49" spans="4:21" x14ac:dyDescent="0.3">
      <c r="D49" s="125"/>
      <c r="E49" s="124"/>
      <c r="G49" s="124"/>
      <c r="H49" s="124"/>
      <c r="K49" s="125"/>
      <c r="L49" s="125"/>
      <c r="M49" s="125"/>
      <c r="N49" s="125"/>
      <c r="O49" s="360"/>
      <c r="R49" s="124"/>
      <c r="S49" s="124"/>
      <c r="T49" s="124"/>
      <c r="U49" s="124"/>
    </row>
    <row r="50" spans="4:21" x14ac:dyDescent="0.3">
      <c r="D50" s="125"/>
      <c r="E50" s="124"/>
      <c r="G50" s="124"/>
      <c r="H50" s="124"/>
      <c r="K50" s="125"/>
      <c r="L50" s="125"/>
      <c r="M50" s="125"/>
      <c r="N50" s="125"/>
      <c r="O50" s="360"/>
      <c r="R50" s="124"/>
      <c r="S50" s="124"/>
      <c r="T50" s="124"/>
      <c r="U50" s="124"/>
    </row>
    <row r="51" spans="4:21" x14ac:dyDescent="0.3">
      <c r="D51" s="125"/>
      <c r="E51" s="124"/>
      <c r="G51" s="124"/>
      <c r="H51" s="124"/>
      <c r="K51" s="125"/>
      <c r="L51" s="125"/>
      <c r="M51" s="125"/>
      <c r="N51" s="125"/>
      <c r="O51" s="360"/>
      <c r="R51" s="124"/>
      <c r="S51" s="124"/>
      <c r="T51" s="124"/>
      <c r="U51" s="124"/>
    </row>
    <row r="52" spans="4:21" x14ac:dyDescent="0.3">
      <c r="D52" s="125"/>
      <c r="E52" s="124"/>
      <c r="G52" s="124"/>
      <c r="H52" s="124"/>
      <c r="K52" s="125"/>
      <c r="L52" s="125"/>
      <c r="M52" s="125"/>
      <c r="N52" s="125"/>
      <c r="O52" s="360"/>
      <c r="R52" s="124"/>
      <c r="S52" s="124"/>
      <c r="T52" s="124"/>
      <c r="U52" s="124"/>
    </row>
    <row r="53" spans="4:21" x14ac:dyDescent="0.3">
      <c r="D53" s="125"/>
      <c r="E53" s="124"/>
      <c r="G53" s="124"/>
      <c r="H53" s="124"/>
      <c r="K53" s="125"/>
      <c r="L53" s="125"/>
      <c r="M53" s="125"/>
      <c r="N53" s="125"/>
      <c r="O53" s="360"/>
      <c r="R53" s="124"/>
      <c r="S53" s="124"/>
      <c r="T53" s="124"/>
      <c r="U53" s="124"/>
    </row>
    <row r="54" spans="4:21" x14ac:dyDescent="0.3">
      <c r="D54" s="125"/>
      <c r="E54" s="124"/>
      <c r="G54" s="124"/>
      <c r="H54" s="124"/>
      <c r="K54" s="125"/>
      <c r="L54" s="125"/>
      <c r="M54" s="125"/>
      <c r="N54" s="125"/>
      <c r="O54" s="360"/>
      <c r="R54" s="124"/>
      <c r="S54" s="124"/>
      <c r="T54" s="124"/>
      <c r="U54" s="124"/>
    </row>
    <row r="55" spans="4:21" x14ac:dyDescent="0.3">
      <c r="D55" s="125"/>
      <c r="E55" s="124"/>
      <c r="G55" s="124"/>
      <c r="H55" s="124"/>
      <c r="K55" s="125"/>
      <c r="L55" s="125"/>
      <c r="M55" s="125"/>
      <c r="N55" s="125"/>
      <c r="O55" s="360"/>
      <c r="R55" s="124"/>
      <c r="S55" s="124"/>
      <c r="T55" s="124"/>
      <c r="U55" s="124"/>
    </row>
    <row r="56" spans="4:21" x14ac:dyDescent="0.3">
      <c r="D56" s="125"/>
      <c r="E56" s="124"/>
      <c r="G56" s="124"/>
      <c r="H56" s="124"/>
      <c r="K56" s="125"/>
      <c r="L56" s="125"/>
      <c r="M56" s="125"/>
      <c r="N56" s="125"/>
      <c r="O56" s="360"/>
      <c r="R56" s="124"/>
      <c r="S56" s="124"/>
      <c r="T56" s="124"/>
      <c r="U56" s="124"/>
    </row>
    <row r="57" spans="4:21" x14ac:dyDescent="0.3">
      <c r="D57" s="125"/>
      <c r="E57" s="124"/>
      <c r="G57" s="124"/>
      <c r="H57" s="124"/>
      <c r="K57" s="125"/>
      <c r="L57" s="125"/>
      <c r="M57" s="125"/>
      <c r="N57" s="125"/>
      <c r="O57" s="360"/>
      <c r="R57" s="124"/>
      <c r="S57" s="124"/>
      <c r="T57" s="124"/>
      <c r="U57" s="124"/>
    </row>
    <row r="58" spans="4:21" x14ac:dyDescent="0.3">
      <c r="D58" s="125"/>
      <c r="E58" s="124"/>
      <c r="G58" s="124"/>
      <c r="H58" s="124"/>
      <c r="K58" s="125"/>
      <c r="L58" s="125"/>
      <c r="M58" s="125"/>
      <c r="N58" s="125"/>
      <c r="O58" s="360"/>
      <c r="R58" s="124"/>
      <c r="S58" s="124"/>
      <c r="T58" s="124"/>
      <c r="U58" s="124"/>
    </row>
    <row r="59" spans="4:21" x14ac:dyDescent="0.3">
      <c r="D59" s="125"/>
      <c r="E59" s="124"/>
      <c r="G59" s="124"/>
      <c r="H59" s="124"/>
      <c r="K59" s="125"/>
      <c r="L59" s="125"/>
      <c r="M59" s="125"/>
      <c r="N59" s="125"/>
      <c r="O59" s="360"/>
      <c r="R59" s="124"/>
      <c r="S59" s="124"/>
      <c r="T59" s="124"/>
      <c r="U59" s="124"/>
    </row>
    <row r="60" spans="4:21" x14ac:dyDescent="0.3">
      <c r="D60" s="125"/>
      <c r="E60" s="124"/>
      <c r="G60" s="124"/>
      <c r="H60" s="124"/>
      <c r="K60" s="125"/>
      <c r="L60" s="125"/>
      <c r="M60" s="125"/>
      <c r="N60" s="125"/>
      <c r="O60" s="360"/>
      <c r="R60" s="124"/>
      <c r="S60" s="124"/>
      <c r="T60" s="124"/>
      <c r="U60" s="124"/>
    </row>
    <row r="61" spans="4:21" x14ac:dyDescent="0.3">
      <c r="D61" s="125"/>
      <c r="E61" s="124"/>
      <c r="G61" s="124"/>
      <c r="H61" s="124"/>
      <c r="K61" s="125"/>
      <c r="L61" s="125"/>
      <c r="M61" s="125"/>
      <c r="N61" s="125"/>
      <c r="O61" s="360"/>
      <c r="R61" s="124"/>
      <c r="S61" s="124"/>
      <c r="T61" s="124"/>
      <c r="U61" s="124"/>
    </row>
    <row r="62" spans="4:21" x14ac:dyDescent="0.3">
      <c r="D62" s="125"/>
      <c r="E62" s="124"/>
      <c r="G62" s="124"/>
      <c r="H62" s="124"/>
      <c r="K62" s="125"/>
      <c r="L62" s="125"/>
      <c r="M62" s="125"/>
      <c r="N62" s="125"/>
      <c r="O62" s="360"/>
      <c r="R62" s="124"/>
      <c r="S62" s="124"/>
      <c r="T62" s="124"/>
      <c r="U62" s="124"/>
    </row>
    <row r="63" spans="4:21" x14ac:dyDescent="0.3">
      <c r="D63" s="125"/>
      <c r="E63" s="124"/>
      <c r="G63" s="124"/>
      <c r="H63" s="124"/>
      <c r="K63" s="125"/>
      <c r="L63" s="125"/>
      <c r="M63" s="125"/>
      <c r="N63" s="125"/>
      <c r="O63" s="360"/>
      <c r="R63" s="124"/>
      <c r="S63" s="124"/>
      <c r="T63" s="124"/>
      <c r="U63" s="124"/>
    </row>
    <row r="64" spans="4:21" x14ac:dyDescent="0.3">
      <c r="D64" s="125"/>
      <c r="E64" s="124"/>
      <c r="G64" s="124"/>
      <c r="H64" s="124"/>
      <c r="K64" s="125"/>
      <c r="L64" s="125"/>
      <c r="M64" s="125"/>
      <c r="N64" s="125"/>
      <c r="O64" s="360"/>
      <c r="R64" s="124"/>
      <c r="S64" s="124"/>
      <c r="T64" s="124"/>
      <c r="U64" s="124"/>
    </row>
    <row r="65" spans="4:21" x14ac:dyDescent="0.3">
      <c r="D65" s="125"/>
      <c r="E65" s="124"/>
      <c r="G65" s="124"/>
      <c r="H65" s="124"/>
      <c r="K65" s="125"/>
      <c r="L65" s="125"/>
      <c r="M65" s="125"/>
      <c r="N65" s="125"/>
      <c r="R65" s="124"/>
      <c r="S65" s="124"/>
      <c r="T65" s="124"/>
      <c r="U65" s="124"/>
    </row>
    <row r="66" spans="4:21" x14ac:dyDescent="0.3">
      <c r="D66" s="125"/>
      <c r="E66" s="124"/>
      <c r="G66" s="124"/>
      <c r="H66" s="124"/>
      <c r="K66" s="125"/>
      <c r="L66" s="125"/>
      <c r="M66" s="125"/>
      <c r="N66" s="125"/>
      <c r="R66" s="124"/>
      <c r="S66" s="124"/>
      <c r="T66" s="124"/>
      <c r="U66" s="124"/>
    </row>
    <row r="67" spans="4:21" x14ac:dyDescent="0.3">
      <c r="D67" s="125"/>
      <c r="E67" s="124"/>
      <c r="G67" s="124"/>
      <c r="H67" s="124"/>
      <c r="K67" s="125"/>
      <c r="L67" s="125"/>
      <c r="M67" s="125"/>
      <c r="N67" s="125"/>
      <c r="R67" s="124"/>
      <c r="S67" s="124"/>
      <c r="T67" s="124"/>
      <c r="U67" s="124"/>
    </row>
  </sheetData>
  <sortState ref="C8:F17">
    <sortCondition ref="C7"/>
  </sortState>
  <phoneticPr fontId="4" type="noConversion"/>
  <conditionalFormatting sqref="G17:H17 G23:H23 G19:H21 G1:H8 G30:G31 H30 G26:H28 G32:H33 G68:H1048576 D34:D67 F34:F67">
    <cfRule type="cellIs" dxfId="31" priority="133" operator="equal">
      <formula>"3.5mm"</formula>
    </cfRule>
  </conditionalFormatting>
  <conditionalFormatting sqref="G9">
    <cfRule type="cellIs" dxfId="30" priority="130" operator="equal">
      <formula>"3.5mm"</formula>
    </cfRule>
  </conditionalFormatting>
  <conditionalFormatting sqref="G10:G12">
    <cfRule type="cellIs" dxfId="29" priority="128" operator="equal">
      <formula>"3.5mm"</formula>
    </cfRule>
  </conditionalFormatting>
  <conditionalFormatting sqref="H10 H12 H14:H15">
    <cfRule type="cellIs" dxfId="28" priority="56" operator="equal">
      <formula>"3.5mm"</formula>
    </cfRule>
  </conditionalFormatting>
  <conditionalFormatting sqref="H11">
    <cfRule type="cellIs" dxfId="27" priority="28" operator="equal">
      <formula>"3.5mm"</formula>
    </cfRule>
  </conditionalFormatting>
  <conditionalFormatting sqref="H9">
    <cfRule type="cellIs" dxfId="26" priority="29" operator="equal">
      <formula>"3.5mm"</formula>
    </cfRule>
  </conditionalFormatting>
  <conditionalFormatting sqref="G13">
    <cfRule type="cellIs" dxfId="25" priority="27" operator="equal">
      <formula>"3.5mm"</formula>
    </cfRule>
  </conditionalFormatting>
  <conditionalFormatting sqref="H13">
    <cfRule type="cellIs" dxfId="24" priority="26" operator="equal">
      <formula>"3.5mm"</formula>
    </cfRule>
  </conditionalFormatting>
  <conditionalFormatting sqref="G14">
    <cfRule type="cellIs" dxfId="23" priority="25" operator="equal">
      <formula>"3.5mm"</formula>
    </cfRule>
  </conditionalFormatting>
  <conditionalFormatting sqref="G15">
    <cfRule type="cellIs" dxfId="22" priority="24" operator="equal">
      <formula>"3.5mm"</formula>
    </cfRule>
  </conditionalFormatting>
  <conditionalFormatting sqref="H16">
    <cfRule type="cellIs" dxfId="21" priority="23" operator="equal">
      <formula>"3.5mm"</formula>
    </cfRule>
  </conditionalFormatting>
  <conditionalFormatting sqref="G16">
    <cfRule type="cellIs" dxfId="20" priority="22" operator="equal">
      <formula>"3.5mm"</formula>
    </cfRule>
  </conditionalFormatting>
  <conditionalFormatting sqref="G24:G25">
    <cfRule type="cellIs" dxfId="19" priority="19" operator="equal">
      <formula>"3.5mm"</formula>
    </cfRule>
  </conditionalFormatting>
  <conditionalFormatting sqref="H24:H25">
    <cfRule type="cellIs" dxfId="18" priority="18" operator="equal">
      <formula>"3.5mm"</formula>
    </cfRule>
  </conditionalFormatting>
  <conditionalFormatting sqref="G19:G25">
    <cfRule type="cellIs" dxfId="17" priority="17" operator="equal">
      <formula>"3.5mm"</formula>
    </cfRule>
  </conditionalFormatting>
  <conditionalFormatting sqref="H22">
    <cfRule type="cellIs" dxfId="16" priority="16" operator="equal">
      <formula>"3.5mm"</formula>
    </cfRule>
  </conditionalFormatting>
  <conditionalFormatting sqref="G18:H18">
    <cfRule type="cellIs" dxfId="15" priority="15" operator="equal">
      <formula>"3.5mm"</formula>
    </cfRule>
  </conditionalFormatting>
  <conditionalFormatting sqref="G18">
    <cfRule type="cellIs" dxfId="14" priority="14" operator="equal">
      <formula>"3.5mm"</formula>
    </cfRule>
  </conditionalFormatting>
  <conditionalFormatting sqref="H31:H33">
    <cfRule type="cellIs" dxfId="13" priority="12" operator="equal">
      <formula>"3.5mm"</formula>
    </cfRule>
  </conditionalFormatting>
  <conditionalFormatting sqref="G29:H29">
    <cfRule type="cellIs" dxfId="12" priority="11" operator="equal">
      <formula>"3.5mm"</formula>
    </cfRule>
  </conditionalFormatting>
  <conditionalFormatting sqref="E1:E5 E7:E16 E18:E25 E27:E1048576">
    <cfRule type="cellIs" dxfId="11" priority="9" operator="equal">
      <formula>"O"</formula>
    </cfRule>
    <cfRule type="cellIs" dxfId="10" priority="10" operator="equal">
      <formula>"X"</formula>
    </cfRule>
  </conditionalFormatting>
  <conditionalFormatting sqref="E17">
    <cfRule type="cellIs" dxfId="9" priority="8" operator="equal">
      <formula>"3.5mm"</formula>
    </cfRule>
  </conditionalFormatting>
  <conditionalFormatting sqref="D17">
    <cfRule type="cellIs" dxfId="8" priority="7" operator="equal">
      <formula>"3.5mm"</formula>
    </cfRule>
  </conditionalFormatting>
  <conditionalFormatting sqref="D26">
    <cfRule type="cellIs" dxfId="7" priority="6" operator="equal">
      <formula>"3.5mm"</formula>
    </cfRule>
  </conditionalFormatting>
  <conditionalFormatting sqref="E26">
    <cfRule type="cellIs" dxfId="6" priority="5" operator="equal">
      <formula>"3.5mm"</formula>
    </cfRule>
  </conditionalFormatting>
  <conditionalFormatting sqref="D6">
    <cfRule type="cellIs" dxfId="5" priority="4" operator="equal">
      <formula>"3.5mm"</formula>
    </cfRule>
  </conditionalFormatting>
  <conditionalFormatting sqref="E6">
    <cfRule type="cellIs" dxfId="4" priority="3" operator="equal">
      <formula>"3.5mm"</formula>
    </cfRule>
  </conditionalFormatting>
  <conditionalFormatting sqref="E8">
    <cfRule type="cellIs" dxfId="3" priority="1" operator="equal">
      <formula>"O"</formula>
    </cfRule>
    <cfRule type="cellIs" dxfId="2" priority="2" operator="equal">
      <formula>"X"</formula>
    </cfRule>
  </conditionalFormatting>
  <dataValidations count="4">
    <dataValidation type="list" allowBlank="1" showInputMessage="1" showErrorMessage="1" sqref="D25">
      <formula1>$M$4:$M$14</formula1>
    </dataValidation>
    <dataValidation type="list" allowBlank="1" showInputMessage="1" showErrorMessage="1" sqref="E25">
      <formula1>$L$4:$L$5</formula1>
    </dataValidation>
    <dataValidation type="list" allowBlank="1" showInputMessage="1" showErrorMessage="1" sqref="E7:E16 E18:E24 E27:E33">
      <formula1>$O$4:$O$5</formula1>
    </dataValidation>
    <dataValidation type="list" allowBlank="1" showInputMessage="1" showErrorMessage="1" sqref="D7:D16 D18:D24 D27:D33">
      <formula1>$P$4:$P$14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B1:U66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" sqref="B1"/>
    </sheetView>
  </sheetViews>
  <sheetFormatPr defaultColWidth="9" defaultRowHeight="13.2" x14ac:dyDescent="0.3"/>
  <cols>
    <col min="1" max="1" width="3.19921875" style="124" bestFit="1" customWidth="1"/>
    <col min="2" max="2" width="60.59765625" style="124" bestFit="1" customWidth="1"/>
    <col min="3" max="3" width="8" style="124" bestFit="1" customWidth="1"/>
    <col min="4" max="4" width="5.19921875" style="163" customWidth="1"/>
    <col min="5" max="5" width="5.3984375" style="125" bestFit="1" customWidth="1"/>
    <col min="6" max="6" width="1" style="124" customWidth="1"/>
    <col min="7" max="9" width="9.8984375" style="125" bestFit="1" customWidth="1"/>
    <col min="10" max="14" width="2" style="124" customWidth="1"/>
    <col min="15" max="17" width="9" style="125" hidden="1" customWidth="1"/>
    <col min="18" max="18" width="26.5" style="125" hidden="1" customWidth="1"/>
    <col min="19" max="19" width="7.3984375" style="125" hidden="1" customWidth="1"/>
    <col min="20" max="20" width="4.69921875" style="125" hidden="1" customWidth="1"/>
    <col min="21" max="21" width="4.5" style="125" hidden="1" customWidth="1"/>
    <col min="22" max="16384" width="9" style="124"/>
  </cols>
  <sheetData>
    <row r="1" spans="2:21" ht="24" customHeight="1" x14ac:dyDescent="0.3">
      <c r="O1" s="125" t="s">
        <v>1213</v>
      </c>
    </row>
    <row r="2" spans="2:21" x14ac:dyDescent="0.3">
      <c r="B2" s="135" t="s">
        <v>0</v>
      </c>
      <c r="C2" s="132" t="s">
        <v>1</v>
      </c>
      <c r="D2" s="3" t="s">
        <v>2471</v>
      </c>
      <c r="E2" s="335" t="s">
        <v>2472</v>
      </c>
      <c r="F2" s="132"/>
      <c r="G2" s="333" t="s">
        <v>2477</v>
      </c>
      <c r="H2" s="333" t="s">
        <v>2478</v>
      </c>
      <c r="I2" s="333" t="s">
        <v>2479</v>
      </c>
    </row>
    <row r="3" spans="2:21" x14ac:dyDescent="0.3">
      <c r="B3" s="134" t="str">
        <f>R4</f>
        <v>추가하지 않음</v>
      </c>
      <c r="C3" s="131">
        <f>S5</f>
        <v>0</v>
      </c>
      <c r="D3" s="161"/>
      <c r="E3" s="156"/>
      <c r="F3" s="132"/>
      <c r="G3" s="333"/>
      <c r="H3" s="333"/>
      <c r="I3" s="333"/>
      <c r="O3" s="125" t="s">
        <v>2819</v>
      </c>
      <c r="P3" s="125" t="s">
        <v>2820</v>
      </c>
      <c r="Q3" s="125" t="s">
        <v>2822</v>
      </c>
      <c r="R3" s="125" t="s">
        <v>2821</v>
      </c>
      <c r="S3" s="125" t="s">
        <v>2828</v>
      </c>
      <c r="T3" s="125" t="s">
        <v>2824</v>
      </c>
      <c r="U3" s="125" t="s">
        <v>2825</v>
      </c>
    </row>
    <row r="4" spans="2:21" x14ac:dyDescent="0.3">
      <c r="B4" s="159" t="s">
        <v>1203</v>
      </c>
      <c r="C4" s="132"/>
      <c r="D4" s="161"/>
      <c r="E4" s="156"/>
      <c r="F4" s="132"/>
      <c r="G4" s="333"/>
      <c r="H4" s="333"/>
      <c r="I4" s="333"/>
      <c r="O4" s="125" t="s">
        <v>2511</v>
      </c>
      <c r="P4" s="125">
        <v>0</v>
      </c>
      <c r="R4" s="357" t="str">
        <f>IF(ISNA(R6),R5,IF(Q5=1,R6,R6&amp;"등 "&amp;Q5&amp;"개"))</f>
        <v>추가하지 않음</v>
      </c>
      <c r="T4" s="125" t="s">
        <v>2826</v>
      </c>
      <c r="U4" s="125" t="s">
        <v>2827</v>
      </c>
    </row>
    <row r="5" spans="2:21" x14ac:dyDescent="0.3">
      <c r="B5" s="135" t="s">
        <v>239</v>
      </c>
      <c r="C5" s="131"/>
      <c r="D5" s="149"/>
      <c r="E5" s="143"/>
      <c r="F5" s="131"/>
      <c r="G5" s="134"/>
      <c r="H5" s="134"/>
      <c r="I5" s="134"/>
      <c r="O5" s="125" t="s">
        <v>2818</v>
      </c>
      <c r="P5" s="125">
        <v>1</v>
      </c>
      <c r="Q5" s="359">
        <f>SUM(Q6:Q63)</f>
        <v>0</v>
      </c>
      <c r="R5" s="361" t="s">
        <v>2823</v>
      </c>
      <c r="S5" s="360">
        <f>SUM(S6:S63)</f>
        <v>0</v>
      </c>
    </row>
    <row r="6" spans="2:21" x14ac:dyDescent="0.3">
      <c r="B6" s="133" t="s">
        <v>2473</v>
      </c>
      <c r="C6" s="131">
        <v>1900</v>
      </c>
      <c r="D6" s="149">
        <v>0</v>
      </c>
      <c r="E6" s="143" t="s">
        <v>3233</v>
      </c>
      <c r="F6" s="131"/>
      <c r="G6" s="134" t="s">
        <v>2480</v>
      </c>
      <c r="H6" s="134" t="s">
        <v>2481</v>
      </c>
      <c r="I6" s="134"/>
      <c r="P6" s="125">
        <v>2</v>
      </c>
      <c r="Q6" s="125">
        <f>IF(E6="O",D6,0)</f>
        <v>0</v>
      </c>
      <c r="R6" s="357" t="e">
        <f>LOOKUP(2,1/($Q$6:$Q$63&lt;&gt;0),$B$6:$B$63)</f>
        <v>#N/A</v>
      </c>
      <c r="S6" s="360">
        <f>Q6*C6</f>
        <v>0</v>
      </c>
      <c r="T6" s="125">
        <v>0</v>
      </c>
      <c r="U6" s="125" t="s">
        <v>87</v>
      </c>
    </row>
    <row r="7" spans="2:21" x14ac:dyDescent="0.3">
      <c r="B7" s="133" t="s">
        <v>2474</v>
      </c>
      <c r="C7" s="131">
        <v>1900</v>
      </c>
      <c r="D7" s="149">
        <v>0</v>
      </c>
      <c r="E7" s="143" t="s">
        <v>3234</v>
      </c>
      <c r="F7" s="131"/>
      <c r="G7" s="134" t="s">
        <v>2480</v>
      </c>
      <c r="H7" s="134" t="s">
        <v>2481</v>
      </c>
      <c r="I7" s="134"/>
      <c r="P7" s="125">
        <v>3</v>
      </c>
      <c r="Q7" s="125">
        <f t="shared" ref="Q7:Q63" si="0">IF(E7="O",D7,0)</f>
        <v>0</v>
      </c>
      <c r="S7" s="360">
        <f t="shared" ref="S7:S63" si="1">Q7*C7</f>
        <v>0</v>
      </c>
      <c r="T7" s="125">
        <v>0</v>
      </c>
      <c r="U7" s="125" t="s">
        <v>87</v>
      </c>
    </row>
    <row r="8" spans="2:21" x14ac:dyDescent="0.3">
      <c r="B8" s="135" t="s">
        <v>2490</v>
      </c>
      <c r="C8" s="131"/>
      <c r="D8" s="149"/>
      <c r="E8" s="143"/>
      <c r="F8" s="131"/>
      <c r="G8" s="134"/>
      <c r="H8" s="134"/>
      <c r="I8" s="134"/>
      <c r="P8" s="125">
        <v>4</v>
      </c>
      <c r="Q8" s="125">
        <f t="shared" si="0"/>
        <v>0</v>
      </c>
      <c r="S8" s="360">
        <f t="shared" si="1"/>
        <v>0</v>
      </c>
    </row>
    <row r="9" spans="2:21" x14ac:dyDescent="0.3">
      <c r="B9" s="133" t="s">
        <v>2488</v>
      </c>
      <c r="C9" s="131">
        <v>7600</v>
      </c>
      <c r="D9" s="149">
        <v>0</v>
      </c>
      <c r="E9" s="143" t="s">
        <v>3233</v>
      </c>
      <c r="F9" s="131"/>
      <c r="G9" s="134" t="s">
        <v>2489</v>
      </c>
      <c r="H9" s="134" t="s">
        <v>2489</v>
      </c>
      <c r="I9" s="134"/>
      <c r="P9" s="125">
        <v>5</v>
      </c>
      <c r="Q9" s="125">
        <f t="shared" si="0"/>
        <v>0</v>
      </c>
      <c r="S9" s="360">
        <f t="shared" si="1"/>
        <v>0</v>
      </c>
      <c r="T9" s="125">
        <v>0</v>
      </c>
      <c r="U9" s="125" t="s">
        <v>87</v>
      </c>
    </row>
    <row r="10" spans="2:21" x14ac:dyDescent="0.3">
      <c r="B10" s="133" t="s">
        <v>2520</v>
      </c>
      <c r="C10" s="131">
        <v>4200</v>
      </c>
      <c r="D10" s="149">
        <v>0</v>
      </c>
      <c r="E10" s="143" t="s">
        <v>749</v>
      </c>
      <c r="F10" s="131"/>
      <c r="G10" s="134" t="s">
        <v>2507</v>
      </c>
      <c r="H10" s="134" t="s">
        <v>2521</v>
      </c>
      <c r="I10" s="134"/>
      <c r="P10" s="125">
        <v>6</v>
      </c>
      <c r="Q10" s="125">
        <f t="shared" si="0"/>
        <v>0</v>
      </c>
      <c r="S10" s="360">
        <f t="shared" si="1"/>
        <v>0</v>
      </c>
      <c r="T10" s="125">
        <v>0</v>
      </c>
      <c r="U10" s="125" t="s">
        <v>87</v>
      </c>
    </row>
    <row r="11" spans="2:21" x14ac:dyDescent="0.3">
      <c r="B11" s="133" t="s">
        <v>2519</v>
      </c>
      <c r="C11" s="131">
        <v>7350</v>
      </c>
      <c r="D11" s="149">
        <v>0</v>
      </c>
      <c r="E11" s="143" t="s">
        <v>3230</v>
      </c>
      <c r="F11" s="131"/>
      <c r="G11" s="134" t="s">
        <v>2507</v>
      </c>
      <c r="H11" s="134" t="s">
        <v>2507</v>
      </c>
      <c r="I11" s="134"/>
      <c r="P11" s="125">
        <v>7</v>
      </c>
      <c r="Q11" s="125">
        <f t="shared" si="0"/>
        <v>0</v>
      </c>
      <c r="S11" s="360">
        <f t="shared" si="1"/>
        <v>0</v>
      </c>
      <c r="T11" s="125">
        <v>0</v>
      </c>
      <c r="U11" s="125" t="s">
        <v>87</v>
      </c>
    </row>
    <row r="12" spans="2:21" x14ac:dyDescent="0.3">
      <c r="B12" s="133" t="s">
        <v>2540</v>
      </c>
      <c r="C12" s="131">
        <v>7100</v>
      </c>
      <c r="D12" s="149">
        <v>0</v>
      </c>
      <c r="E12" s="143" t="s">
        <v>3233</v>
      </c>
      <c r="F12" s="131"/>
      <c r="G12" s="134" t="s">
        <v>2482</v>
      </c>
      <c r="H12" s="134" t="s">
        <v>2483</v>
      </c>
      <c r="I12" s="134"/>
      <c r="P12" s="125">
        <v>8</v>
      </c>
      <c r="Q12" s="125">
        <f t="shared" si="0"/>
        <v>0</v>
      </c>
      <c r="S12" s="360">
        <f t="shared" si="1"/>
        <v>0</v>
      </c>
      <c r="T12" s="125">
        <v>0</v>
      </c>
      <c r="U12" s="125" t="s">
        <v>87</v>
      </c>
    </row>
    <row r="13" spans="2:21" x14ac:dyDescent="0.3">
      <c r="B13" s="133" t="s">
        <v>2542</v>
      </c>
      <c r="C13" s="131">
        <v>7600</v>
      </c>
      <c r="D13" s="149">
        <v>0</v>
      </c>
      <c r="E13" s="143" t="s">
        <v>3233</v>
      </c>
      <c r="F13" s="131"/>
      <c r="G13" s="134" t="s">
        <v>2483</v>
      </c>
      <c r="H13" s="134" t="s">
        <v>2484</v>
      </c>
      <c r="I13" s="134"/>
      <c r="P13" s="125">
        <v>9</v>
      </c>
      <c r="Q13" s="125">
        <f t="shared" si="0"/>
        <v>0</v>
      </c>
      <c r="S13" s="360">
        <f t="shared" si="1"/>
        <v>0</v>
      </c>
      <c r="T13" s="125">
        <v>0</v>
      </c>
      <c r="U13" s="125" t="s">
        <v>87</v>
      </c>
    </row>
    <row r="14" spans="2:21" x14ac:dyDescent="0.3">
      <c r="B14" s="133" t="s">
        <v>2541</v>
      </c>
      <c r="C14" s="131">
        <v>7600</v>
      </c>
      <c r="D14" s="149">
        <v>0</v>
      </c>
      <c r="E14" s="143" t="s">
        <v>3233</v>
      </c>
      <c r="F14" s="131"/>
      <c r="G14" s="134" t="s">
        <v>2482</v>
      </c>
      <c r="H14" s="134" t="s">
        <v>2485</v>
      </c>
      <c r="I14" s="134"/>
      <c r="P14" s="125">
        <v>10</v>
      </c>
      <c r="Q14" s="125">
        <f t="shared" si="0"/>
        <v>0</v>
      </c>
      <c r="S14" s="360">
        <f t="shared" si="1"/>
        <v>0</v>
      </c>
      <c r="T14" s="125">
        <v>0</v>
      </c>
      <c r="U14" s="125" t="s">
        <v>87</v>
      </c>
    </row>
    <row r="15" spans="2:21" x14ac:dyDescent="0.3">
      <c r="B15" s="130" t="s">
        <v>2486</v>
      </c>
      <c r="C15" s="131">
        <v>7900</v>
      </c>
      <c r="D15" s="149">
        <v>0</v>
      </c>
      <c r="E15" s="143" t="s">
        <v>3233</v>
      </c>
      <c r="F15" s="131"/>
      <c r="G15" s="134" t="s">
        <v>2483</v>
      </c>
      <c r="H15" s="134" t="s">
        <v>2487</v>
      </c>
      <c r="I15" s="134"/>
      <c r="Q15" s="125">
        <f t="shared" si="0"/>
        <v>0</v>
      </c>
      <c r="S15" s="360">
        <f t="shared" si="1"/>
        <v>0</v>
      </c>
      <c r="T15" s="125">
        <v>0</v>
      </c>
      <c r="U15" s="125" t="s">
        <v>87</v>
      </c>
    </row>
    <row r="16" spans="2:21" x14ac:dyDescent="0.3">
      <c r="B16" s="130" t="s">
        <v>2525</v>
      </c>
      <c r="C16" s="131">
        <v>7700</v>
      </c>
      <c r="D16" s="149">
        <v>0</v>
      </c>
      <c r="E16" s="143" t="s">
        <v>3235</v>
      </c>
      <c r="F16" s="131"/>
      <c r="G16" s="134" t="s">
        <v>2523</v>
      </c>
      <c r="H16" s="134" t="s">
        <v>2523</v>
      </c>
      <c r="I16" s="134"/>
      <c r="Q16" s="125">
        <f t="shared" si="0"/>
        <v>0</v>
      </c>
      <c r="S16" s="360">
        <f t="shared" si="1"/>
        <v>0</v>
      </c>
      <c r="T16" s="125">
        <v>0</v>
      </c>
      <c r="U16" s="125" t="s">
        <v>87</v>
      </c>
    </row>
    <row r="17" spans="2:21" x14ac:dyDescent="0.3">
      <c r="B17" s="130" t="s">
        <v>2522</v>
      </c>
      <c r="C17" s="131">
        <v>8300</v>
      </c>
      <c r="D17" s="149">
        <v>0</v>
      </c>
      <c r="E17" s="143" t="s">
        <v>749</v>
      </c>
      <c r="F17" s="131"/>
      <c r="G17" s="134" t="s">
        <v>2523</v>
      </c>
      <c r="H17" s="134" t="s">
        <v>2482</v>
      </c>
      <c r="I17" s="134"/>
      <c r="Q17" s="125">
        <f t="shared" si="0"/>
        <v>0</v>
      </c>
      <c r="S17" s="360">
        <f t="shared" si="1"/>
        <v>0</v>
      </c>
      <c r="T17" s="125">
        <v>0</v>
      </c>
      <c r="U17" s="125" t="s">
        <v>87</v>
      </c>
    </row>
    <row r="18" spans="2:21" x14ac:dyDescent="0.3">
      <c r="B18" s="130" t="s">
        <v>2524</v>
      </c>
      <c r="C18" s="131">
        <v>7300</v>
      </c>
      <c r="D18" s="149">
        <v>0</v>
      </c>
      <c r="E18" s="143" t="s">
        <v>3233</v>
      </c>
      <c r="F18" s="131"/>
      <c r="G18" s="134" t="s">
        <v>2523</v>
      </c>
      <c r="H18" s="134" t="s">
        <v>2492</v>
      </c>
      <c r="I18" s="134"/>
      <c r="Q18" s="125">
        <f t="shared" si="0"/>
        <v>0</v>
      </c>
      <c r="S18" s="360">
        <f t="shared" si="1"/>
        <v>0</v>
      </c>
      <c r="T18" s="125">
        <v>0</v>
      </c>
      <c r="U18" s="125" t="s">
        <v>87</v>
      </c>
    </row>
    <row r="19" spans="2:21" x14ac:dyDescent="0.3">
      <c r="B19" s="130" t="s">
        <v>2528</v>
      </c>
      <c r="C19" s="131">
        <v>7500</v>
      </c>
      <c r="D19" s="149">
        <v>0</v>
      </c>
      <c r="E19" s="143" t="s">
        <v>3236</v>
      </c>
      <c r="F19" s="131"/>
      <c r="G19" s="134" t="s">
        <v>2529</v>
      </c>
      <c r="H19" s="134" t="s">
        <v>2523</v>
      </c>
      <c r="I19" s="134"/>
      <c r="Q19" s="125">
        <f t="shared" si="0"/>
        <v>0</v>
      </c>
      <c r="S19" s="360">
        <f t="shared" si="1"/>
        <v>0</v>
      </c>
      <c r="T19" s="125">
        <v>0</v>
      </c>
      <c r="U19" s="125" t="s">
        <v>87</v>
      </c>
    </row>
    <row r="20" spans="2:21" x14ac:dyDescent="0.3">
      <c r="B20" s="130" t="s">
        <v>2526</v>
      </c>
      <c r="C20" s="131">
        <v>8300</v>
      </c>
      <c r="D20" s="149">
        <v>0</v>
      </c>
      <c r="E20" s="143" t="s">
        <v>3233</v>
      </c>
      <c r="F20" s="131"/>
      <c r="G20" s="134" t="s">
        <v>2527</v>
      </c>
      <c r="H20" s="134" t="s">
        <v>2482</v>
      </c>
      <c r="I20" s="134"/>
      <c r="Q20" s="125">
        <f t="shared" si="0"/>
        <v>0</v>
      </c>
      <c r="S20" s="360">
        <f t="shared" si="1"/>
        <v>0</v>
      </c>
      <c r="T20" s="125">
        <v>0</v>
      </c>
      <c r="U20" s="125" t="s">
        <v>87</v>
      </c>
    </row>
    <row r="21" spans="2:21" x14ac:dyDescent="0.3">
      <c r="B21" s="130"/>
      <c r="C21" s="131"/>
      <c r="D21" s="149"/>
      <c r="E21" s="143"/>
      <c r="F21" s="131"/>
      <c r="G21" s="134"/>
      <c r="H21" s="134"/>
      <c r="I21" s="134"/>
      <c r="Q21" s="125">
        <f t="shared" si="0"/>
        <v>0</v>
      </c>
      <c r="S21" s="360">
        <f t="shared" si="1"/>
        <v>0</v>
      </c>
    </row>
    <row r="22" spans="2:21" x14ac:dyDescent="0.3">
      <c r="B22" s="135" t="s">
        <v>2494</v>
      </c>
      <c r="C22" s="131"/>
      <c r="D22" s="149"/>
      <c r="E22" s="143"/>
      <c r="F22" s="131"/>
      <c r="G22" s="134"/>
      <c r="H22" s="134"/>
      <c r="I22" s="134"/>
      <c r="Q22" s="125">
        <f t="shared" si="0"/>
        <v>0</v>
      </c>
      <c r="S22" s="360">
        <f t="shared" si="1"/>
        <v>0</v>
      </c>
    </row>
    <row r="23" spans="2:21" x14ac:dyDescent="0.3">
      <c r="B23" s="130" t="s">
        <v>2516</v>
      </c>
      <c r="C23" s="131">
        <v>1000</v>
      </c>
      <c r="D23" s="149">
        <v>0</v>
      </c>
      <c r="E23" s="143" t="s">
        <v>3230</v>
      </c>
      <c r="F23" s="131"/>
      <c r="G23" s="134" t="s">
        <v>2512</v>
      </c>
      <c r="H23" s="134" t="s">
        <v>2514</v>
      </c>
      <c r="I23" s="134"/>
      <c r="Q23" s="125">
        <f t="shared" si="0"/>
        <v>0</v>
      </c>
      <c r="S23" s="360">
        <f t="shared" si="1"/>
        <v>0</v>
      </c>
      <c r="T23" s="125">
        <v>0</v>
      </c>
      <c r="U23" s="125" t="s">
        <v>87</v>
      </c>
    </row>
    <row r="24" spans="2:21" x14ac:dyDescent="0.3">
      <c r="B24" s="130" t="s">
        <v>2517</v>
      </c>
      <c r="C24" s="131">
        <v>1700</v>
      </c>
      <c r="D24" s="149">
        <v>0</v>
      </c>
      <c r="E24" s="143" t="s">
        <v>749</v>
      </c>
      <c r="F24" s="131"/>
      <c r="G24" s="134" t="s">
        <v>2515</v>
      </c>
      <c r="H24" s="134" t="s">
        <v>2513</v>
      </c>
      <c r="I24" s="134"/>
      <c r="Q24" s="125">
        <f t="shared" si="0"/>
        <v>0</v>
      </c>
      <c r="S24" s="360">
        <f t="shared" si="1"/>
        <v>0</v>
      </c>
      <c r="T24" s="125">
        <v>0</v>
      </c>
      <c r="U24" s="125" t="s">
        <v>87</v>
      </c>
    </row>
    <row r="25" spans="2:21" x14ac:dyDescent="0.3">
      <c r="B25" s="130" t="s">
        <v>2493</v>
      </c>
      <c r="C25" s="131">
        <v>1800</v>
      </c>
      <c r="D25" s="149">
        <v>0</v>
      </c>
      <c r="E25" s="143" t="s">
        <v>3233</v>
      </c>
      <c r="F25" s="131"/>
      <c r="G25" s="134" t="s">
        <v>2507</v>
      </c>
      <c r="H25" s="134" t="s">
        <v>2482</v>
      </c>
      <c r="I25" s="134"/>
      <c r="Q25" s="125">
        <f t="shared" si="0"/>
        <v>0</v>
      </c>
      <c r="S25" s="360">
        <f t="shared" si="1"/>
        <v>0</v>
      </c>
      <c r="T25" s="125">
        <v>0</v>
      </c>
      <c r="U25" s="125" t="s">
        <v>87</v>
      </c>
    </row>
    <row r="26" spans="2:21" x14ac:dyDescent="0.3">
      <c r="B26" s="130" t="s">
        <v>2491</v>
      </c>
      <c r="C26" s="131">
        <v>1700</v>
      </c>
      <c r="D26" s="149">
        <v>0</v>
      </c>
      <c r="E26" s="143" t="s">
        <v>3237</v>
      </c>
      <c r="F26" s="131"/>
      <c r="G26" s="134" t="s">
        <v>2482</v>
      </c>
      <c r="H26" s="134" t="s">
        <v>2492</v>
      </c>
      <c r="I26" s="134"/>
      <c r="Q26" s="125">
        <f t="shared" si="0"/>
        <v>0</v>
      </c>
      <c r="S26" s="360">
        <f t="shared" si="1"/>
        <v>0</v>
      </c>
      <c r="T26" s="125">
        <v>0</v>
      </c>
      <c r="U26" s="125" t="s">
        <v>87</v>
      </c>
    </row>
    <row r="27" spans="2:21" x14ac:dyDescent="0.3">
      <c r="B27" s="130" t="s">
        <v>2497</v>
      </c>
      <c r="C27" s="131">
        <v>1700</v>
      </c>
      <c r="D27" s="149">
        <v>0</v>
      </c>
      <c r="E27" s="143" t="s">
        <v>3236</v>
      </c>
      <c r="F27" s="131"/>
      <c r="G27" s="134" t="s">
        <v>2495</v>
      </c>
      <c r="H27" s="134" t="s">
        <v>2496</v>
      </c>
      <c r="I27" s="134"/>
      <c r="Q27" s="125">
        <f t="shared" si="0"/>
        <v>0</v>
      </c>
      <c r="S27" s="360">
        <f t="shared" si="1"/>
        <v>0</v>
      </c>
      <c r="T27" s="125">
        <v>0</v>
      </c>
      <c r="U27" s="125" t="s">
        <v>87</v>
      </c>
    </row>
    <row r="28" spans="2:21" x14ac:dyDescent="0.3">
      <c r="B28" s="130" t="s">
        <v>2498</v>
      </c>
      <c r="C28" s="131">
        <v>2500</v>
      </c>
      <c r="D28" s="149">
        <v>0</v>
      </c>
      <c r="E28" s="143" t="s">
        <v>3237</v>
      </c>
      <c r="F28" s="131"/>
      <c r="G28" s="134" t="s">
        <v>2482</v>
      </c>
      <c r="H28" s="134" t="s">
        <v>2499</v>
      </c>
      <c r="I28" s="134"/>
      <c r="Q28" s="125">
        <f t="shared" si="0"/>
        <v>0</v>
      </c>
      <c r="S28" s="360">
        <f t="shared" si="1"/>
        <v>0</v>
      </c>
      <c r="T28" s="125">
        <v>0</v>
      </c>
      <c r="U28" s="125" t="s">
        <v>87</v>
      </c>
    </row>
    <row r="29" spans="2:21" x14ac:dyDescent="0.3">
      <c r="B29" s="130" t="s">
        <v>2535</v>
      </c>
      <c r="C29" s="131">
        <v>6000</v>
      </c>
      <c r="D29" s="149">
        <v>0</v>
      </c>
      <c r="E29" s="143" t="s">
        <v>3233</v>
      </c>
      <c r="F29" s="131"/>
      <c r="G29" s="134" t="s">
        <v>2482</v>
      </c>
      <c r="H29" s="134" t="s">
        <v>2529</v>
      </c>
      <c r="I29" s="134"/>
      <c r="Q29" s="125">
        <f t="shared" si="0"/>
        <v>0</v>
      </c>
      <c r="S29" s="360">
        <f t="shared" si="1"/>
        <v>0</v>
      </c>
      <c r="T29" s="125">
        <v>0</v>
      </c>
      <c r="U29" s="125" t="s">
        <v>87</v>
      </c>
    </row>
    <row r="30" spans="2:21" x14ac:dyDescent="0.3">
      <c r="B30" s="130" t="s">
        <v>2502</v>
      </c>
      <c r="C30" s="131">
        <v>2900</v>
      </c>
      <c r="D30" s="149">
        <v>0</v>
      </c>
      <c r="E30" s="143" t="s">
        <v>3233</v>
      </c>
      <c r="F30" s="131"/>
      <c r="G30" s="134" t="s">
        <v>2484</v>
      </c>
      <c r="H30" s="134" t="s">
        <v>2482</v>
      </c>
      <c r="I30" s="134"/>
      <c r="Q30" s="125">
        <f t="shared" si="0"/>
        <v>0</v>
      </c>
      <c r="S30" s="360">
        <f t="shared" si="1"/>
        <v>0</v>
      </c>
      <c r="T30" s="125">
        <v>0</v>
      </c>
      <c r="U30" s="125" t="s">
        <v>87</v>
      </c>
    </row>
    <row r="31" spans="2:21" x14ac:dyDescent="0.3">
      <c r="B31" s="130" t="s">
        <v>2505</v>
      </c>
      <c r="C31" s="131">
        <v>3800</v>
      </c>
      <c r="D31" s="149">
        <v>0</v>
      </c>
      <c r="E31" s="143" t="s">
        <v>3230</v>
      </c>
      <c r="F31" s="131"/>
      <c r="G31" s="134" t="s">
        <v>2506</v>
      </c>
      <c r="H31" s="134" t="s">
        <v>2504</v>
      </c>
      <c r="I31" s="134"/>
      <c r="Q31" s="125">
        <f t="shared" si="0"/>
        <v>0</v>
      </c>
      <c r="S31" s="360">
        <f t="shared" si="1"/>
        <v>0</v>
      </c>
      <c r="T31" s="125">
        <v>0</v>
      </c>
      <c r="U31" s="125" t="s">
        <v>87</v>
      </c>
    </row>
    <row r="32" spans="2:21" x14ac:dyDescent="0.3">
      <c r="B32" s="130" t="s">
        <v>2503</v>
      </c>
      <c r="C32" s="131">
        <v>3300</v>
      </c>
      <c r="D32" s="149">
        <v>0</v>
      </c>
      <c r="E32" s="143" t="s">
        <v>3233</v>
      </c>
      <c r="F32" s="131"/>
      <c r="G32" s="134" t="s">
        <v>2504</v>
      </c>
      <c r="H32" s="134" t="s">
        <v>2483</v>
      </c>
      <c r="I32" s="134"/>
      <c r="Q32" s="125">
        <f t="shared" si="0"/>
        <v>0</v>
      </c>
      <c r="S32" s="360">
        <f t="shared" si="1"/>
        <v>0</v>
      </c>
      <c r="T32" s="125">
        <v>0</v>
      </c>
      <c r="U32" s="125" t="s">
        <v>87</v>
      </c>
    </row>
    <row r="33" spans="2:21" x14ac:dyDescent="0.3">
      <c r="B33" s="130" t="s">
        <v>2532</v>
      </c>
      <c r="C33" s="131">
        <v>7700</v>
      </c>
      <c r="D33" s="149">
        <v>0</v>
      </c>
      <c r="E33" s="143" t="s">
        <v>749</v>
      </c>
      <c r="F33" s="131"/>
      <c r="G33" s="134" t="s">
        <v>2523</v>
      </c>
      <c r="H33" s="134" t="s">
        <v>2507</v>
      </c>
      <c r="I33" s="134"/>
      <c r="Q33" s="125">
        <f t="shared" si="0"/>
        <v>0</v>
      </c>
      <c r="S33" s="360">
        <f t="shared" si="1"/>
        <v>0</v>
      </c>
      <c r="T33" s="125">
        <v>0</v>
      </c>
      <c r="U33" s="125" t="s">
        <v>87</v>
      </c>
    </row>
    <row r="34" spans="2:21" x14ac:dyDescent="0.3">
      <c r="B34" s="130" t="s">
        <v>2531</v>
      </c>
      <c r="C34" s="131">
        <v>7700</v>
      </c>
      <c r="D34" s="149">
        <v>0</v>
      </c>
      <c r="E34" s="143" t="s">
        <v>3230</v>
      </c>
      <c r="F34" s="131"/>
      <c r="G34" s="134" t="s">
        <v>2533</v>
      </c>
      <c r="H34" s="134" t="s">
        <v>2534</v>
      </c>
      <c r="I34" s="134"/>
      <c r="Q34" s="125">
        <f t="shared" si="0"/>
        <v>0</v>
      </c>
      <c r="S34" s="360">
        <f t="shared" si="1"/>
        <v>0</v>
      </c>
      <c r="T34" s="125">
        <v>0</v>
      </c>
      <c r="U34" s="125" t="s">
        <v>87</v>
      </c>
    </row>
    <row r="35" spans="2:21" x14ac:dyDescent="0.3">
      <c r="B35" s="130" t="s">
        <v>2537</v>
      </c>
      <c r="C35" s="131">
        <v>6500</v>
      </c>
      <c r="D35" s="149">
        <v>0</v>
      </c>
      <c r="E35" s="143" t="s">
        <v>3233</v>
      </c>
      <c r="F35" s="131"/>
      <c r="G35" s="134" t="s">
        <v>2538</v>
      </c>
      <c r="H35" s="134" t="s">
        <v>2539</v>
      </c>
      <c r="I35" s="134"/>
      <c r="Q35" s="125">
        <f t="shared" si="0"/>
        <v>0</v>
      </c>
      <c r="S35" s="360">
        <f t="shared" si="1"/>
        <v>0</v>
      </c>
      <c r="T35" s="125">
        <v>0</v>
      </c>
      <c r="U35" s="125" t="s">
        <v>87</v>
      </c>
    </row>
    <row r="36" spans="2:21" x14ac:dyDescent="0.3">
      <c r="B36" s="130" t="s">
        <v>2536</v>
      </c>
      <c r="C36" s="131">
        <v>6500</v>
      </c>
      <c r="D36" s="149">
        <v>0</v>
      </c>
      <c r="E36" s="143" t="s">
        <v>749</v>
      </c>
      <c r="F36" s="131"/>
      <c r="G36" s="134" t="s">
        <v>2529</v>
      </c>
      <c r="H36" s="134" t="s">
        <v>2523</v>
      </c>
      <c r="I36" s="134"/>
      <c r="J36" s="337" t="s">
        <v>2576</v>
      </c>
      <c r="K36" s="337"/>
      <c r="L36" s="337"/>
      <c r="M36" s="337"/>
      <c r="Q36" s="125">
        <f t="shared" si="0"/>
        <v>0</v>
      </c>
      <c r="S36" s="360">
        <f t="shared" si="1"/>
        <v>0</v>
      </c>
      <c r="T36" s="125">
        <v>0</v>
      </c>
      <c r="U36" s="125" t="s">
        <v>87</v>
      </c>
    </row>
    <row r="37" spans="2:21" x14ac:dyDescent="0.3">
      <c r="B37" s="334" t="s">
        <v>2500</v>
      </c>
      <c r="C37" s="131"/>
      <c r="D37" s="149"/>
      <c r="E37" s="143"/>
      <c r="F37" s="131"/>
      <c r="G37" s="134"/>
      <c r="H37" s="134"/>
      <c r="I37" s="134"/>
      <c r="Q37" s="125">
        <f t="shared" si="0"/>
        <v>0</v>
      </c>
      <c r="S37" s="360">
        <f t="shared" si="1"/>
        <v>0</v>
      </c>
    </row>
    <row r="38" spans="2:21" x14ac:dyDescent="0.3">
      <c r="B38" s="130" t="s">
        <v>2518</v>
      </c>
      <c r="C38" s="131">
        <v>850</v>
      </c>
      <c r="D38" s="149">
        <v>0</v>
      </c>
      <c r="E38" s="143" t="s">
        <v>3233</v>
      </c>
      <c r="F38" s="131"/>
      <c r="G38" s="134" t="s">
        <v>2513</v>
      </c>
      <c r="H38" s="134"/>
      <c r="I38" s="134"/>
      <c r="Q38" s="125">
        <f t="shared" si="0"/>
        <v>0</v>
      </c>
      <c r="S38" s="360">
        <f t="shared" si="1"/>
        <v>0</v>
      </c>
      <c r="T38" s="125">
        <v>0</v>
      </c>
      <c r="U38" s="125" t="s">
        <v>87</v>
      </c>
    </row>
    <row r="39" spans="2:21" x14ac:dyDescent="0.3">
      <c r="B39" s="130" t="s">
        <v>2555</v>
      </c>
      <c r="C39" s="131">
        <v>2700</v>
      </c>
      <c r="D39" s="149">
        <v>0</v>
      </c>
      <c r="E39" s="143" t="s">
        <v>3233</v>
      </c>
      <c r="F39" s="131"/>
      <c r="G39" s="134" t="s">
        <v>2507</v>
      </c>
      <c r="H39" s="134"/>
      <c r="I39" s="134"/>
      <c r="Q39" s="125">
        <f t="shared" si="0"/>
        <v>0</v>
      </c>
      <c r="S39" s="360">
        <f t="shared" si="1"/>
        <v>0</v>
      </c>
      <c r="T39" s="125">
        <v>0</v>
      </c>
      <c r="U39" s="125" t="s">
        <v>87</v>
      </c>
    </row>
    <row r="40" spans="2:21" x14ac:dyDescent="0.3">
      <c r="B40" s="130" t="s">
        <v>2501</v>
      </c>
      <c r="C40" s="131">
        <v>1600</v>
      </c>
      <c r="D40" s="149">
        <v>0</v>
      </c>
      <c r="E40" s="143" t="s">
        <v>3230</v>
      </c>
      <c r="F40" s="131"/>
      <c r="G40" s="134" t="s">
        <v>2482</v>
      </c>
      <c r="H40" s="134"/>
      <c r="I40" s="134"/>
      <c r="Q40" s="125">
        <f t="shared" si="0"/>
        <v>0</v>
      </c>
      <c r="S40" s="360">
        <f t="shared" si="1"/>
        <v>0</v>
      </c>
      <c r="T40" s="125">
        <v>0</v>
      </c>
      <c r="U40" s="125" t="s">
        <v>87</v>
      </c>
    </row>
    <row r="41" spans="2:21" x14ac:dyDescent="0.3">
      <c r="B41" s="130" t="s">
        <v>2530</v>
      </c>
      <c r="C41" s="131">
        <v>7900</v>
      </c>
      <c r="D41" s="149">
        <v>0</v>
      </c>
      <c r="E41" s="143" t="s">
        <v>3236</v>
      </c>
      <c r="F41" s="131"/>
      <c r="G41" s="134" t="s">
        <v>2523</v>
      </c>
      <c r="H41" s="134"/>
      <c r="I41" s="134"/>
      <c r="Q41" s="125">
        <f t="shared" si="0"/>
        <v>0</v>
      </c>
      <c r="S41" s="360">
        <f t="shared" si="1"/>
        <v>0</v>
      </c>
      <c r="T41" s="125">
        <v>0</v>
      </c>
      <c r="U41" s="125" t="s">
        <v>87</v>
      </c>
    </row>
    <row r="42" spans="2:21" x14ac:dyDescent="0.3">
      <c r="B42" s="332" t="s">
        <v>2543</v>
      </c>
      <c r="C42" s="131"/>
      <c r="D42" s="149"/>
      <c r="E42" s="143"/>
      <c r="F42" s="131"/>
      <c r="G42" s="134"/>
      <c r="H42" s="134"/>
      <c r="I42" s="134"/>
      <c r="Q42" s="125">
        <f t="shared" si="0"/>
        <v>0</v>
      </c>
      <c r="S42" s="360">
        <f t="shared" si="1"/>
        <v>0</v>
      </c>
    </row>
    <row r="43" spans="2:21" x14ac:dyDescent="0.3">
      <c r="B43" s="130" t="s">
        <v>2546</v>
      </c>
      <c r="C43" s="131">
        <v>1400</v>
      </c>
      <c r="D43" s="149">
        <v>0</v>
      </c>
      <c r="E43" s="143" t="s">
        <v>3233</v>
      </c>
      <c r="F43" s="131"/>
      <c r="G43" s="134" t="s">
        <v>2553</v>
      </c>
      <c r="H43" s="134"/>
      <c r="I43" s="134"/>
      <c r="Q43" s="125">
        <f t="shared" si="0"/>
        <v>0</v>
      </c>
      <c r="S43" s="360">
        <f t="shared" si="1"/>
        <v>0</v>
      </c>
      <c r="T43" s="125">
        <v>0</v>
      </c>
      <c r="U43" s="125" t="s">
        <v>87</v>
      </c>
    </row>
    <row r="44" spans="2:21" x14ac:dyDescent="0.3">
      <c r="B44" s="130" t="s">
        <v>2544</v>
      </c>
      <c r="C44" s="131">
        <v>4200</v>
      </c>
      <c r="D44" s="149">
        <v>0</v>
      </c>
      <c r="E44" s="143" t="s">
        <v>3238</v>
      </c>
      <c r="F44" s="131"/>
      <c r="G44" s="134" t="s">
        <v>2553</v>
      </c>
      <c r="H44" s="134"/>
      <c r="I44" s="134"/>
      <c r="Q44" s="125">
        <f t="shared" si="0"/>
        <v>0</v>
      </c>
      <c r="S44" s="360">
        <f t="shared" si="1"/>
        <v>0</v>
      </c>
      <c r="T44" s="125">
        <v>0</v>
      </c>
      <c r="U44" s="125" t="s">
        <v>87</v>
      </c>
    </row>
    <row r="45" spans="2:21" x14ac:dyDescent="0.3">
      <c r="B45" s="130" t="s">
        <v>2545</v>
      </c>
      <c r="C45" s="131">
        <v>2000</v>
      </c>
      <c r="D45" s="149">
        <v>0</v>
      </c>
      <c r="E45" s="143" t="s">
        <v>3237</v>
      </c>
      <c r="F45" s="131"/>
      <c r="G45" s="134" t="s">
        <v>2554</v>
      </c>
      <c r="H45" s="134"/>
      <c r="I45" s="134"/>
      <c r="Q45" s="125">
        <f t="shared" si="0"/>
        <v>0</v>
      </c>
      <c r="S45" s="360">
        <f t="shared" si="1"/>
        <v>0</v>
      </c>
      <c r="T45" s="125">
        <v>0</v>
      </c>
      <c r="U45" s="125" t="s">
        <v>87</v>
      </c>
    </row>
    <row r="46" spans="2:21" x14ac:dyDescent="0.3">
      <c r="B46" s="130" t="s">
        <v>2547</v>
      </c>
      <c r="C46" s="131">
        <v>4000</v>
      </c>
      <c r="D46" s="149">
        <v>0</v>
      </c>
      <c r="E46" s="143" t="s">
        <v>3230</v>
      </c>
      <c r="F46" s="131"/>
      <c r="G46" s="134" t="s">
        <v>2554</v>
      </c>
      <c r="H46" s="134"/>
      <c r="I46" s="134"/>
      <c r="Q46" s="125">
        <f t="shared" si="0"/>
        <v>0</v>
      </c>
      <c r="S46" s="360">
        <f t="shared" si="1"/>
        <v>0</v>
      </c>
      <c r="T46" s="125">
        <v>0</v>
      </c>
      <c r="U46" s="125" t="s">
        <v>87</v>
      </c>
    </row>
    <row r="47" spans="2:21" x14ac:dyDescent="0.3">
      <c r="B47" s="130" t="s">
        <v>2548</v>
      </c>
      <c r="C47" s="131">
        <v>5400</v>
      </c>
      <c r="D47" s="149">
        <v>0</v>
      </c>
      <c r="E47" s="143" t="s">
        <v>3233</v>
      </c>
      <c r="F47" s="131"/>
      <c r="G47" s="134" t="s">
        <v>2554</v>
      </c>
      <c r="H47" s="134"/>
      <c r="I47" s="134"/>
      <c r="Q47" s="125">
        <f t="shared" si="0"/>
        <v>0</v>
      </c>
      <c r="S47" s="360">
        <f t="shared" si="1"/>
        <v>0</v>
      </c>
      <c r="T47" s="125">
        <v>0</v>
      </c>
      <c r="U47" s="125" t="s">
        <v>87</v>
      </c>
    </row>
    <row r="48" spans="2:21" x14ac:dyDescent="0.3">
      <c r="B48" s="130" t="s">
        <v>2549</v>
      </c>
      <c r="C48" s="131">
        <v>7100</v>
      </c>
      <c r="D48" s="149">
        <v>0</v>
      </c>
      <c r="E48" s="143" t="s">
        <v>3230</v>
      </c>
      <c r="F48" s="131"/>
      <c r="G48" s="134" t="s">
        <v>2554</v>
      </c>
      <c r="H48" s="134"/>
      <c r="I48" s="134"/>
      <c r="Q48" s="125">
        <f t="shared" si="0"/>
        <v>0</v>
      </c>
      <c r="S48" s="360">
        <f t="shared" si="1"/>
        <v>0</v>
      </c>
      <c r="T48" s="125">
        <v>0</v>
      </c>
      <c r="U48" s="125" t="s">
        <v>87</v>
      </c>
    </row>
    <row r="49" spans="2:21" x14ac:dyDescent="0.3">
      <c r="B49" s="130" t="s">
        <v>2550</v>
      </c>
      <c r="C49" s="131">
        <v>8600</v>
      </c>
      <c r="D49" s="149">
        <v>0</v>
      </c>
      <c r="E49" s="143" t="s">
        <v>3230</v>
      </c>
      <c r="F49" s="131"/>
      <c r="G49" s="134" t="s">
        <v>2554</v>
      </c>
      <c r="H49" s="134"/>
      <c r="I49" s="134"/>
      <c r="Q49" s="125">
        <f t="shared" si="0"/>
        <v>0</v>
      </c>
      <c r="S49" s="360">
        <f t="shared" si="1"/>
        <v>0</v>
      </c>
      <c r="T49" s="125">
        <v>0</v>
      </c>
      <c r="U49" s="125" t="s">
        <v>87</v>
      </c>
    </row>
    <row r="50" spans="2:21" x14ac:dyDescent="0.3">
      <c r="B50" s="130" t="s">
        <v>2551</v>
      </c>
      <c r="C50" s="131">
        <v>9700</v>
      </c>
      <c r="D50" s="149">
        <v>0</v>
      </c>
      <c r="E50" s="143" t="s">
        <v>3230</v>
      </c>
      <c r="F50" s="131"/>
      <c r="G50" s="134" t="s">
        <v>2554</v>
      </c>
      <c r="H50" s="134"/>
      <c r="I50" s="134"/>
      <c r="Q50" s="125">
        <f t="shared" si="0"/>
        <v>0</v>
      </c>
      <c r="S50" s="360">
        <f t="shared" si="1"/>
        <v>0</v>
      </c>
      <c r="T50" s="125">
        <v>0</v>
      </c>
      <c r="U50" s="125" t="s">
        <v>87</v>
      </c>
    </row>
    <row r="51" spans="2:21" x14ac:dyDescent="0.3">
      <c r="B51" s="130" t="s">
        <v>2552</v>
      </c>
      <c r="C51" s="131">
        <v>10900</v>
      </c>
      <c r="D51" s="149">
        <v>0</v>
      </c>
      <c r="E51" s="143" t="s">
        <v>3230</v>
      </c>
      <c r="F51" s="131"/>
      <c r="G51" s="134" t="s">
        <v>2554</v>
      </c>
      <c r="H51" s="134"/>
      <c r="I51" s="134"/>
      <c r="Q51" s="125">
        <f t="shared" si="0"/>
        <v>0</v>
      </c>
      <c r="S51" s="360">
        <f t="shared" si="1"/>
        <v>0</v>
      </c>
      <c r="T51" s="125">
        <v>0</v>
      </c>
      <c r="U51" s="125" t="s">
        <v>87</v>
      </c>
    </row>
    <row r="52" spans="2:21" x14ac:dyDescent="0.3">
      <c r="B52" s="130" t="s">
        <v>2508</v>
      </c>
      <c r="C52" s="131">
        <v>100</v>
      </c>
      <c r="D52" s="149">
        <v>0</v>
      </c>
      <c r="E52" s="143" t="s">
        <v>3230</v>
      </c>
      <c r="F52" s="131"/>
      <c r="G52" s="134" t="s">
        <v>2509</v>
      </c>
      <c r="H52" s="134" t="s">
        <v>2510</v>
      </c>
      <c r="I52" s="134"/>
      <c r="Q52" s="125">
        <f t="shared" si="0"/>
        <v>0</v>
      </c>
      <c r="S52" s="360">
        <f t="shared" si="1"/>
        <v>0</v>
      </c>
      <c r="T52" s="125">
        <v>0</v>
      </c>
      <c r="U52" s="125" t="s">
        <v>87</v>
      </c>
    </row>
    <row r="53" spans="2:21" x14ac:dyDescent="0.3">
      <c r="B53" s="135" t="s">
        <v>2475</v>
      </c>
      <c r="C53" s="131"/>
      <c r="D53" s="149"/>
      <c r="E53" s="143"/>
      <c r="F53" s="131"/>
      <c r="G53" s="134"/>
      <c r="H53" s="134"/>
      <c r="I53" s="134"/>
      <c r="Q53" s="125">
        <f t="shared" si="0"/>
        <v>0</v>
      </c>
      <c r="S53" s="360">
        <f t="shared" si="1"/>
        <v>0</v>
      </c>
    </row>
    <row r="54" spans="2:21" x14ac:dyDescent="0.3">
      <c r="B54" s="130" t="s">
        <v>366</v>
      </c>
      <c r="C54" s="131">
        <v>11500</v>
      </c>
      <c r="D54" s="149">
        <v>0</v>
      </c>
      <c r="E54" s="143" t="s">
        <v>3230</v>
      </c>
      <c r="F54" s="131"/>
      <c r="G54" s="134" t="s">
        <v>367</v>
      </c>
      <c r="H54" s="134" t="s">
        <v>2560</v>
      </c>
      <c r="I54" s="134" t="s">
        <v>2561</v>
      </c>
      <c r="Q54" s="125">
        <f t="shared" si="0"/>
        <v>0</v>
      </c>
      <c r="S54" s="360">
        <f t="shared" si="1"/>
        <v>0</v>
      </c>
      <c r="T54" s="125">
        <v>0</v>
      </c>
      <c r="U54" s="125" t="s">
        <v>87</v>
      </c>
    </row>
    <row r="55" spans="2:21" x14ac:dyDescent="0.3">
      <c r="B55" s="133" t="s">
        <v>2568</v>
      </c>
      <c r="C55" s="131">
        <v>6890</v>
      </c>
      <c r="D55" s="149">
        <v>0</v>
      </c>
      <c r="E55" s="143" t="s">
        <v>3233</v>
      </c>
      <c r="F55" s="131"/>
      <c r="G55" s="134" t="s">
        <v>367</v>
      </c>
      <c r="H55" s="134"/>
      <c r="I55" s="134" t="s">
        <v>2567</v>
      </c>
      <c r="Q55" s="125">
        <f t="shared" si="0"/>
        <v>0</v>
      </c>
      <c r="S55" s="360">
        <f t="shared" si="1"/>
        <v>0</v>
      </c>
      <c r="T55" s="125">
        <v>0</v>
      </c>
      <c r="U55" s="125" t="s">
        <v>87</v>
      </c>
    </row>
    <row r="56" spans="2:21" x14ac:dyDescent="0.3">
      <c r="B56" s="133" t="s">
        <v>368</v>
      </c>
      <c r="C56" s="131">
        <v>5250</v>
      </c>
      <c r="D56" s="149">
        <v>0</v>
      </c>
      <c r="E56" s="143" t="s">
        <v>3230</v>
      </c>
      <c r="F56" s="131"/>
      <c r="G56" s="134" t="s">
        <v>369</v>
      </c>
      <c r="H56" s="134" t="s">
        <v>2563</v>
      </c>
      <c r="I56" s="134" t="s">
        <v>2562</v>
      </c>
      <c r="Q56" s="125">
        <f t="shared" si="0"/>
        <v>0</v>
      </c>
      <c r="S56" s="360">
        <f t="shared" si="1"/>
        <v>0</v>
      </c>
      <c r="T56" s="125">
        <v>0</v>
      </c>
      <c r="U56" s="125" t="s">
        <v>87</v>
      </c>
    </row>
    <row r="57" spans="2:21" x14ac:dyDescent="0.3">
      <c r="B57" s="133" t="s">
        <v>370</v>
      </c>
      <c r="C57" s="131">
        <v>5690</v>
      </c>
      <c r="D57" s="149">
        <v>0</v>
      </c>
      <c r="E57" s="143" t="s">
        <v>3230</v>
      </c>
      <c r="F57" s="131"/>
      <c r="G57" s="134" t="s">
        <v>367</v>
      </c>
      <c r="H57" s="134" t="s">
        <v>2559</v>
      </c>
      <c r="I57" s="134" t="s">
        <v>2562</v>
      </c>
      <c r="Q57" s="125">
        <f t="shared" si="0"/>
        <v>0</v>
      </c>
      <c r="S57" s="360">
        <f t="shared" si="1"/>
        <v>0</v>
      </c>
      <c r="T57" s="125">
        <v>0</v>
      </c>
      <c r="U57" s="125" t="s">
        <v>87</v>
      </c>
    </row>
    <row r="58" spans="2:21" x14ac:dyDescent="0.3">
      <c r="B58" s="133" t="s">
        <v>2564</v>
      </c>
      <c r="C58" s="131">
        <v>11420</v>
      </c>
      <c r="D58" s="149">
        <v>0</v>
      </c>
      <c r="E58" s="143" t="s">
        <v>3230</v>
      </c>
      <c r="F58" s="131"/>
      <c r="G58" s="134" t="s">
        <v>367</v>
      </c>
      <c r="H58" s="134" t="s">
        <v>2566</v>
      </c>
      <c r="I58" s="134" t="s">
        <v>2565</v>
      </c>
      <c r="Q58" s="125">
        <f t="shared" si="0"/>
        <v>0</v>
      </c>
      <c r="S58" s="360">
        <f t="shared" si="1"/>
        <v>0</v>
      </c>
      <c r="T58" s="125">
        <v>0</v>
      </c>
      <c r="U58" s="125" t="s">
        <v>87</v>
      </c>
    </row>
    <row r="59" spans="2:21" x14ac:dyDescent="0.3">
      <c r="B59" s="133" t="s">
        <v>2569</v>
      </c>
      <c r="C59" s="131">
        <v>14140</v>
      </c>
      <c r="D59" s="149">
        <v>0</v>
      </c>
      <c r="E59" s="143" t="s">
        <v>3230</v>
      </c>
      <c r="F59" s="131"/>
      <c r="G59" s="134" t="s">
        <v>367</v>
      </c>
      <c r="H59" s="134" t="s">
        <v>2570</v>
      </c>
      <c r="I59" s="134" t="s">
        <v>2571</v>
      </c>
      <c r="Q59" s="125">
        <f t="shared" si="0"/>
        <v>0</v>
      </c>
      <c r="S59" s="360">
        <f t="shared" si="1"/>
        <v>0</v>
      </c>
      <c r="T59" s="125">
        <v>0</v>
      </c>
      <c r="U59" s="125" t="s">
        <v>87</v>
      </c>
    </row>
    <row r="60" spans="2:21" x14ac:dyDescent="0.3">
      <c r="B60" s="133" t="s">
        <v>2572</v>
      </c>
      <c r="C60" s="131">
        <v>2390</v>
      </c>
      <c r="D60" s="149">
        <v>0</v>
      </c>
      <c r="E60" s="143" t="s">
        <v>3230</v>
      </c>
      <c r="F60" s="131"/>
      <c r="G60" s="134" t="s">
        <v>367</v>
      </c>
      <c r="H60" s="134" t="s">
        <v>2563</v>
      </c>
      <c r="I60" s="134" t="s">
        <v>2573</v>
      </c>
      <c r="Q60" s="125">
        <f t="shared" si="0"/>
        <v>0</v>
      </c>
      <c r="S60" s="360">
        <f t="shared" si="1"/>
        <v>0</v>
      </c>
      <c r="T60" s="125">
        <v>0</v>
      </c>
      <c r="U60" s="125" t="s">
        <v>87</v>
      </c>
    </row>
    <row r="61" spans="2:21" x14ac:dyDescent="0.3">
      <c r="B61" s="133" t="s">
        <v>2575</v>
      </c>
      <c r="C61" s="131">
        <v>12430</v>
      </c>
      <c r="D61" s="149">
        <v>0</v>
      </c>
      <c r="E61" s="143" t="s">
        <v>3230</v>
      </c>
      <c r="F61" s="131"/>
      <c r="G61" s="134" t="s">
        <v>367</v>
      </c>
      <c r="H61" s="134" t="s">
        <v>2574</v>
      </c>
      <c r="I61" s="134" t="s">
        <v>2562</v>
      </c>
      <c r="Q61" s="125">
        <f t="shared" si="0"/>
        <v>0</v>
      </c>
      <c r="S61" s="360">
        <f t="shared" si="1"/>
        <v>0</v>
      </c>
      <c r="T61" s="125">
        <v>0</v>
      </c>
      <c r="U61" s="125" t="s">
        <v>87</v>
      </c>
    </row>
    <row r="62" spans="2:21" x14ac:dyDescent="0.3">
      <c r="B62" s="332" t="s">
        <v>2476</v>
      </c>
      <c r="C62" s="131"/>
      <c r="D62" s="149"/>
      <c r="E62" s="143"/>
      <c r="F62" s="131"/>
      <c r="G62" s="134"/>
      <c r="H62" s="134"/>
      <c r="I62" s="134"/>
      <c r="Q62" s="125">
        <f t="shared" si="0"/>
        <v>0</v>
      </c>
      <c r="S62" s="360">
        <f t="shared" si="1"/>
        <v>0</v>
      </c>
    </row>
    <row r="63" spans="2:21" x14ac:dyDescent="0.3">
      <c r="B63" s="130" t="s">
        <v>2556</v>
      </c>
      <c r="C63" s="131">
        <v>3030</v>
      </c>
      <c r="D63" s="149">
        <v>0</v>
      </c>
      <c r="E63" s="143" t="s">
        <v>3230</v>
      </c>
      <c r="G63" s="336" t="s">
        <v>2557</v>
      </c>
      <c r="H63" s="125" t="s">
        <v>2558</v>
      </c>
      <c r="Q63" s="125">
        <f t="shared" si="0"/>
        <v>0</v>
      </c>
      <c r="S63" s="360">
        <f t="shared" si="1"/>
        <v>0</v>
      </c>
      <c r="T63" s="125">
        <v>0</v>
      </c>
      <c r="U63" s="125" t="s">
        <v>87</v>
      </c>
    </row>
    <row r="64" spans="2:21" x14ac:dyDescent="0.3">
      <c r="C64" s="131"/>
    </row>
    <row r="65" spans="3:3" x14ac:dyDescent="0.3">
      <c r="C65" s="131"/>
    </row>
    <row r="66" spans="3:3" x14ac:dyDescent="0.3">
      <c r="C66" s="131"/>
    </row>
  </sheetData>
  <phoneticPr fontId="4" type="noConversion"/>
  <conditionalFormatting sqref="E1:E1048576">
    <cfRule type="cellIs" dxfId="1" priority="1" operator="equal">
      <formula>"O"</formula>
    </cfRule>
    <cfRule type="cellIs" dxfId="0" priority="2" operator="equal">
      <formula>"X"</formula>
    </cfRule>
  </conditionalFormatting>
  <dataValidations count="2">
    <dataValidation type="list" allowBlank="1" showInputMessage="1" showErrorMessage="1" sqref="E54:E61 E6:E7 E9:E20 E23:E36 E43:E52 E38:E41 E63">
      <formula1>$O$4:$O$5</formula1>
    </dataValidation>
    <dataValidation type="list" allowBlank="1" showInputMessage="1" showErrorMessage="1" sqref="D6:D7 D9:D20 D23:D36 D38:D41 D43:D52 D54:D61 D63">
      <formula1>$P$4:$P$14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1</vt:i4>
      </vt:variant>
    </vt:vector>
  </HeadingPairs>
  <TitlesOfParts>
    <vt:vector size="25" baseType="lpstr">
      <vt:lpstr>CPU벤치마크</vt:lpstr>
      <vt:lpstr>VGA벤치마크</vt:lpstr>
      <vt:lpstr>(코어)데이터</vt:lpstr>
      <vt:lpstr>예아!</vt:lpstr>
      <vt:lpstr>성능테스트</vt:lpstr>
      <vt:lpstr>자동견적</vt:lpstr>
      <vt:lpstr>견적저장소</vt:lpstr>
      <vt:lpstr>BillDVANCE</vt:lpstr>
      <vt:lpstr>CPU</vt:lpstr>
      <vt:lpstr>메인보드</vt:lpstr>
      <vt:lpstr>메모리</vt:lpstr>
      <vt:lpstr>CPU쿨러</vt:lpstr>
      <vt:lpstr>그래픽카드</vt:lpstr>
      <vt:lpstr>HDD</vt:lpstr>
      <vt:lpstr>SSD</vt:lpstr>
      <vt:lpstr>ODD</vt:lpstr>
      <vt:lpstr>파워서플라이</vt:lpstr>
      <vt:lpstr>케이스</vt:lpstr>
      <vt:lpstr>키보드</vt:lpstr>
      <vt:lpstr>마우스</vt:lpstr>
      <vt:lpstr>헤드셋</vt:lpstr>
      <vt:lpstr>모니터</vt:lpstr>
      <vt:lpstr>SW</vt:lpstr>
      <vt:lpstr>기타</vt:lpstr>
      <vt:lpstr>메모리!productName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2016-11-30T03:51:34Z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f256939e-25df-4309-9316-79b0587eddee</vt:lpwstr>
  </property>
  <property fmtid="{D5CDD505-2E9C-101B-9397-08002B2CF9AE}" pid="3" name="CreativeCommonsLicenseID">
    <vt:lpwstr>standard&amp;commercial=y&amp;derivatives=y&amp;jurisdiction=</vt:lpwstr>
  </property>
  <property fmtid="{D5CDD505-2E9C-101B-9397-08002B2CF9AE}" pid="4" name="CreativeCommonsLicenseURL">
    <vt:lpwstr>This work is licensed under a </vt:lpwstr>
  </property>
  <property fmtid="{D5CDD505-2E9C-101B-9397-08002B2CF9AE}" pid="5" name="CreativeCommonsLicenseXml">
    <vt:lpwstr>&lt;?xml version="1.0" encoding="utf-8"?&gt;&lt;result&gt;&lt;license-uri&gt;http://creativecommons.org/licenses/by/4.0/&lt;/license-uri&gt;&lt;license-name&gt;Attribution 4.0 International&lt;/license-name&gt;&lt;deprecated&gt;false&lt;/deprecated&gt;&lt;rdf&gt;&lt;rdf:RDF xmlns="http://creativecommons.org/ns#</vt:lpwstr>
  </property>
</Properties>
</file>